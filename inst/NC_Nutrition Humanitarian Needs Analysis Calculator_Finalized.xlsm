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Bethany\Desktop\"/>
    </mc:Choice>
  </mc:AlternateContent>
  <bookViews>
    <workbookView xWindow="0" yWindow="0" windowWidth="28800" windowHeight="12435" firstSheet="9" activeTab="12"/>
    <workbookView xWindow="-105" yWindow="-105" windowWidth="23250" windowHeight="12570"/>
  </bookViews>
  <sheets>
    <sheet name="Instructions" sheetId="7" r:id="rId1"/>
    <sheet name="Indicator Registry" sheetId="21" r:id="rId2"/>
    <sheet name="Classification thresholds" sheetId="39" r:id="rId3"/>
    <sheet name="Evidence Repository,Reliability" sheetId="43" r:id="rId4"/>
    <sheet name="Analysis Team Composition" sheetId="49" r:id="rId5"/>
    <sheet name="Scenario 2 - Nut.Analysis" sheetId="40" r:id="rId6"/>
    <sheet name="Scenario 2 Contributing Fact" sheetId="44" r:id="rId7"/>
    <sheet name="Scenario 3 - Nut. Analysis" sheetId="46" r:id="rId8"/>
    <sheet name="Scenario 3 Contributing Fact" sheetId="50" r:id="rId9"/>
    <sheet name="Population Figures" sheetId="33" r:id="rId10"/>
    <sheet name="PiN Physical and Mental WB" sheetId="47" r:id="rId11"/>
    <sheet name="PiN Living Standards" sheetId="25" r:id="rId12"/>
    <sheet name="PiN Micronutrient Deficiency" sheetId="48" r:id="rId13"/>
    <sheet name="Selected supplies" sheetId="15" state="hidden" r:id="rId14"/>
  </sheets>
  <externalReferences>
    <externalReference r:id="rId15"/>
    <externalReference r:id="rId16"/>
    <externalReference r:id="rId17"/>
  </externalReferences>
  <definedNames>
    <definedName name="_ftnref1" localSheetId="5">'Scenario 2 - Nut.Analysis'!#REF!</definedName>
    <definedName name="_ftnref1" localSheetId="6">'Scenario 2 Contributing Fact'!#REF!</definedName>
    <definedName name="_ftnref1" localSheetId="7">'Scenario 3 - Nut. Analysis'!#REF!</definedName>
    <definedName name="_ftnref1" localSheetId="8">'Scenario 3 Contributing Fact'!#REF!</definedName>
    <definedName name="admin1">[1]Admin!$B$2:$B$15</definedName>
    <definedName name="admin1in2">[1]Admin!$D$2:$D$62</definedName>
    <definedName name="admin1pcode">[1]Admin!$A$2:$A$15</definedName>
    <definedName name="admin2">[1]Admin!$F$2:$F$62</definedName>
    <definedName name="admin2in3">[1]Admin!$H$2:$H$273</definedName>
    <definedName name="admin2pcode">[1]Admin!$E$2:$E$62</definedName>
    <definedName name="admin2start">[1]Admin!$F$1</definedName>
    <definedName name="admin3">[1]Admin!$J$2:$J$273</definedName>
    <definedName name="admin3in4">[1]Admin!$L$2:$L$5319</definedName>
    <definedName name="admin3pcode">[1]Admin!$I$2:$I$273</definedName>
    <definedName name="admin3start">[1]Admin!$J$1</definedName>
    <definedName name="admin4">[1]Admin!$N$2:$N$5319</definedName>
    <definedName name="admin4in5">[1]Admin!$P$2:$P$389</definedName>
    <definedName name="admin4pcode">[1]Admin!$M$2:$M$5319</definedName>
    <definedName name="admin4start">[1]Admin!$N$1</definedName>
    <definedName name="admin5">[1]Admin!$R$2:$R$389</definedName>
    <definedName name="admin5pcode">[1]Admin!$Q$2:$Q$389</definedName>
    <definedName name="admin5start">[1]Admin!$R$1</definedName>
    <definedName name="agencyacronym">[1]Lists!$A$2:$A$200</definedName>
    <definedName name="hfhfh">#REF!</definedName>
    <definedName name="operational">[1]Lists!$J$2:$J$3</definedName>
    <definedName name="prueba" localSheetId="2">#REF!</definedName>
    <definedName name="prueba" localSheetId="3">#REF!</definedName>
    <definedName name="prueba" localSheetId="5">#REF!</definedName>
    <definedName name="prueba" localSheetId="6">#REF!</definedName>
    <definedName name="prueba" localSheetId="7">#REF!</definedName>
    <definedName name="prueba" localSheetId="8">#REF!</definedName>
    <definedName name="prueba">#REF!</definedName>
    <definedName name="reportingmonth">[1]Lists!$E$2:$E$13</definedName>
    <definedName name="reportingweek">[1]Lists!$D$2:$D$5</definedName>
    <definedName name="reportingyear">[1]Lists!$F$2:$F$4</definedName>
    <definedName name="SourceData" localSheetId="5">'Scenario 2 - Nut.Analysis'!$B$7:$F$44</definedName>
    <definedName name="SourceData" localSheetId="6">'Scenario 2 Contributing Fact'!#REF!</definedName>
    <definedName name="SourceData" localSheetId="7">'Scenario 3 - Nut. Analysis'!#REF!</definedName>
    <definedName name="SourceData" localSheetId="8">'Scenario 3 Contributing Fact'!#REF!</definedName>
    <definedName name="SourceData">#REF!</definedName>
    <definedName name="SourceMal" localSheetId="2">'[2]Nut. Sit. Analysis U5 - Phys.'!$B$2:$C$2,'[2]Nut. Sit. Analysis U5 - Phys.'!$B$4:$C$11</definedName>
    <definedName name="SourceMal" localSheetId="3">'[2]Nut. Sit. Analysis U5 - Phys.'!$B$2:$C$2,'[2]Nut. Sit. Analysis U5 - Phys.'!$B$4:$C$11</definedName>
    <definedName name="SourceMal" localSheetId="5">'Scenario 2 - Nut.Analysis'!$B$5:$F$5,'Scenario 2 - Nut.Analysis'!$B$7:$F$44</definedName>
    <definedName name="SourceMal" localSheetId="6">'Scenario 2 Contributing Fact'!#REF!,'Scenario 2 Contributing Fact'!#REF!</definedName>
    <definedName name="SourceMal" localSheetId="7">'Scenario 3 - Nut. Analysis'!#REF!,'Scenario 3 - Nut. Analysis'!#REF!</definedName>
    <definedName name="SourceMal" localSheetId="8">'Scenario 3 Contributing Fact'!#REF!,'Scenario 3 Contributing Fact'!#REF!</definedName>
    <definedName name="SourceMal">#REF!,#REF!</definedName>
    <definedName name="SourceMal2">'[3]Scenarios 1&amp;2 - Nut.Analysis'!$A$6:$E$6,'[3]Scenarios 1&amp;2 - Nut.Analysis'!$A$8:$F$45</definedName>
    <definedName name="SourceMal3">'[3]Scenarios 1&amp;2 - Nut.Analysis'!$A$6:$E$6,'[3]Scenarios 1&amp;2 - Nut.Analysis'!$A$8:$F$45</definedName>
    <definedName name="Test">'[3]Scenarios 1&amp;2 - Nut.Analysis'!$A$6:$E$6,'[3]Scenarios 1&amp;2 - Nut.Analysis'!$A$8:$F$45</definedName>
    <definedName name="yes">#REF!</definedName>
    <definedName name="yesno">[1]Lists!$H$2:$H$3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6" i="47" l="1"/>
  <c r="AG7" i="47"/>
  <c r="AG8" i="47"/>
  <c r="AG9" i="47"/>
  <c r="AG10" i="47"/>
  <c r="AG11" i="47"/>
  <c r="AG12" i="47"/>
  <c r="AG13" i="47"/>
  <c r="AG14" i="47"/>
  <c r="AG15" i="47"/>
  <c r="AG16" i="47"/>
  <c r="AG17" i="47"/>
  <c r="AG18" i="47"/>
  <c r="AG19" i="47"/>
  <c r="AG20" i="47"/>
  <c r="AG21" i="47"/>
  <c r="AG22" i="47"/>
  <c r="AG23" i="47"/>
  <c r="AG24" i="47"/>
  <c r="AG25" i="47"/>
  <c r="AG26" i="47"/>
  <c r="AG27" i="47"/>
  <c r="AG28" i="47"/>
  <c r="AG29" i="47"/>
  <c r="AG30" i="47"/>
  <c r="AG31" i="47"/>
  <c r="AG32" i="47"/>
  <c r="AG33" i="47"/>
  <c r="AG34" i="47"/>
  <c r="AG35" i="47"/>
  <c r="AG36" i="47"/>
  <c r="AG37" i="47"/>
  <c r="AG38" i="47"/>
  <c r="AG39" i="47"/>
  <c r="AG40" i="47"/>
  <c r="AG41" i="47"/>
  <c r="AG42" i="47"/>
  <c r="AG5" i="47"/>
  <c r="AF5" i="47"/>
  <c r="AF6" i="47"/>
  <c r="AF7" i="47"/>
  <c r="AF8" i="47"/>
  <c r="AF9" i="47"/>
  <c r="AF10" i="47"/>
  <c r="AF11" i="47"/>
  <c r="AF12" i="47"/>
  <c r="AF13" i="47"/>
  <c r="AF14" i="47"/>
  <c r="AF15" i="47"/>
  <c r="AF16" i="47"/>
  <c r="AF17" i="47"/>
  <c r="AF18" i="47"/>
  <c r="AF19" i="47"/>
  <c r="AF20" i="47"/>
  <c r="AF21" i="47"/>
  <c r="AF22" i="47"/>
  <c r="AF23" i="47"/>
  <c r="AF24" i="47"/>
  <c r="AF25" i="47"/>
  <c r="AF26" i="47"/>
  <c r="AF27" i="47"/>
  <c r="AF28" i="47"/>
  <c r="AF29" i="47"/>
  <c r="AF30" i="47"/>
  <c r="AF31" i="47"/>
  <c r="AF32" i="47"/>
  <c r="AF33" i="47"/>
  <c r="AF34" i="47"/>
  <c r="AF35" i="47"/>
  <c r="AF36" i="47"/>
  <c r="AF37" i="47"/>
  <c r="AF38" i="47"/>
  <c r="AF39" i="47"/>
  <c r="AF40" i="47"/>
  <c r="AF41" i="47"/>
  <c r="AF42" i="47"/>
  <c r="AE5" i="47" a="1"/>
  <c r="AE5" i="47" s="1"/>
  <c r="AE6" i="47" a="1"/>
  <c r="AE6" i="47" s="1"/>
  <c r="AE7" i="47" a="1"/>
  <c r="AE7" i="47"/>
  <c r="AE8" i="47" a="1"/>
  <c r="AE8" i="47"/>
  <c r="AE9" i="47" a="1"/>
  <c r="AE9" i="47"/>
  <c r="AE10" i="47" a="1"/>
  <c r="AE10" i="47"/>
  <c r="AE11" i="47" a="1"/>
  <c r="AE11" i="47"/>
  <c r="AE12" i="47" a="1"/>
  <c r="AE12" i="47"/>
  <c r="AE13" i="47" a="1"/>
  <c r="AE13" i="47"/>
  <c r="AE14" i="47" a="1"/>
  <c r="AE14" i="47"/>
  <c r="AE15" i="47" a="1"/>
  <c r="AE15" i="47"/>
  <c r="AE16" i="47" a="1"/>
  <c r="AE16" i="47"/>
  <c r="AE17" i="47" a="1"/>
  <c r="AE17" i="47"/>
  <c r="AE18" i="47" a="1"/>
  <c r="AE18" i="47"/>
  <c r="AE19" i="47" a="1"/>
  <c r="AE19" i="47"/>
  <c r="AE20" i="47" a="1"/>
  <c r="AE20" i="47"/>
  <c r="AE21" i="47" a="1"/>
  <c r="AE21" i="47"/>
  <c r="AE22" i="47" a="1"/>
  <c r="AE22" i="47" s="1"/>
  <c r="AE23" i="47" a="1"/>
  <c r="AE23" i="47"/>
  <c r="AE24" i="47" a="1"/>
  <c r="AE24" i="47"/>
  <c r="AE25" i="47" a="1"/>
  <c r="AE25" i="47"/>
  <c r="AE26" i="47" a="1"/>
  <c r="AE26" i="47"/>
  <c r="AE27" i="47" a="1"/>
  <c r="AE27" i="47"/>
  <c r="AE28" i="47" a="1"/>
  <c r="AE28" i="47"/>
  <c r="AE29" i="47" a="1"/>
  <c r="AE29" i="47"/>
  <c r="AE30" i="47" a="1"/>
  <c r="AE30" i="47"/>
  <c r="AE31" i="47" a="1"/>
  <c r="AE31" i="47"/>
  <c r="AE32" i="47" a="1"/>
  <c r="AE32" i="47"/>
  <c r="AE33" i="47" a="1"/>
  <c r="AE33" i="47"/>
  <c r="AE34" i="47" a="1"/>
  <c r="AE34" i="47"/>
  <c r="AE35" i="47" a="1"/>
  <c r="AE35" i="47"/>
  <c r="AE36" i="47" a="1"/>
  <c r="AE36" i="47"/>
  <c r="AE37" i="47" a="1"/>
  <c r="AE37" i="47"/>
  <c r="AE38" i="47" a="1"/>
  <c r="AE38" i="47"/>
  <c r="AE39" i="47" a="1"/>
  <c r="AE39" i="47"/>
  <c r="AE40" i="47" a="1"/>
  <c r="AE40" i="47"/>
  <c r="AE41" i="47" a="1"/>
  <c r="AE41" i="47"/>
  <c r="AE42" i="47" a="1"/>
  <c r="AE42" i="47"/>
  <c r="AH5" i="48"/>
  <c r="AM5" i="47" l="1"/>
  <c r="AT6" i="47"/>
  <c r="AU6" i="47"/>
  <c r="AT7" i="47"/>
  <c r="AU7" i="47"/>
  <c r="AT8" i="47"/>
  <c r="AU8" i="47"/>
  <c r="AT9" i="47"/>
  <c r="AU9" i="47"/>
  <c r="AT10" i="47"/>
  <c r="AU10" i="47"/>
  <c r="AT11" i="47"/>
  <c r="AU11" i="47"/>
  <c r="AT12" i="47"/>
  <c r="AU12" i="47"/>
  <c r="AT13" i="47"/>
  <c r="AU13" i="47"/>
  <c r="AT14" i="47"/>
  <c r="AU14" i="47"/>
  <c r="AT15" i="47"/>
  <c r="AU15" i="47"/>
  <c r="AT16" i="47"/>
  <c r="AU16" i="47"/>
  <c r="AT17" i="47"/>
  <c r="AU17" i="47"/>
  <c r="AT18" i="47"/>
  <c r="AU18" i="47"/>
  <c r="AT19" i="47"/>
  <c r="AU19" i="47"/>
  <c r="AT20" i="47"/>
  <c r="AU20" i="47"/>
  <c r="AT21" i="47"/>
  <c r="AU21" i="47"/>
  <c r="AT22" i="47"/>
  <c r="AU22" i="47"/>
  <c r="AT23" i="47"/>
  <c r="AU23" i="47"/>
  <c r="AT24" i="47"/>
  <c r="AU24" i="47"/>
  <c r="AT25" i="47"/>
  <c r="AU25" i="47"/>
  <c r="AT26" i="47"/>
  <c r="AU26" i="47"/>
  <c r="AT27" i="47"/>
  <c r="AU27" i="47"/>
  <c r="AT28" i="47"/>
  <c r="AU28" i="47"/>
  <c r="AT29" i="47"/>
  <c r="AU29" i="47"/>
  <c r="AT30" i="47"/>
  <c r="AU30" i="47"/>
  <c r="AT31" i="47"/>
  <c r="AU31" i="47"/>
  <c r="AT32" i="47"/>
  <c r="AU32" i="47"/>
  <c r="AT33" i="47"/>
  <c r="AU33" i="47"/>
  <c r="AT34" i="47"/>
  <c r="AU34" i="47"/>
  <c r="AT35" i="47"/>
  <c r="AU35" i="47"/>
  <c r="AT36" i="47"/>
  <c r="AU36" i="47"/>
  <c r="AT37" i="47"/>
  <c r="AU37" i="47"/>
  <c r="AT38" i="47"/>
  <c r="AU38" i="47"/>
  <c r="AT39" i="47"/>
  <c r="AU39" i="47"/>
  <c r="AT40" i="47"/>
  <c r="AU40" i="47"/>
  <c r="AT41" i="47"/>
  <c r="AU41" i="47"/>
  <c r="AT42" i="47"/>
  <c r="AU42" i="47"/>
  <c r="AU5" i="47"/>
  <c r="AT5" i="47"/>
  <c r="AX6" i="47"/>
  <c r="AY6" i="47"/>
  <c r="AX7" i="47"/>
  <c r="AY7" i="47"/>
  <c r="AX8" i="47"/>
  <c r="AY8" i="47"/>
  <c r="AX9" i="47"/>
  <c r="AY9" i="47"/>
  <c r="AX10" i="47"/>
  <c r="AY10" i="47"/>
  <c r="AX11" i="47"/>
  <c r="AY11" i="47"/>
  <c r="AX12" i="47"/>
  <c r="AY12" i="47"/>
  <c r="AX13" i="47"/>
  <c r="AY13" i="47"/>
  <c r="AX14" i="47"/>
  <c r="AY14" i="47"/>
  <c r="AX15" i="47"/>
  <c r="AY15" i="47"/>
  <c r="AX16" i="47"/>
  <c r="AY16" i="47"/>
  <c r="AX17" i="47"/>
  <c r="AY17" i="47"/>
  <c r="AX18" i="47"/>
  <c r="AY18" i="47"/>
  <c r="AX19" i="47"/>
  <c r="AY19" i="47"/>
  <c r="AX20" i="47"/>
  <c r="AY20" i="47"/>
  <c r="AX21" i="47"/>
  <c r="AY21" i="47"/>
  <c r="AX22" i="47"/>
  <c r="AY22" i="47"/>
  <c r="AX23" i="47"/>
  <c r="AY23" i="47"/>
  <c r="AX24" i="47"/>
  <c r="AY24" i="47"/>
  <c r="AX25" i="47"/>
  <c r="AY25" i="47"/>
  <c r="AX26" i="47"/>
  <c r="AY26" i="47"/>
  <c r="AX27" i="47"/>
  <c r="AY27" i="47"/>
  <c r="AX28" i="47"/>
  <c r="AY28" i="47"/>
  <c r="AX29" i="47"/>
  <c r="AY29" i="47"/>
  <c r="AX30" i="47"/>
  <c r="AY30" i="47"/>
  <c r="AX31" i="47"/>
  <c r="AY31" i="47"/>
  <c r="AX32" i="47"/>
  <c r="AY32" i="47"/>
  <c r="AX33" i="47"/>
  <c r="AY33" i="47"/>
  <c r="AX34" i="47"/>
  <c r="AY34" i="47"/>
  <c r="AX35" i="47"/>
  <c r="AY35" i="47"/>
  <c r="AX36" i="47"/>
  <c r="AY36" i="47"/>
  <c r="AX37" i="47"/>
  <c r="AY37" i="47"/>
  <c r="AX38" i="47"/>
  <c r="AY38" i="47"/>
  <c r="AX39" i="47"/>
  <c r="AY39" i="47"/>
  <c r="AX40" i="47"/>
  <c r="AY40" i="47"/>
  <c r="AX41" i="47"/>
  <c r="AY41" i="47"/>
  <c r="AX42" i="47"/>
  <c r="AY42" i="47"/>
  <c r="AY5" i="47"/>
  <c r="AX5" i="47"/>
  <c r="AQ6" i="47"/>
  <c r="AR6" i="47"/>
  <c r="AQ7" i="47"/>
  <c r="AR7" i="47"/>
  <c r="AQ8" i="47"/>
  <c r="AR8" i="47"/>
  <c r="AQ9" i="47"/>
  <c r="AR9" i="47"/>
  <c r="AQ10" i="47"/>
  <c r="AR10" i="47"/>
  <c r="AQ11" i="47"/>
  <c r="AR11" i="47"/>
  <c r="AQ12" i="47"/>
  <c r="AR12" i="47"/>
  <c r="AQ13" i="47"/>
  <c r="AR13" i="47"/>
  <c r="AQ14" i="47"/>
  <c r="AR14" i="47"/>
  <c r="AQ15" i="47"/>
  <c r="AR15" i="47"/>
  <c r="AQ16" i="47"/>
  <c r="AR16" i="47"/>
  <c r="AQ17" i="47"/>
  <c r="AR17" i="47"/>
  <c r="AQ18" i="47"/>
  <c r="AR18" i="47"/>
  <c r="AQ19" i="47"/>
  <c r="AR19" i="47"/>
  <c r="AQ20" i="47"/>
  <c r="AR20" i="47"/>
  <c r="AQ21" i="47"/>
  <c r="AR21" i="47"/>
  <c r="AQ22" i="47"/>
  <c r="AR22" i="47"/>
  <c r="AQ23" i="47"/>
  <c r="AR23" i="47"/>
  <c r="AQ24" i="47"/>
  <c r="AR24" i="47"/>
  <c r="AQ25" i="47"/>
  <c r="AR25" i="47"/>
  <c r="AQ26" i="47"/>
  <c r="AR26" i="47"/>
  <c r="AQ27" i="47"/>
  <c r="AR27" i="47"/>
  <c r="AQ28" i="47"/>
  <c r="AR28" i="47"/>
  <c r="AQ29" i="47"/>
  <c r="AR29" i="47"/>
  <c r="AQ30" i="47"/>
  <c r="AR30" i="47"/>
  <c r="AQ31" i="47"/>
  <c r="AR31" i="47"/>
  <c r="AQ32" i="47"/>
  <c r="AR32" i="47"/>
  <c r="AQ33" i="47"/>
  <c r="AR33" i="47"/>
  <c r="AQ34" i="47"/>
  <c r="AR34" i="47"/>
  <c r="AQ35" i="47"/>
  <c r="AR35" i="47"/>
  <c r="AQ36" i="47"/>
  <c r="AR36" i="47"/>
  <c r="AQ37" i="47"/>
  <c r="AR37" i="47"/>
  <c r="AQ38" i="47"/>
  <c r="AR38" i="47"/>
  <c r="AQ39" i="47"/>
  <c r="AR39" i="47"/>
  <c r="AQ40" i="47"/>
  <c r="AR40" i="47"/>
  <c r="AQ41" i="47"/>
  <c r="AR41" i="47"/>
  <c r="AQ42" i="47"/>
  <c r="AR42" i="47"/>
  <c r="AR5" i="47"/>
  <c r="AQ5" i="47"/>
  <c r="AP6" i="47"/>
  <c r="AP7" i="47"/>
  <c r="AP8" i="47"/>
  <c r="AP9" i="47"/>
  <c r="AP10" i="47"/>
  <c r="AP11" i="47"/>
  <c r="AP12" i="47"/>
  <c r="AP13" i="47"/>
  <c r="AP14" i="47"/>
  <c r="AP15" i="47"/>
  <c r="AP16" i="47"/>
  <c r="AP17" i="47"/>
  <c r="AP18" i="47"/>
  <c r="AP19" i="47"/>
  <c r="AP20" i="47"/>
  <c r="AP21" i="47"/>
  <c r="AP22" i="47"/>
  <c r="AP23" i="47"/>
  <c r="AP24" i="47"/>
  <c r="AP25" i="47"/>
  <c r="AP26" i="47"/>
  <c r="AP27" i="47"/>
  <c r="AP28" i="47"/>
  <c r="AP29" i="47"/>
  <c r="AP30" i="47"/>
  <c r="AP31" i="47"/>
  <c r="AP32" i="47"/>
  <c r="AP33" i="47"/>
  <c r="AP34" i="47"/>
  <c r="AP35" i="47"/>
  <c r="AP36" i="47"/>
  <c r="AP37" i="47"/>
  <c r="AP38" i="47"/>
  <c r="AP39" i="47"/>
  <c r="AP40" i="47"/>
  <c r="AP41" i="47"/>
  <c r="AP42" i="47"/>
  <c r="AP5" i="47"/>
  <c r="AN6" i="47"/>
  <c r="AN7" i="47"/>
  <c r="AN8" i="47"/>
  <c r="AN9" i="47"/>
  <c r="AN10" i="47"/>
  <c r="AN11" i="47"/>
  <c r="AN12" i="47"/>
  <c r="AN13" i="47"/>
  <c r="AN14" i="47"/>
  <c r="AN15" i="47"/>
  <c r="AN16" i="47"/>
  <c r="AN17" i="47"/>
  <c r="AN18" i="47"/>
  <c r="AN19" i="47"/>
  <c r="AN20" i="47"/>
  <c r="AN21" i="47"/>
  <c r="AN22" i="47"/>
  <c r="AN23" i="47"/>
  <c r="AN24" i="47"/>
  <c r="AN25" i="47"/>
  <c r="AN26" i="47"/>
  <c r="AN27" i="47"/>
  <c r="AN28" i="47"/>
  <c r="AN29" i="47"/>
  <c r="AN30" i="47"/>
  <c r="AN31" i="47"/>
  <c r="AN32" i="47"/>
  <c r="AN33" i="47"/>
  <c r="AN34" i="47"/>
  <c r="AN35" i="47"/>
  <c r="AN36" i="47"/>
  <c r="AN37" i="47"/>
  <c r="AN38" i="47"/>
  <c r="AN39" i="47"/>
  <c r="AN40" i="47"/>
  <c r="AN41" i="47"/>
  <c r="AN42" i="47"/>
  <c r="AN5" i="47"/>
  <c r="AM6" i="47"/>
  <c r="AM7" i="47"/>
  <c r="AM8" i="47"/>
  <c r="AM9" i="47"/>
  <c r="AM10" i="47"/>
  <c r="AM11" i="47"/>
  <c r="AM12" i="47"/>
  <c r="AM13" i="47"/>
  <c r="AM14" i="47"/>
  <c r="AM15" i="47"/>
  <c r="AM16" i="47"/>
  <c r="AM17" i="47"/>
  <c r="AM18" i="47"/>
  <c r="AM19" i="47"/>
  <c r="AM20" i="47"/>
  <c r="AM21" i="47"/>
  <c r="AM22" i="47"/>
  <c r="AM23" i="47"/>
  <c r="AM24" i="47"/>
  <c r="AM25" i="47"/>
  <c r="AM26" i="47"/>
  <c r="AM27" i="47"/>
  <c r="AM28" i="47"/>
  <c r="AM29" i="47"/>
  <c r="AM30" i="47"/>
  <c r="AM31" i="47"/>
  <c r="AM32" i="47"/>
  <c r="AM33" i="47"/>
  <c r="AM34" i="47"/>
  <c r="AM35" i="47"/>
  <c r="AM36" i="47"/>
  <c r="AM37" i="47"/>
  <c r="AM38" i="47"/>
  <c r="AM39" i="47"/>
  <c r="AM40" i="47"/>
  <c r="AM41" i="47"/>
  <c r="AM42" i="47"/>
  <c r="AL6" i="47"/>
  <c r="AL7" i="47"/>
  <c r="AL8" i="47"/>
  <c r="AL9" i="47"/>
  <c r="AL10" i="47"/>
  <c r="AL11" i="47"/>
  <c r="AL12" i="47"/>
  <c r="AL13" i="47"/>
  <c r="AL14" i="47"/>
  <c r="AL15" i="47"/>
  <c r="AL16" i="47"/>
  <c r="AL17" i="47"/>
  <c r="AL18" i="47"/>
  <c r="AL19" i="47"/>
  <c r="AL20" i="47"/>
  <c r="AL21" i="47"/>
  <c r="AL22" i="47"/>
  <c r="AL23" i="47"/>
  <c r="AL24" i="47"/>
  <c r="AL25" i="47"/>
  <c r="AL26" i="47"/>
  <c r="AL27" i="47"/>
  <c r="AL28" i="47"/>
  <c r="AL29" i="47"/>
  <c r="AL30" i="47"/>
  <c r="AL31" i="47"/>
  <c r="AL32" i="47"/>
  <c r="AL33" i="47"/>
  <c r="AL34" i="47"/>
  <c r="AL35" i="47"/>
  <c r="AL36" i="47"/>
  <c r="AL37" i="47"/>
  <c r="AL38" i="47"/>
  <c r="AL39" i="47"/>
  <c r="AL40" i="47"/>
  <c r="AL41" i="47"/>
  <c r="AL42" i="47"/>
  <c r="AL5" i="47"/>
  <c r="AW6" i="47"/>
  <c r="AW7" i="47"/>
  <c r="AW8" i="47"/>
  <c r="AW9" i="47"/>
  <c r="AW10" i="47"/>
  <c r="AW11" i="47"/>
  <c r="AW12" i="47"/>
  <c r="AW13" i="47"/>
  <c r="AW14" i="47"/>
  <c r="AW15" i="47"/>
  <c r="AW16" i="47"/>
  <c r="AW17" i="47"/>
  <c r="AW18" i="47"/>
  <c r="AW19" i="47"/>
  <c r="AW20" i="47"/>
  <c r="AW21" i="47"/>
  <c r="AW22" i="47"/>
  <c r="AW23" i="47"/>
  <c r="AW24" i="47"/>
  <c r="AW25" i="47"/>
  <c r="AW26" i="47"/>
  <c r="AW27" i="47"/>
  <c r="AW28" i="47"/>
  <c r="AW29" i="47"/>
  <c r="AW30" i="47"/>
  <c r="AW31" i="47"/>
  <c r="AW32" i="47"/>
  <c r="AW33" i="47"/>
  <c r="AW34" i="47"/>
  <c r="AW35" i="47"/>
  <c r="AW36" i="47"/>
  <c r="AW37" i="47"/>
  <c r="AW38" i="47"/>
  <c r="AW39" i="47"/>
  <c r="AW40" i="47"/>
  <c r="AW41" i="47"/>
  <c r="AW42" i="47"/>
  <c r="AW5" i="47"/>
  <c r="AV6" i="47"/>
  <c r="AV7" i="47"/>
  <c r="AV8" i="47"/>
  <c r="AV9" i="47"/>
  <c r="AV10" i="47"/>
  <c r="AV11" i="47"/>
  <c r="AV12" i="47"/>
  <c r="AV13" i="47"/>
  <c r="AV14" i="47"/>
  <c r="AV15" i="47"/>
  <c r="AV16" i="47"/>
  <c r="AV17" i="47"/>
  <c r="AV18" i="47"/>
  <c r="AV19" i="47"/>
  <c r="AV20" i="47"/>
  <c r="AV21" i="47"/>
  <c r="AV22" i="47"/>
  <c r="AV23" i="47"/>
  <c r="AV24" i="47"/>
  <c r="AV25" i="47"/>
  <c r="AV26" i="47"/>
  <c r="AV27" i="47"/>
  <c r="AV28" i="47"/>
  <c r="AV29" i="47"/>
  <c r="AV30" i="47"/>
  <c r="AV31" i="47"/>
  <c r="AV32" i="47"/>
  <c r="AV33" i="47"/>
  <c r="AV34" i="47"/>
  <c r="AV35" i="47"/>
  <c r="AV36" i="47"/>
  <c r="AV37" i="47"/>
  <c r="AV38" i="47"/>
  <c r="AV39" i="47"/>
  <c r="AV40" i="47"/>
  <c r="AV41" i="47"/>
  <c r="AV42" i="47"/>
  <c r="AV5" i="47"/>
  <c r="AS6" i="47"/>
  <c r="AS7" i="47"/>
  <c r="AS8" i="47"/>
  <c r="AS9" i="47"/>
  <c r="AS10" i="47"/>
  <c r="AS11" i="47"/>
  <c r="AS12" i="47"/>
  <c r="AS13" i="47"/>
  <c r="AS14" i="47"/>
  <c r="AS15" i="47"/>
  <c r="AS16" i="47"/>
  <c r="AS17" i="47"/>
  <c r="AS18" i="47"/>
  <c r="AS19" i="47"/>
  <c r="AS20" i="47"/>
  <c r="AS21" i="47"/>
  <c r="AS22" i="47"/>
  <c r="AS23" i="47"/>
  <c r="AS24" i="47"/>
  <c r="AS25" i="47"/>
  <c r="AS26" i="47"/>
  <c r="AS27" i="47"/>
  <c r="AS28" i="47"/>
  <c r="AS29" i="47"/>
  <c r="AS30" i="47"/>
  <c r="AS31" i="47"/>
  <c r="AS32" i="47"/>
  <c r="AS33" i="47"/>
  <c r="AS34" i="47"/>
  <c r="AS35" i="47"/>
  <c r="AS36" i="47"/>
  <c r="AS37" i="47"/>
  <c r="AS38" i="47"/>
  <c r="AS39" i="47"/>
  <c r="AS40" i="47"/>
  <c r="AS41" i="47"/>
  <c r="AS42" i="47"/>
  <c r="AS5" i="47"/>
  <c r="V5" i="48"/>
  <c r="AQ6" i="48"/>
  <c r="AQ7" i="48"/>
  <c r="AQ8" i="48"/>
  <c r="AQ9" i="48"/>
  <c r="AQ10" i="48"/>
  <c r="AQ11" i="48"/>
  <c r="AQ12" i="48"/>
  <c r="AQ13" i="48"/>
  <c r="AQ14" i="48"/>
  <c r="AQ15" i="48"/>
  <c r="AQ16" i="48"/>
  <c r="AQ17" i="48"/>
  <c r="AQ18" i="48"/>
  <c r="AQ19" i="48"/>
  <c r="AQ20" i="48"/>
  <c r="AQ21" i="48"/>
  <c r="AQ22" i="48"/>
  <c r="AQ23" i="48"/>
  <c r="AQ24" i="48"/>
  <c r="AQ25" i="48"/>
  <c r="AQ26" i="48"/>
  <c r="AQ27" i="48"/>
  <c r="AQ28" i="48"/>
  <c r="AQ29" i="48"/>
  <c r="AQ30" i="48"/>
  <c r="AQ31" i="48"/>
  <c r="AQ32" i="48"/>
  <c r="AQ33" i="48"/>
  <c r="AQ34" i="48"/>
  <c r="AQ35" i="48"/>
  <c r="AQ36" i="48"/>
  <c r="AQ37" i="48"/>
  <c r="AQ38" i="48"/>
  <c r="AQ39" i="48"/>
  <c r="AQ40" i="48"/>
  <c r="AQ41" i="48"/>
  <c r="AQ42" i="48"/>
  <c r="AQ5" i="48"/>
  <c r="AN6" i="48"/>
  <c r="AN7" i="48"/>
  <c r="AN8" i="48"/>
  <c r="AN9" i="48"/>
  <c r="AN10" i="48"/>
  <c r="AN11" i="48"/>
  <c r="AN12" i="48"/>
  <c r="AN13" i="48"/>
  <c r="AN14" i="48"/>
  <c r="AN15" i="48"/>
  <c r="AN16" i="48"/>
  <c r="AN17" i="48"/>
  <c r="AN18" i="48"/>
  <c r="AN19" i="48"/>
  <c r="AN20" i="48"/>
  <c r="AN21" i="48"/>
  <c r="AN22" i="48"/>
  <c r="AN23" i="48"/>
  <c r="AN24" i="48"/>
  <c r="AN25" i="48"/>
  <c r="AN26" i="48"/>
  <c r="AN27" i="48"/>
  <c r="AN28" i="48"/>
  <c r="AN29" i="48"/>
  <c r="AN30" i="48"/>
  <c r="AN31" i="48"/>
  <c r="AN32" i="48"/>
  <c r="AN33" i="48"/>
  <c r="AN34" i="48"/>
  <c r="AN35" i="48"/>
  <c r="AN36" i="48"/>
  <c r="AN37" i="48"/>
  <c r="AN38" i="48"/>
  <c r="AN39" i="48"/>
  <c r="AN40" i="48"/>
  <c r="AN41" i="48"/>
  <c r="AN42" i="48"/>
  <c r="AN5" i="48"/>
  <c r="AD6" i="48"/>
  <c r="AD7" i="48"/>
  <c r="AD8" i="48"/>
  <c r="AD9" i="48"/>
  <c r="AD10" i="48"/>
  <c r="AD11" i="48"/>
  <c r="AD12" i="48"/>
  <c r="AD13" i="48"/>
  <c r="AD14" i="48"/>
  <c r="AD15" i="48"/>
  <c r="AD16" i="48"/>
  <c r="AD17" i="48"/>
  <c r="AD18" i="48"/>
  <c r="AD19" i="48"/>
  <c r="AD20" i="48"/>
  <c r="AD21" i="48"/>
  <c r="AD22" i="48"/>
  <c r="AD23" i="48"/>
  <c r="AD24" i="48"/>
  <c r="AD25" i="48"/>
  <c r="AD26" i="48"/>
  <c r="AD27" i="48"/>
  <c r="AD28" i="48"/>
  <c r="AD29" i="48"/>
  <c r="AD30" i="48"/>
  <c r="AD31" i="48"/>
  <c r="AD32" i="48"/>
  <c r="AD33" i="48"/>
  <c r="AD34" i="48"/>
  <c r="AD35" i="48"/>
  <c r="AD36" i="48"/>
  <c r="AD37" i="48"/>
  <c r="AD38" i="48"/>
  <c r="AD39" i="48"/>
  <c r="AD40" i="48"/>
  <c r="AD41" i="48"/>
  <c r="AD42" i="48"/>
  <c r="AD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5" i="48"/>
  <c r="T6" i="48"/>
  <c r="T7" i="48"/>
  <c r="T8" i="48"/>
  <c r="T9" i="48"/>
  <c r="T10" i="48"/>
  <c r="T11" i="48"/>
  <c r="T12" i="48"/>
  <c r="T13" i="48"/>
  <c r="T14" i="48"/>
  <c r="T15" i="48"/>
  <c r="T16" i="48"/>
  <c r="T17" i="48"/>
  <c r="T18" i="48"/>
  <c r="T19" i="48"/>
  <c r="T20" i="48"/>
  <c r="T21" i="48"/>
  <c r="T22" i="48"/>
  <c r="T23" i="48"/>
  <c r="T24" i="48"/>
  <c r="T25" i="48"/>
  <c r="T26" i="48"/>
  <c r="T27" i="48"/>
  <c r="T28" i="48"/>
  <c r="T29" i="48"/>
  <c r="T30" i="48"/>
  <c r="T31" i="48"/>
  <c r="T32" i="48"/>
  <c r="T33" i="48"/>
  <c r="T34" i="48"/>
  <c r="T35" i="48"/>
  <c r="T36" i="48"/>
  <c r="T37" i="48"/>
  <c r="T38" i="48"/>
  <c r="T39" i="48"/>
  <c r="T40" i="48"/>
  <c r="T41" i="48"/>
  <c r="T42" i="48"/>
  <c r="T5" i="48"/>
  <c r="Q6" i="48"/>
  <c r="R6" i="48"/>
  <c r="Q7" i="48"/>
  <c r="R7" i="48"/>
  <c r="Q8" i="48"/>
  <c r="R8" i="48"/>
  <c r="Q9" i="48"/>
  <c r="R9" i="48"/>
  <c r="Q10" i="48"/>
  <c r="R10" i="48"/>
  <c r="Q11" i="48"/>
  <c r="R11" i="48"/>
  <c r="Q12" i="48"/>
  <c r="R12" i="48"/>
  <c r="Q13" i="48"/>
  <c r="R13" i="48"/>
  <c r="Q14" i="48"/>
  <c r="R14" i="48"/>
  <c r="Q15" i="48"/>
  <c r="R15" i="48"/>
  <c r="Q16" i="48"/>
  <c r="R16" i="48"/>
  <c r="Q17" i="48"/>
  <c r="R17" i="48"/>
  <c r="Q18" i="48"/>
  <c r="R18" i="48"/>
  <c r="Q19" i="48"/>
  <c r="R19" i="48"/>
  <c r="Q20" i="48"/>
  <c r="R20" i="48"/>
  <c r="Q21" i="48"/>
  <c r="R21" i="48"/>
  <c r="Q22" i="48"/>
  <c r="R22" i="48"/>
  <c r="Q23" i="48"/>
  <c r="R23" i="48"/>
  <c r="Q24" i="48"/>
  <c r="R24" i="48"/>
  <c r="Q25" i="48"/>
  <c r="R25" i="48"/>
  <c r="Q26" i="48"/>
  <c r="R26" i="48"/>
  <c r="Q27" i="48"/>
  <c r="R27" i="48"/>
  <c r="Q28" i="48"/>
  <c r="R28" i="48"/>
  <c r="Q29" i="48"/>
  <c r="R29" i="48"/>
  <c r="Q30" i="48"/>
  <c r="R30" i="48"/>
  <c r="Q31" i="48"/>
  <c r="R31" i="48"/>
  <c r="Q32" i="48"/>
  <c r="R32" i="48"/>
  <c r="Q33" i="48"/>
  <c r="R33" i="48"/>
  <c r="Q34" i="48"/>
  <c r="R34" i="48"/>
  <c r="Q35" i="48"/>
  <c r="R35" i="48"/>
  <c r="Q36" i="48"/>
  <c r="R36" i="48"/>
  <c r="Q37" i="48"/>
  <c r="R37" i="48"/>
  <c r="Q38" i="48"/>
  <c r="R38" i="48"/>
  <c r="Q39" i="48"/>
  <c r="R39" i="48"/>
  <c r="Q40" i="48"/>
  <c r="R40" i="48"/>
  <c r="Q41" i="48"/>
  <c r="R41" i="48"/>
  <c r="Q42" i="48"/>
  <c r="R42" i="48"/>
  <c r="U6" i="48"/>
  <c r="V6" i="48"/>
  <c r="U7" i="48"/>
  <c r="V7" i="48"/>
  <c r="U8" i="48"/>
  <c r="V8" i="48"/>
  <c r="U9" i="48"/>
  <c r="V9" i="48"/>
  <c r="U10" i="48"/>
  <c r="V10" i="48"/>
  <c r="U11" i="48"/>
  <c r="V11" i="48"/>
  <c r="U12" i="48"/>
  <c r="V12" i="48"/>
  <c r="U13" i="48"/>
  <c r="V13" i="48"/>
  <c r="U14" i="48"/>
  <c r="V14" i="48"/>
  <c r="U15" i="48"/>
  <c r="V15" i="48"/>
  <c r="U16" i="48"/>
  <c r="V16" i="48"/>
  <c r="U17" i="48"/>
  <c r="V17" i="48"/>
  <c r="U18" i="48"/>
  <c r="V18" i="48"/>
  <c r="U19" i="48"/>
  <c r="V19" i="48"/>
  <c r="U20" i="48"/>
  <c r="V20" i="48"/>
  <c r="U21" i="48"/>
  <c r="V21" i="48"/>
  <c r="U22" i="48"/>
  <c r="V22" i="48"/>
  <c r="U23" i="48"/>
  <c r="V23" i="48"/>
  <c r="U24" i="48"/>
  <c r="V24" i="48"/>
  <c r="U25" i="48"/>
  <c r="V25" i="48"/>
  <c r="U26" i="48"/>
  <c r="V26" i="48"/>
  <c r="U27" i="48"/>
  <c r="V27" i="48"/>
  <c r="U28" i="48"/>
  <c r="V28" i="48"/>
  <c r="U29" i="48"/>
  <c r="V29" i="48"/>
  <c r="U30" i="48"/>
  <c r="V30" i="48"/>
  <c r="U31" i="48"/>
  <c r="V31" i="48"/>
  <c r="U32" i="48"/>
  <c r="V32" i="48"/>
  <c r="U33" i="48"/>
  <c r="V33" i="48"/>
  <c r="U34" i="48"/>
  <c r="V34" i="48"/>
  <c r="U35" i="48"/>
  <c r="V35" i="48"/>
  <c r="U36" i="48"/>
  <c r="V36" i="48"/>
  <c r="U37" i="48"/>
  <c r="V37" i="48"/>
  <c r="U38" i="48"/>
  <c r="V38" i="48"/>
  <c r="U39" i="48"/>
  <c r="V39" i="48"/>
  <c r="U40" i="48"/>
  <c r="V40" i="48"/>
  <c r="U41" i="48"/>
  <c r="V41" i="48"/>
  <c r="U42" i="48"/>
  <c r="V42" i="48"/>
  <c r="AB6" i="48"/>
  <c r="AC6" i="48"/>
  <c r="AB7" i="48"/>
  <c r="AC7" i="48"/>
  <c r="AB8" i="48"/>
  <c r="AC8" i="48"/>
  <c r="AB9" i="48"/>
  <c r="AC9" i="48"/>
  <c r="AB10" i="48"/>
  <c r="AC10" i="48"/>
  <c r="AB11" i="48"/>
  <c r="AC11" i="48"/>
  <c r="AB12" i="48"/>
  <c r="AC12" i="48"/>
  <c r="AB13" i="48"/>
  <c r="AC13" i="48"/>
  <c r="AB14" i="48"/>
  <c r="AC14" i="48"/>
  <c r="AB15" i="48"/>
  <c r="AC15" i="48"/>
  <c r="AB16" i="48"/>
  <c r="AC16" i="48"/>
  <c r="AB17" i="48"/>
  <c r="AC17" i="48"/>
  <c r="AB18" i="48"/>
  <c r="AC18" i="48"/>
  <c r="AB19" i="48"/>
  <c r="AC19" i="48"/>
  <c r="AB20" i="48"/>
  <c r="AC20" i="48"/>
  <c r="AB21" i="48"/>
  <c r="AC21" i="48"/>
  <c r="AB22" i="48"/>
  <c r="AC22" i="48"/>
  <c r="AB23" i="48"/>
  <c r="AC23" i="48"/>
  <c r="AB24" i="48"/>
  <c r="AC24" i="48"/>
  <c r="AB25" i="48"/>
  <c r="AC25" i="48"/>
  <c r="AB26" i="48"/>
  <c r="AC26" i="48"/>
  <c r="AB27" i="48"/>
  <c r="AC27" i="48"/>
  <c r="AB28" i="48"/>
  <c r="AC28" i="48"/>
  <c r="AB29" i="48"/>
  <c r="AC29" i="48"/>
  <c r="AB30" i="48"/>
  <c r="AC30" i="48"/>
  <c r="AB31" i="48"/>
  <c r="AC31" i="48"/>
  <c r="AB32" i="48"/>
  <c r="AC32" i="48"/>
  <c r="AB33" i="48"/>
  <c r="AC33" i="48"/>
  <c r="AB34" i="48"/>
  <c r="AC34" i="48"/>
  <c r="AB35" i="48"/>
  <c r="AC35" i="48"/>
  <c r="AB36" i="48"/>
  <c r="AC36" i="48"/>
  <c r="AB37" i="48"/>
  <c r="AC37" i="48"/>
  <c r="AB38" i="48"/>
  <c r="AC38" i="48"/>
  <c r="AB39" i="48"/>
  <c r="AC39" i="48"/>
  <c r="AB40" i="48"/>
  <c r="AC40" i="48"/>
  <c r="AB41" i="48"/>
  <c r="AC41" i="48"/>
  <c r="AB42" i="48"/>
  <c r="AC42" i="48"/>
  <c r="AE6" i="48"/>
  <c r="AF6" i="48"/>
  <c r="AE7" i="48"/>
  <c r="AF7" i="48"/>
  <c r="AE8" i="48"/>
  <c r="AF8" i="48"/>
  <c r="AE9" i="48"/>
  <c r="AF9" i="48"/>
  <c r="AE10" i="48"/>
  <c r="AF10" i="48"/>
  <c r="AE11" i="48"/>
  <c r="AF11" i="48"/>
  <c r="AE12" i="48"/>
  <c r="AF12" i="48"/>
  <c r="AE13" i="48"/>
  <c r="AF13" i="48"/>
  <c r="AE14" i="48"/>
  <c r="AF14" i="48"/>
  <c r="AE15" i="48"/>
  <c r="AF15" i="48"/>
  <c r="AE16" i="48"/>
  <c r="AF16" i="48"/>
  <c r="AE17" i="48"/>
  <c r="AF17" i="48"/>
  <c r="AE18" i="48"/>
  <c r="AF18" i="48"/>
  <c r="AE19" i="48"/>
  <c r="AF19" i="48"/>
  <c r="AE20" i="48"/>
  <c r="AF20" i="48"/>
  <c r="AE21" i="48"/>
  <c r="AF21" i="48"/>
  <c r="AE22" i="48"/>
  <c r="AF22" i="48"/>
  <c r="AE23" i="48"/>
  <c r="AF23" i="48"/>
  <c r="AE24" i="48"/>
  <c r="AF24" i="48"/>
  <c r="AE25" i="48"/>
  <c r="AF25" i="48"/>
  <c r="AE26" i="48"/>
  <c r="AF26" i="48"/>
  <c r="AE27" i="48"/>
  <c r="AF27" i="48"/>
  <c r="AE28" i="48"/>
  <c r="AF28" i="48"/>
  <c r="AE29" i="48"/>
  <c r="AF29" i="48"/>
  <c r="AE30" i="48"/>
  <c r="AF30" i="48"/>
  <c r="AE31" i="48"/>
  <c r="AF31" i="48"/>
  <c r="AE32" i="48"/>
  <c r="AF32" i="48"/>
  <c r="AE33" i="48"/>
  <c r="AF33" i="48"/>
  <c r="AE34" i="48"/>
  <c r="AF34" i="48"/>
  <c r="AE35" i="48"/>
  <c r="AF35" i="48"/>
  <c r="AE36" i="48"/>
  <c r="AF36" i="48"/>
  <c r="AE37" i="48"/>
  <c r="AF37" i="48"/>
  <c r="AE38" i="48"/>
  <c r="AF38" i="48"/>
  <c r="AE39" i="48"/>
  <c r="AF39" i="48"/>
  <c r="AE40" i="48"/>
  <c r="AF40" i="48"/>
  <c r="AE41" i="48"/>
  <c r="AF41" i="48"/>
  <c r="AE42" i="48"/>
  <c r="AF42" i="48"/>
  <c r="AH6" i="48"/>
  <c r="AI6" i="48"/>
  <c r="AH7" i="48"/>
  <c r="AI7" i="48"/>
  <c r="AH8" i="48"/>
  <c r="AI8" i="48"/>
  <c r="AH9" i="48"/>
  <c r="AI9" i="48"/>
  <c r="AH10" i="48"/>
  <c r="AI10" i="48"/>
  <c r="AH11" i="48"/>
  <c r="AI11" i="48"/>
  <c r="AH12" i="48"/>
  <c r="AI12" i="48"/>
  <c r="AH13" i="48"/>
  <c r="AI13" i="48"/>
  <c r="AH14" i="48"/>
  <c r="AI14" i="48"/>
  <c r="AH15" i="48"/>
  <c r="AI15" i="48"/>
  <c r="AH16" i="48"/>
  <c r="AI16" i="48"/>
  <c r="AH17" i="48"/>
  <c r="AI17" i="48"/>
  <c r="AH18" i="48"/>
  <c r="AI18" i="48"/>
  <c r="AH19" i="48"/>
  <c r="AI19" i="48"/>
  <c r="AH20" i="48"/>
  <c r="AI20" i="48"/>
  <c r="AH21" i="48"/>
  <c r="AI21" i="48"/>
  <c r="AH22" i="48"/>
  <c r="AI22" i="48"/>
  <c r="AH23" i="48"/>
  <c r="AI23" i="48"/>
  <c r="AH24" i="48"/>
  <c r="AI24" i="48"/>
  <c r="AH25" i="48"/>
  <c r="AI25" i="48"/>
  <c r="AH26" i="48"/>
  <c r="AI26" i="48"/>
  <c r="AH27" i="48"/>
  <c r="AI27" i="48"/>
  <c r="AH28" i="48"/>
  <c r="AI28" i="48"/>
  <c r="AH29" i="48"/>
  <c r="AI29" i="48"/>
  <c r="AH30" i="48"/>
  <c r="AI30" i="48"/>
  <c r="AH31" i="48"/>
  <c r="AI31" i="48"/>
  <c r="AH32" i="48"/>
  <c r="AI32" i="48"/>
  <c r="AH33" i="48"/>
  <c r="AI33" i="48"/>
  <c r="AH34" i="48"/>
  <c r="AI34" i="48"/>
  <c r="AH35" i="48"/>
  <c r="AI35" i="48"/>
  <c r="AH36" i="48"/>
  <c r="AI36" i="48"/>
  <c r="AH37" i="48"/>
  <c r="AI37" i="48"/>
  <c r="AH38" i="48"/>
  <c r="AI38" i="48"/>
  <c r="AH39" i="48"/>
  <c r="AI39" i="48"/>
  <c r="AH40" i="48"/>
  <c r="AI40" i="48"/>
  <c r="AH41" i="48"/>
  <c r="AI41" i="48"/>
  <c r="AH42" i="48"/>
  <c r="AI42" i="48"/>
  <c r="AL6" i="48"/>
  <c r="AM6" i="48"/>
  <c r="AL7" i="48"/>
  <c r="AM7" i="48"/>
  <c r="AL8" i="48"/>
  <c r="AM8" i="48"/>
  <c r="AL9" i="48"/>
  <c r="AM9" i="48"/>
  <c r="AL10" i="48"/>
  <c r="AM10" i="48"/>
  <c r="AL11" i="48"/>
  <c r="AM11" i="48"/>
  <c r="AL12" i="48"/>
  <c r="AM12" i="48"/>
  <c r="AL13" i="48"/>
  <c r="AM13" i="48"/>
  <c r="AL14" i="48"/>
  <c r="AM14" i="48"/>
  <c r="AL15" i="48"/>
  <c r="AM15" i="48"/>
  <c r="AL16" i="48"/>
  <c r="AM16" i="48"/>
  <c r="AL17" i="48"/>
  <c r="AM17" i="48"/>
  <c r="AL18" i="48"/>
  <c r="AM18" i="48"/>
  <c r="AL19" i="48"/>
  <c r="AM19" i="48"/>
  <c r="AL20" i="48"/>
  <c r="AM20" i="48"/>
  <c r="AL21" i="48"/>
  <c r="AM21" i="48"/>
  <c r="AL22" i="48"/>
  <c r="AM22" i="48"/>
  <c r="AL23" i="48"/>
  <c r="AM23" i="48"/>
  <c r="AL24" i="48"/>
  <c r="AM24" i="48"/>
  <c r="AL25" i="48"/>
  <c r="AM25" i="48"/>
  <c r="AL26" i="48"/>
  <c r="AM26" i="48"/>
  <c r="AL27" i="48"/>
  <c r="AM27" i="48"/>
  <c r="AL28" i="48"/>
  <c r="AM28" i="48"/>
  <c r="AL29" i="48"/>
  <c r="AM29" i="48"/>
  <c r="AL30" i="48"/>
  <c r="AM30" i="48"/>
  <c r="AL31" i="48"/>
  <c r="AM31" i="48"/>
  <c r="AL32" i="48"/>
  <c r="AM32" i="48"/>
  <c r="AL33" i="48"/>
  <c r="AM33" i="48"/>
  <c r="AL34" i="48"/>
  <c r="AM34" i="48"/>
  <c r="AL35" i="48"/>
  <c r="AM35" i="48"/>
  <c r="AL36" i="48"/>
  <c r="AM36" i="48"/>
  <c r="AL37" i="48"/>
  <c r="AM37" i="48"/>
  <c r="AL38" i="48"/>
  <c r="AM38" i="48"/>
  <c r="AL39" i="48"/>
  <c r="AM39" i="48"/>
  <c r="AL40" i="48"/>
  <c r="AM40" i="48"/>
  <c r="AL41" i="48"/>
  <c r="AM41" i="48"/>
  <c r="AL42" i="48"/>
  <c r="AM42" i="48"/>
  <c r="AO6" i="48"/>
  <c r="AP6" i="48"/>
  <c r="AO7" i="48"/>
  <c r="AP7" i="48"/>
  <c r="AO8" i="48"/>
  <c r="AP8" i="48"/>
  <c r="AO9" i="48"/>
  <c r="AP9" i="48"/>
  <c r="AO10" i="48"/>
  <c r="AP10" i="48"/>
  <c r="AO11" i="48"/>
  <c r="AP11" i="48"/>
  <c r="AO12" i="48"/>
  <c r="AP12" i="48"/>
  <c r="AO13" i="48"/>
  <c r="AP13" i="48"/>
  <c r="AO14" i="48"/>
  <c r="AP14" i="48"/>
  <c r="AO15" i="48"/>
  <c r="AP15" i="48"/>
  <c r="AO16" i="48"/>
  <c r="AP16" i="48"/>
  <c r="AO17" i="48"/>
  <c r="AP17" i="48"/>
  <c r="AO18" i="48"/>
  <c r="AP18" i="48"/>
  <c r="AO19" i="48"/>
  <c r="AP19" i="48"/>
  <c r="AO20" i="48"/>
  <c r="AP20" i="48"/>
  <c r="AO21" i="48"/>
  <c r="AP21" i="48"/>
  <c r="AO22" i="48"/>
  <c r="AP22" i="48"/>
  <c r="AO23" i="48"/>
  <c r="AP23" i="48"/>
  <c r="AO24" i="48"/>
  <c r="AP24" i="48"/>
  <c r="AO25" i="48"/>
  <c r="AP25" i="48"/>
  <c r="AO26" i="48"/>
  <c r="AP26" i="48"/>
  <c r="AO27" i="48"/>
  <c r="AP27" i="48"/>
  <c r="AO28" i="48"/>
  <c r="AP28" i="48"/>
  <c r="AO29" i="48"/>
  <c r="AP29" i="48"/>
  <c r="AO30" i="48"/>
  <c r="AP30" i="48"/>
  <c r="AO31" i="48"/>
  <c r="AP31" i="48"/>
  <c r="AO32" i="48"/>
  <c r="AP32" i="48"/>
  <c r="AO33" i="48"/>
  <c r="AP33" i="48"/>
  <c r="AO34" i="48"/>
  <c r="AP34" i="48"/>
  <c r="AO35" i="48"/>
  <c r="AP35" i="48"/>
  <c r="AO36" i="48"/>
  <c r="AP36" i="48"/>
  <c r="AO37" i="48"/>
  <c r="AP37" i="48"/>
  <c r="AO38" i="48"/>
  <c r="AP38" i="48"/>
  <c r="AO39" i="48"/>
  <c r="AP39" i="48"/>
  <c r="AO40" i="48"/>
  <c r="AP40" i="48"/>
  <c r="AO41" i="48"/>
  <c r="AP41" i="48"/>
  <c r="AO42" i="48"/>
  <c r="AP42" i="48"/>
  <c r="AR6" i="48"/>
  <c r="AS6" i="48"/>
  <c r="AR7" i="48"/>
  <c r="AS7" i="48"/>
  <c r="AR8" i="48"/>
  <c r="AS8" i="48"/>
  <c r="AR9" i="48"/>
  <c r="AS9" i="48"/>
  <c r="AR10" i="48"/>
  <c r="AS10" i="48"/>
  <c r="AR11" i="48"/>
  <c r="AS11" i="48"/>
  <c r="AR12" i="48"/>
  <c r="AS12" i="48"/>
  <c r="AR13" i="48"/>
  <c r="AS13" i="48"/>
  <c r="AR14" i="48"/>
  <c r="AS14" i="48"/>
  <c r="AR15" i="48"/>
  <c r="AS15" i="48"/>
  <c r="AR16" i="48"/>
  <c r="AS16" i="48"/>
  <c r="AR17" i="48"/>
  <c r="AS17" i="48"/>
  <c r="AR18" i="48"/>
  <c r="AS18" i="48"/>
  <c r="AR19" i="48"/>
  <c r="AS19" i="48"/>
  <c r="AR20" i="48"/>
  <c r="AS20" i="48"/>
  <c r="AR21" i="48"/>
  <c r="AS21" i="48"/>
  <c r="AR22" i="48"/>
  <c r="AS22" i="48"/>
  <c r="AR23" i="48"/>
  <c r="AS23" i="48"/>
  <c r="AR24" i="48"/>
  <c r="AS24" i="48"/>
  <c r="AR25" i="48"/>
  <c r="AS25" i="48"/>
  <c r="AR26" i="48"/>
  <c r="AS26" i="48"/>
  <c r="AR27" i="48"/>
  <c r="AS27" i="48"/>
  <c r="AR28" i="48"/>
  <c r="AS28" i="48"/>
  <c r="AR29" i="48"/>
  <c r="AS29" i="48"/>
  <c r="AR30" i="48"/>
  <c r="AS30" i="48"/>
  <c r="AR31" i="48"/>
  <c r="AS31" i="48"/>
  <c r="AR32" i="48"/>
  <c r="AS32" i="48"/>
  <c r="AR33" i="48"/>
  <c r="AS33" i="48"/>
  <c r="AR34" i="48"/>
  <c r="AS34" i="48"/>
  <c r="AR35" i="48"/>
  <c r="AS35" i="48"/>
  <c r="AR36" i="48"/>
  <c r="AS36" i="48"/>
  <c r="AR37" i="48"/>
  <c r="AS37" i="48"/>
  <c r="AR38" i="48"/>
  <c r="AS38" i="48"/>
  <c r="AR39" i="48"/>
  <c r="AS39" i="48"/>
  <c r="AR40" i="48"/>
  <c r="AS40" i="48"/>
  <c r="AR41" i="48"/>
  <c r="AS41" i="48"/>
  <c r="AR42" i="48"/>
  <c r="AS42" i="48"/>
  <c r="AS5" i="48"/>
  <c r="AR5" i="48"/>
  <c r="AP5" i="48"/>
  <c r="AO5" i="48"/>
  <c r="AM5" i="48"/>
  <c r="AL5" i="48"/>
  <c r="AI5" i="48"/>
  <c r="AF5" i="48"/>
  <c r="AE5" i="48"/>
  <c r="AC5" i="48"/>
  <c r="AB5" i="48"/>
  <c r="U5" i="48"/>
  <c r="R5" i="48"/>
  <c r="Q5" i="48"/>
  <c r="Z5" i="47"/>
  <c r="Y5" i="47"/>
  <c r="AA6" i="47"/>
  <c r="AA7" i="47"/>
  <c r="AA8" i="47"/>
  <c r="AA9" i="47"/>
  <c r="AA10" i="47"/>
  <c r="AA11" i="47"/>
  <c r="AA12" i="47"/>
  <c r="AA13" i="47"/>
  <c r="AA14" i="47"/>
  <c r="AA15" i="47"/>
  <c r="AA16" i="47"/>
  <c r="AA17" i="47"/>
  <c r="AA18" i="47"/>
  <c r="AA19" i="47"/>
  <c r="AA20" i="47"/>
  <c r="AA21" i="47"/>
  <c r="AA22" i="47"/>
  <c r="AA23" i="47"/>
  <c r="AA24" i="47"/>
  <c r="AA25" i="47"/>
  <c r="AA26" i="47"/>
  <c r="AA27" i="47"/>
  <c r="AA28" i="47"/>
  <c r="AA29" i="47"/>
  <c r="AA30" i="47"/>
  <c r="AA31" i="47"/>
  <c r="AA32" i="47"/>
  <c r="AA33" i="47"/>
  <c r="AA34" i="47"/>
  <c r="AA35" i="47"/>
  <c r="AA36" i="47"/>
  <c r="AA37" i="47"/>
  <c r="AA38" i="47"/>
  <c r="AA39" i="47"/>
  <c r="AA40" i="47"/>
  <c r="AA41" i="47"/>
  <c r="AA42" i="47"/>
  <c r="AA5" i="47"/>
  <c r="Z6" i="47"/>
  <c r="Z7" i="47"/>
  <c r="Z8" i="47"/>
  <c r="Z9" i="47"/>
  <c r="Z10" i="47"/>
  <c r="Z11" i="47"/>
  <c r="Z12" i="47"/>
  <c r="Z13" i="47"/>
  <c r="Z14" i="47"/>
  <c r="Z15" i="47"/>
  <c r="Z16" i="47"/>
  <c r="Z17" i="47"/>
  <c r="Z18" i="47"/>
  <c r="Z19" i="47"/>
  <c r="Z20" i="47"/>
  <c r="Z21" i="47"/>
  <c r="Z22" i="47"/>
  <c r="Z23" i="47"/>
  <c r="Z24" i="47"/>
  <c r="Z25" i="47"/>
  <c r="Z26" i="47"/>
  <c r="Z27" i="47"/>
  <c r="Z28" i="47"/>
  <c r="Z29" i="47"/>
  <c r="Z30" i="47"/>
  <c r="Z31" i="47"/>
  <c r="Z32" i="47"/>
  <c r="Z33" i="47"/>
  <c r="Z34" i="47"/>
  <c r="Z35" i="47"/>
  <c r="Z36" i="47"/>
  <c r="Z37" i="47"/>
  <c r="Z38" i="47"/>
  <c r="Z39" i="47"/>
  <c r="Z40" i="47"/>
  <c r="Z41" i="47"/>
  <c r="Z42" i="47"/>
  <c r="Y6" i="47"/>
  <c r="Y7" i="47"/>
  <c r="Y8" i="47"/>
  <c r="Y9" i="47"/>
  <c r="Y10" i="47"/>
  <c r="Y11" i="47"/>
  <c r="Y12" i="47"/>
  <c r="Y13" i="47"/>
  <c r="Y14" i="47"/>
  <c r="Y15" i="47"/>
  <c r="Y16" i="47"/>
  <c r="Y17" i="47"/>
  <c r="Y18" i="47"/>
  <c r="Y19" i="47"/>
  <c r="Y20" i="47"/>
  <c r="Y21" i="47"/>
  <c r="Y22" i="47"/>
  <c r="Y23" i="47"/>
  <c r="Y24" i="47"/>
  <c r="Y25" i="47"/>
  <c r="Y26" i="47"/>
  <c r="Y27" i="47"/>
  <c r="Y28" i="47"/>
  <c r="Y29" i="47"/>
  <c r="Y30" i="47"/>
  <c r="Y31" i="47"/>
  <c r="Y32" i="47"/>
  <c r="Y33" i="47"/>
  <c r="Y34" i="47"/>
  <c r="Y35" i="47"/>
  <c r="Y36" i="47"/>
  <c r="Y37" i="47"/>
  <c r="Y38" i="47"/>
  <c r="Y39" i="47"/>
  <c r="Y40" i="47"/>
  <c r="Y41" i="47"/>
  <c r="Y42" i="47"/>
  <c r="AG5" i="48"/>
  <c r="X6" i="47"/>
  <c r="X7" i="47"/>
  <c r="X8" i="47"/>
  <c r="X9" i="47"/>
  <c r="X10" i="47"/>
  <c r="X11" i="47"/>
  <c r="X12" i="47"/>
  <c r="X13" i="47"/>
  <c r="X14" i="47"/>
  <c r="X15" i="47"/>
  <c r="X16" i="47"/>
  <c r="X17" i="47"/>
  <c r="X18" i="47"/>
  <c r="X19" i="47"/>
  <c r="X20" i="47"/>
  <c r="X21" i="47"/>
  <c r="X22" i="47"/>
  <c r="X23" i="47"/>
  <c r="X24" i="47"/>
  <c r="X25" i="47"/>
  <c r="X26" i="47"/>
  <c r="X27" i="47"/>
  <c r="X28" i="47"/>
  <c r="X29" i="47"/>
  <c r="X30" i="47"/>
  <c r="X31" i="47"/>
  <c r="X32" i="47"/>
  <c r="X33" i="47"/>
  <c r="X34" i="47"/>
  <c r="X35" i="47"/>
  <c r="X36" i="47"/>
  <c r="X37" i="47"/>
  <c r="X38" i="47"/>
  <c r="X39" i="47"/>
  <c r="X40" i="47"/>
  <c r="X41" i="47"/>
  <c r="X42" i="47"/>
  <c r="X5" i="47"/>
  <c r="W5" i="47"/>
  <c r="W6" i="47"/>
  <c r="W7" i="47"/>
  <c r="W8" i="47"/>
  <c r="W9" i="47"/>
  <c r="W10" i="47"/>
  <c r="W11" i="47"/>
  <c r="W12" i="47"/>
  <c r="W13" i="47"/>
  <c r="W14" i="47"/>
  <c r="W15" i="47"/>
  <c r="W16" i="47"/>
  <c r="W17" i="47"/>
  <c r="W18" i="47"/>
  <c r="W19" i="47"/>
  <c r="W20" i="47"/>
  <c r="W21" i="47"/>
  <c r="W22" i="47"/>
  <c r="W23" i="47"/>
  <c r="W24" i="47"/>
  <c r="W25" i="47"/>
  <c r="W26" i="47"/>
  <c r="W27" i="47"/>
  <c r="W28" i="47"/>
  <c r="W29" i="47"/>
  <c r="W30" i="47"/>
  <c r="W31" i="47"/>
  <c r="W32" i="47"/>
  <c r="W33" i="47"/>
  <c r="W34" i="47"/>
  <c r="W35" i="47"/>
  <c r="W36" i="47"/>
  <c r="W37" i="47"/>
  <c r="W38" i="47"/>
  <c r="W39" i="47"/>
  <c r="W40" i="47"/>
  <c r="W41" i="47"/>
  <c r="W42" i="47"/>
  <c r="Q5" i="47"/>
  <c r="V6" i="47"/>
  <c r="V7" i="47"/>
  <c r="V8" i="47"/>
  <c r="V9" i="47"/>
  <c r="V10" i="47"/>
  <c r="V11" i="47"/>
  <c r="V12" i="47"/>
  <c r="V13" i="47"/>
  <c r="V14" i="47"/>
  <c r="V15" i="47"/>
  <c r="V16" i="47"/>
  <c r="V17" i="47"/>
  <c r="V18" i="47"/>
  <c r="V19" i="47"/>
  <c r="V20" i="47"/>
  <c r="V21" i="47"/>
  <c r="V22" i="47"/>
  <c r="V23" i="47"/>
  <c r="V24" i="47"/>
  <c r="V25" i="47"/>
  <c r="V26" i="47"/>
  <c r="V27" i="47"/>
  <c r="V28" i="47"/>
  <c r="V29" i="47"/>
  <c r="V30" i="47"/>
  <c r="V31" i="47"/>
  <c r="V32" i="47"/>
  <c r="V33" i="47"/>
  <c r="V34" i="47"/>
  <c r="V35" i="47"/>
  <c r="V36" i="47"/>
  <c r="V37" i="47"/>
  <c r="V38" i="47"/>
  <c r="V39" i="47"/>
  <c r="V40" i="47"/>
  <c r="V41" i="47"/>
  <c r="V42" i="47"/>
  <c r="V5" i="47"/>
  <c r="P5" i="47"/>
  <c r="O5" i="47"/>
  <c r="N5" i="47"/>
  <c r="H6" i="25" l="1"/>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H5" i="25"/>
  <c r="G5" i="25"/>
  <c r="F6" i="25"/>
  <c r="F7" i="25"/>
  <c r="F8"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5" i="25"/>
  <c r="AB6" i="47" l="1" a="1"/>
  <c r="AB6" i="47" s="1"/>
  <c r="AC6" i="47" a="1"/>
  <c r="AC6" i="47"/>
  <c r="AB7" i="47" a="1"/>
  <c r="AB7" i="47" s="1"/>
  <c r="AC7" i="47" a="1"/>
  <c r="AC7" i="47"/>
  <c r="AB8" i="47" a="1"/>
  <c r="AB8" i="47" s="1"/>
  <c r="AC8" i="47" a="1"/>
  <c r="AC8" i="47"/>
  <c r="AB9" i="47" a="1"/>
  <c r="AB9" i="47" s="1"/>
  <c r="AC9" i="47" a="1"/>
  <c r="AC9" i="47"/>
  <c r="AB10" i="47" a="1"/>
  <c r="AB10" i="47" s="1"/>
  <c r="AC10" i="47" a="1"/>
  <c r="AC10" i="47"/>
  <c r="AB11" i="47" a="1"/>
  <c r="AB11" i="47" s="1"/>
  <c r="AC11" i="47" a="1"/>
  <c r="AC11" i="47"/>
  <c r="AB12" i="47" a="1"/>
  <c r="AB12" i="47" s="1"/>
  <c r="AC12" i="47" a="1"/>
  <c r="AC12" i="47"/>
  <c r="AB13" i="47" a="1"/>
  <c r="AB13" i="47" s="1"/>
  <c r="AC13" i="47" a="1"/>
  <c r="AC13" i="47"/>
  <c r="AB14" i="47" a="1"/>
  <c r="AB14" i="47" s="1"/>
  <c r="AC14" i="47" a="1"/>
  <c r="AC14" i="47"/>
  <c r="AB15" i="47" a="1"/>
  <c r="AB15" i="47" s="1"/>
  <c r="AC15" i="47" a="1"/>
  <c r="AC15" i="47"/>
  <c r="AB16" i="47" a="1"/>
  <c r="AB16" i="47" s="1"/>
  <c r="AC16" i="47" a="1"/>
  <c r="AC16" i="47"/>
  <c r="AB17" i="47" a="1"/>
  <c r="AB17" i="47" s="1"/>
  <c r="AC17" i="47" a="1"/>
  <c r="AC17" i="47"/>
  <c r="AB18" i="47" a="1"/>
  <c r="AB18" i="47" s="1"/>
  <c r="AC18" i="47" a="1"/>
  <c r="AC18" i="47"/>
  <c r="AB19" i="47" a="1"/>
  <c r="AB19" i="47" s="1"/>
  <c r="AC19" i="47" a="1"/>
  <c r="AC19" i="47"/>
  <c r="AB20" i="47" a="1"/>
  <c r="AB20" i="47" s="1"/>
  <c r="AC20" i="47" a="1"/>
  <c r="AC20" i="47"/>
  <c r="AB21" i="47" a="1"/>
  <c r="AB21" i="47" s="1"/>
  <c r="AC21" i="47" a="1"/>
  <c r="AC21" i="47"/>
  <c r="AB22" i="47" a="1"/>
  <c r="AB22" i="47" s="1"/>
  <c r="AC22" i="47" a="1"/>
  <c r="AC22" i="47"/>
  <c r="AB23" i="47" a="1"/>
  <c r="AB23" i="47" s="1"/>
  <c r="AC23" i="47" a="1"/>
  <c r="AC23" i="47"/>
  <c r="AB24" i="47" a="1"/>
  <c r="AB24" i="47" s="1"/>
  <c r="AC24" i="47" a="1"/>
  <c r="AC24" i="47"/>
  <c r="AB25" i="47" a="1"/>
  <c r="AB25" i="47" s="1"/>
  <c r="AC25" i="47" a="1"/>
  <c r="AC25" i="47"/>
  <c r="AB26" i="47" a="1"/>
  <c r="AB26" i="47" s="1"/>
  <c r="AC26" i="47" a="1"/>
  <c r="AC26" i="47"/>
  <c r="AB27" i="47" a="1"/>
  <c r="AB27" i="47" s="1"/>
  <c r="AC27" i="47" a="1"/>
  <c r="AC27" i="47"/>
  <c r="AB28" i="47" a="1"/>
  <c r="AB28" i="47" s="1"/>
  <c r="AC28" i="47" a="1"/>
  <c r="AC28" i="47"/>
  <c r="AB29" i="47" a="1"/>
  <c r="AB29" i="47" s="1"/>
  <c r="AC29" i="47" a="1"/>
  <c r="AC29" i="47"/>
  <c r="AB30" i="47" a="1"/>
  <c r="AB30" i="47" s="1"/>
  <c r="AC30" i="47" a="1"/>
  <c r="AC30" i="47"/>
  <c r="AB31" i="47" a="1"/>
  <c r="AB31" i="47" s="1"/>
  <c r="AC31" i="47" a="1"/>
  <c r="AC31" i="47"/>
  <c r="AB32" i="47" a="1"/>
  <c r="AB32" i="47" s="1"/>
  <c r="AC32" i="47" a="1"/>
  <c r="AC32" i="47"/>
  <c r="AB33" i="47" a="1"/>
  <c r="AB33" i="47" s="1"/>
  <c r="AC33" i="47" a="1"/>
  <c r="AC33" i="47"/>
  <c r="AB34" i="47" a="1"/>
  <c r="AB34" i="47" s="1"/>
  <c r="AC34" i="47" a="1"/>
  <c r="AC34" i="47"/>
  <c r="AB35" i="47" a="1"/>
  <c r="AB35" i="47" s="1"/>
  <c r="AC35" i="47" a="1"/>
  <c r="AC35" i="47"/>
  <c r="AB36" i="47" a="1"/>
  <c r="AB36" i="47" s="1"/>
  <c r="AC36" i="47" a="1"/>
  <c r="AC36" i="47"/>
  <c r="AB37" i="47" a="1"/>
  <c r="AB37" i="47" s="1"/>
  <c r="AC37" i="47" a="1"/>
  <c r="AC37" i="47"/>
  <c r="AB38" i="47" a="1"/>
  <c r="AB38" i="47" s="1"/>
  <c r="AC38" i="47" a="1"/>
  <c r="AC38" i="47"/>
  <c r="AB39" i="47" a="1"/>
  <c r="AB39" i="47" s="1"/>
  <c r="AC39" i="47" a="1"/>
  <c r="AC39" i="47"/>
  <c r="AB40" i="47" a="1"/>
  <c r="AB40" i="47" s="1"/>
  <c r="AC40" i="47" a="1"/>
  <c r="AC40" i="47"/>
  <c r="AB41" i="47" a="1"/>
  <c r="AB41" i="47" s="1"/>
  <c r="AC41" i="47" a="1"/>
  <c r="AC41" i="47"/>
  <c r="AB42" i="47" a="1"/>
  <c r="AB42" i="47" s="1"/>
  <c r="AC42" i="47" a="1"/>
  <c r="AC42" i="47"/>
  <c r="AC5" i="47" a="1"/>
  <c r="AC5" i="47" s="1"/>
  <c r="AB5" i="47" a="1"/>
  <c r="AB5" i="47" s="1"/>
  <c r="AK5" i="48" l="1"/>
  <c r="P5" i="48"/>
  <c r="AE6" i="25"/>
  <c r="AF6" i="25"/>
  <c r="AE7" i="25"/>
  <c r="AF7" i="25"/>
  <c r="AE8" i="25"/>
  <c r="AF8" i="25"/>
  <c r="AE9" i="25"/>
  <c r="AF9" i="25"/>
  <c r="AE10" i="25"/>
  <c r="AF10" i="25"/>
  <c r="AE11" i="25"/>
  <c r="AF11" i="25"/>
  <c r="AE12" i="25"/>
  <c r="AF12" i="25"/>
  <c r="AE13" i="25"/>
  <c r="AF13" i="25"/>
  <c r="AE14" i="25"/>
  <c r="AF14" i="25"/>
  <c r="AE15" i="25"/>
  <c r="AF15" i="25"/>
  <c r="AE16" i="25"/>
  <c r="AF16" i="25"/>
  <c r="AE17" i="25"/>
  <c r="AF17" i="25"/>
  <c r="AE18" i="25"/>
  <c r="AF18" i="25"/>
  <c r="AE19" i="25"/>
  <c r="AF19" i="25"/>
  <c r="AE20" i="25"/>
  <c r="AF20" i="25"/>
  <c r="AE21" i="25"/>
  <c r="AF21" i="25"/>
  <c r="AE22" i="25"/>
  <c r="AF22" i="25"/>
  <c r="AE23" i="25"/>
  <c r="AF23" i="25"/>
  <c r="AE24" i="25"/>
  <c r="AF24" i="25"/>
  <c r="AE25" i="25"/>
  <c r="AF25" i="25"/>
  <c r="AE26" i="25"/>
  <c r="AF26" i="25"/>
  <c r="AE27" i="25"/>
  <c r="AF27" i="25"/>
  <c r="AE28" i="25"/>
  <c r="AF28" i="25"/>
  <c r="AE29" i="25"/>
  <c r="AF29" i="25"/>
  <c r="AE30" i="25"/>
  <c r="AF30" i="25"/>
  <c r="AE31" i="25"/>
  <c r="AF31" i="25"/>
  <c r="AE32" i="25"/>
  <c r="AF32" i="25"/>
  <c r="AE33" i="25"/>
  <c r="AF33" i="25"/>
  <c r="AE34" i="25"/>
  <c r="AF34" i="25"/>
  <c r="AE35" i="25"/>
  <c r="AF35" i="25"/>
  <c r="AE36" i="25"/>
  <c r="AF36" i="25"/>
  <c r="AE37" i="25"/>
  <c r="AF37" i="25"/>
  <c r="AE38" i="25"/>
  <c r="AF38" i="25"/>
  <c r="AE39" i="25"/>
  <c r="AF39" i="25"/>
  <c r="AF5" i="25"/>
  <c r="AE5" i="25"/>
  <c r="AB6" i="25"/>
  <c r="AC6" i="25"/>
  <c r="AB7" i="25"/>
  <c r="AC7" i="25"/>
  <c r="AB8" i="25"/>
  <c r="AC8" i="25"/>
  <c r="AB9" i="25"/>
  <c r="AC9" i="25"/>
  <c r="AB10" i="25"/>
  <c r="AC10" i="25"/>
  <c r="AB11" i="25"/>
  <c r="AC11" i="25"/>
  <c r="AB12" i="25"/>
  <c r="AC12" i="25"/>
  <c r="AB13" i="25"/>
  <c r="AC13" i="25"/>
  <c r="AB14" i="25"/>
  <c r="AC14" i="25"/>
  <c r="AB15" i="25"/>
  <c r="AC15" i="25"/>
  <c r="AB16" i="25"/>
  <c r="AC16" i="25"/>
  <c r="AB17" i="25"/>
  <c r="AC17" i="25"/>
  <c r="AB18" i="25"/>
  <c r="AC18" i="25"/>
  <c r="AB19" i="25"/>
  <c r="AC19" i="25"/>
  <c r="AB20" i="25"/>
  <c r="AC20" i="25"/>
  <c r="AB21" i="25"/>
  <c r="AC21" i="25"/>
  <c r="AB22" i="25"/>
  <c r="AC22" i="25"/>
  <c r="AB23" i="25"/>
  <c r="AC23" i="25"/>
  <c r="AB24" i="25"/>
  <c r="AC24" i="25"/>
  <c r="AB25" i="25"/>
  <c r="AC25" i="25"/>
  <c r="AB26" i="25"/>
  <c r="AC26" i="25"/>
  <c r="AB27" i="25"/>
  <c r="AC27" i="25"/>
  <c r="AB28" i="25"/>
  <c r="AC28" i="25"/>
  <c r="AB29" i="25"/>
  <c r="AC29" i="25"/>
  <c r="AB30" i="25"/>
  <c r="AC30" i="25"/>
  <c r="AB31" i="25"/>
  <c r="AC31" i="25"/>
  <c r="AB32" i="25"/>
  <c r="AC32" i="25"/>
  <c r="AB33" i="25"/>
  <c r="AC33" i="25"/>
  <c r="AB34" i="25"/>
  <c r="AC34" i="25"/>
  <c r="AB35" i="25"/>
  <c r="AC35" i="25"/>
  <c r="AB36" i="25"/>
  <c r="AC36" i="25"/>
  <c r="AB37" i="25"/>
  <c r="AC37" i="25"/>
  <c r="AB38" i="25"/>
  <c r="AC38" i="25"/>
  <c r="AB39" i="25"/>
  <c r="AC39" i="25"/>
  <c r="AC5" i="25"/>
  <c r="AB5" i="25"/>
  <c r="Y6" i="25"/>
  <c r="Z6" i="25"/>
  <c r="Y7" i="25"/>
  <c r="Z7" i="25"/>
  <c r="Y8" i="25"/>
  <c r="Z8" i="25"/>
  <c r="Y9" i="25"/>
  <c r="Z9" i="25"/>
  <c r="Y10" i="25"/>
  <c r="Z10" i="25"/>
  <c r="Y11" i="25"/>
  <c r="Z11" i="25"/>
  <c r="Y12" i="25"/>
  <c r="Z12" i="25"/>
  <c r="Y13" i="25"/>
  <c r="Z13" i="25"/>
  <c r="Y14" i="25"/>
  <c r="Z14" i="25"/>
  <c r="Y15" i="25"/>
  <c r="Z15" i="25"/>
  <c r="Y16" i="25"/>
  <c r="Z16" i="25"/>
  <c r="Y17" i="25"/>
  <c r="Z17" i="25"/>
  <c r="Y18" i="25"/>
  <c r="Z18" i="25"/>
  <c r="Y19" i="25"/>
  <c r="Z19" i="25"/>
  <c r="Y20" i="25"/>
  <c r="Z20" i="25"/>
  <c r="Y21" i="25"/>
  <c r="Z21" i="25"/>
  <c r="Y22" i="25"/>
  <c r="Z22" i="25"/>
  <c r="Y23" i="25"/>
  <c r="Z23" i="25"/>
  <c r="Y24" i="25"/>
  <c r="Z24" i="25"/>
  <c r="Y25" i="25"/>
  <c r="Z25" i="25"/>
  <c r="Y26" i="25"/>
  <c r="Z26" i="25"/>
  <c r="Y27" i="25"/>
  <c r="Z27" i="25"/>
  <c r="Y28" i="25"/>
  <c r="Z28" i="25"/>
  <c r="Y29" i="25"/>
  <c r="Z29" i="25"/>
  <c r="Y30" i="25"/>
  <c r="Z30" i="25"/>
  <c r="Y31" i="25"/>
  <c r="Z31" i="25"/>
  <c r="Y32" i="25"/>
  <c r="Z32" i="25"/>
  <c r="Y33" i="25"/>
  <c r="Z33" i="25"/>
  <c r="Y34" i="25"/>
  <c r="Z34" i="25"/>
  <c r="Y35" i="25"/>
  <c r="Z35" i="25"/>
  <c r="Y36" i="25"/>
  <c r="Z36" i="25"/>
  <c r="Y37" i="25"/>
  <c r="Z37" i="25"/>
  <c r="Y38" i="25"/>
  <c r="Z38" i="25"/>
  <c r="Y39" i="25"/>
  <c r="Z39" i="25"/>
  <c r="Z5" i="25"/>
  <c r="Y5" i="25"/>
  <c r="V6" i="25"/>
  <c r="W6" i="25"/>
  <c r="V7" i="25"/>
  <c r="W7" i="25"/>
  <c r="V8" i="25"/>
  <c r="W8" i="25"/>
  <c r="V9" i="25"/>
  <c r="W9" i="25"/>
  <c r="V10" i="25"/>
  <c r="W10" i="25"/>
  <c r="V11" i="25"/>
  <c r="W11" i="25"/>
  <c r="V12" i="25"/>
  <c r="W12" i="25"/>
  <c r="V13" i="25"/>
  <c r="W13" i="25"/>
  <c r="V14" i="25"/>
  <c r="W14" i="25"/>
  <c r="V15" i="25"/>
  <c r="W15" i="25"/>
  <c r="V16" i="25"/>
  <c r="W16" i="25"/>
  <c r="V17" i="25"/>
  <c r="W17" i="25"/>
  <c r="V18" i="25"/>
  <c r="W18" i="25"/>
  <c r="V19" i="25"/>
  <c r="W19" i="25"/>
  <c r="V20" i="25"/>
  <c r="W20" i="25"/>
  <c r="V21" i="25"/>
  <c r="W21" i="25"/>
  <c r="V22" i="25"/>
  <c r="W22" i="25"/>
  <c r="V23" i="25"/>
  <c r="W23" i="25"/>
  <c r="V24" i="25"/>
  <c r="W24" i="25"/>
  <c r="V25" i="25"/>
  <c r="W25" i="25"/>
  <c r="V26" i="25"/>
  <c r="W26" i="25"/>
  <c r="V27" i="25"/>
  <c r="W27" i="25"/>
  <c r="V28" i="25"/>
  <c r="W28" i="25"/>
  <c r="V29" i="25"/>
  <c r="W29" i="25"/>
  <c r="V30" i="25"/>
  <c r="W30" i="25"/>
  <c r="V31" i="25"/>
  <c r="W31" i="25"/>
  <c r="V32" i="25"/>
  <c r="W32" i="25"/>
  <c r="V33" i="25"/>
  <c r="W33" i="25"/>
  <c r="V34" i="25"/>
  <c r="W34" i="25"/>
  <c r="V35" i="25"/>
  <c r="W35" i="25"/>
  <c r="V36" i="25"/>
  <c r="W36" i="25"/>
  <c r="V37" i="25"/>
  <c r="W37" i="25"/>
  <c r="V38" i="25"/>
  <c r="W38" i="25"/>
  <c r="V39" i="25"/>
  <c r="W39" i="25"/>
  <c r="W5" i="25"/>
  <c r="V5" i="25"/>
  <c r="S6" i="25"/>
  <c r="T6" i="25"/>
  <c r="S7" i="25"/>
  <c r="T7" i="25"/>
  <c r="S8" i="25"/>
  <c r="T8" i="25"/>
  <c r="S9" i="25"/>
  <c r="T9" i="25"/>
  <c r="S10" i="25"/>
  <c r="T10" i="25"/>
  <c r="S11" i="25"/>
  <c r="T11" i="25"/>
  <c r="S12" i="25"/>
  <c r="T12" i="25"/>
  <c r="S13" i="25"/>
  <c r="T13" i="25"/>
  <c r="S14" i="25"/>
  <c r="T14" i="25"/>
  <c r="S15" i="25"/>
  <c r="T15" i="25"/>
  <c r="S16" i="25"/>
  <c r="T16" i="25"/>
  <c r="S17" i="25"/>
  <c r="T17" i="25"/>
  <c r="S18" i="25"/>
  <c r="T18" i="25"/>
  <c r="S19" i="25"/>
  <c r="T19" i="25"/>
  <c r="S20" i="25"/>
  <c r="T20" i="25"/>
  <c r="S21" i="25"/>
  <c r="T21" i="25"/>
  <c r="S22" i="25"/>
  <c r="T22" i="25"/>
  <c r="S23" i="25"/>
  <c r="T23" i="25"/>
  <c r="S24" i="25"/>
  <c r="T24" i="25"/>
  <c r="S25" i="25"/>
  <c r="T25" i="25"/>
  <c r="S26" i="25"/>
  <c r="T26" i="25"/>
  <c r="S27" i="25"/>
  <c r="T27" i="25"/>
  <c r="S28" i="25"/>
  <c r="T28" i="25"/>
  <c r="S29" i="25"/>
  <c r="T29" i="25"/>
  <c r="S30" i="25"/>
  <c r="T30" i="25"/>
  <c r="S31" i="25"/>
  <c r="T31" i="25"/>
  <c r="S32" i="25"/>
  <c r="T32" i="25"/>
  <c r="S33" i="25"/>
  <c r="T33" i="25"/>
  <c r="S34" i="25"/>
  <c r="T34" i="25"/>
  <c r="S35" i="25"/>
  <c r="T35" i="25"/>
  <c r="S36" i="25"/>
  <c r="T36" i="25"/>
  <c r="S37" i="25"/>
  <c r="T37" i="25"/>
  <c r="S38" i="25"/>
  <c r="T38" i="25"/>
  <c r="S39" i="25"/>
  <c r="T39" i="25"/>
  <c r="T5" i="25"/>
  <c r="S5" i="25"/>
  <c r="P6" i="25"/>
  <c r="Q6" i="25"/>
  <c r="P7" i="25"/>
  <c r="Q7" i="25"/>
  <c r="P8" i="25"/>
  <c r="Q8" i="25"/>
  <c r="P9" i="25"/>
  <c r="Q9" i="25"/>
  <c r="P10" i="25"/>
  <c r="Q10" i="25"/>
  <c r="P11" i="25"/>
  <c r="Q11" i="25"/>
  <c r="P12" i="25"/>
  <c r="Q12" i="25"/>
  <c r="P13" i="25"/>
  <c r="Q13" i="25"/>
  <c r="P14" i="25"/>
  <c r="Q14" i="25"/>
  <c r="P15" i="25"/>
  <c r="Q15" i="25"/>
  <c r="P16" i="25"/>
  <c r="Q16" i="25"/>
  <c r="P17" i="25"/>
  <c r="Q17" i="25"/>
  <c r="P18" i="25"/>
  <c r="Q18" i="25"/>
  <c r="P19" i="25"/>
  <c r="Q19" i="25"/>
  <c r="P20" i="25"/>
  <c r="Q20" i="25"/>
  <c r="P21" i="25"/>
  <c r="Q21" i="25"/>
  <c r="P22" i="25"/>
  <c r="Q22" i="25"/>
  <c r="P23" i="25"/>
  <c r="Q23" i="25"/>
  <c r="P24" i="25"/>
  <c r="Q24" i="25"/>
  <c r="P25" i="25"/>
  <c r="Q25" i="25"/>
  <c r="P26" i="25"/>
  <c r="Q26" i="25"/>
  <c r="P27" i="25"/>
  <c r="Q27" i="25"/>
  <c r="P28" i="25"/>
  <c r="Q28" i="25"/>
  <c r="P29" i="25"/>
  <c r="Q29" i="25"/>
  <c r="P30" i="25"/>
  <c r="Q30" i="25"/>
  <c r="P31" i="25"/>
  <c r="Q31" i="25"/>
  <c r="P32" i="25"/>
  <c r="Q32" i="25"/>
  <c r="P33" i="25"/>
  <c r="Q33" i="25"/>
  <c r="P34" i="25"/>
  <c r="Q34" i="25"/>
  <c r="P35" i="25"/>
  <c r="Q35" i="25"/>
  <c r="P36" i="25"/>
  <c r="Q36" i="25"/>
  <c r="P37" i="25"/>
  <c r="Q37" i="25"/>
  <c r="P38" i="25"/>
  <c r="Q38" i="25"/>
  <c r="P39" i="25"/>
  <c r="Q39" i="25"/>
  <c r="Q5" i="25"/>
  <c r="P5" i="25"/>
  <c r="M6" i="25"/>
  <c r="N6" i="25"/>
  <c r="M7" i="25"/>
  <c r="N7" i="25"/>
  <c r="M8" i="25"/>
  <c r="N8" i="25"/>
  <c r="M9" i="25"/>
  <c r="N9" i="25"/>
  <c r="M10" i="25"/>
  <c r="N10" i="25"/>
  <c r="M11" i="25"/>
  <c r="N11" i="25"/>
  <c r="M12" i="25"/>
  <c r="N12" i="25"/>
  <c r="M13" i="25"/>
  <c r="N13" i="25"/>
  <c r="M14" i="25"/>
  <c r="N14" i="25"/>
  <c r="M15" i="25"/>
  <c r="N15" i="25"/>
  <c r="M16" i="25"/>
  <c r="N16" i="25"/>
  <c r="M17" i="25"/>
  <c r="N17" i="25"/>
  <c r="M18" i="25"/>
  <c r="N18" i="25"/>
  <c r="M19" i="25"/>
  <c r="N19" i="25"/>
  <c r="M20" i="25"/>
  <c r="N20" i="25"/>
  <c r="M21" i="25"/>
  <c r="N21" i="25"/>
  <c r="M22" i="25"/>
  <c r="N22" i="25"/>
  <c r="M23" i="25"/>
  <c r="N23" i="25"/>
  <c r="M24" i="25"/>
  <c r="N24" i="25"/>
  <c r="M25" i="25"/>
  <c r="N25" i="25"/>
  <c r="M26" i="25"/>
  <c r="N26" i="25"/>
  <c r="M27" i="25"/>
  <c r="N27" i="25"/>
  <c r="M28" i="25"/>
  <c r="N28" i="25"/>
  <c r="M29" i="25"/>
  <c r="N29" i="25"/>
  <c r="M30" i="25"/>
  <c r="N30" i="25"/>
  <c r="M31" i="25"/>
  <c r="N31" i="25"/>
  <c r="M32" i="25"/>
  <c r="N32" i="25"/>
  <c r="M33" i="25"/>
  <c r="N33" i="25"/>
  <c r="M34" i="25"/>
  <c r="N34" i="25"/>
  <c r="M35" i="25"/>
  <c r="N35" i="25"/>
  <c r="M36" i="25"/>
  <c r="N36" i="25"/>
  <c r="M37" i="25"/>
  <c r="N37" i="25"/>
  <c r="M38" i="25"/>
  <c r="N38" i="25"/>
  <c r="M39" i="25"/>
  <c r="N39" i="25"/>
  <c r="N5" i="25"/>
  <c r="M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5" i="25"/>
  <c r="E6" i="25"/>
  <c r="E7" i="25"/>
  <c r="E8" i="25"/>
  <c r="E9" i="25"/>
  <c r="E10" i="25"/>
  <c r="E11" i="25"/>
  <c r="E12" i="25"/>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5" i="25"/>
  <c r="D6" i="25"/>
  <c r="D7" i="25"/>
  <c r="D8" i="25"/>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5" i="25"/>
  <c r="AD5" i="25"/>
  <c r="AA5" i="25"/>
  <c r="X5" i="25"/>
  <c r="U5" i="25"/>
  <c r="R5" i="25"/>
  <c r="O5" i="25"/>
  <c r="L5" i="25"/>
  <c r="I5" i="25"/>
  <c r="C5" i="25"/>
  <c r="AD5" i="47"/>
  <c r="R6" i="47"/>
  <c r="R7" i="47"/>
  <c r="R8" i="47"/>
  <c r="U8" i="47" s="1"/>
  <c r="R9" i="47"/>
  <c r="R10" i="47"/>
  <c r="R11" i="47"/>
  <c r="R12" i="47"/>
  <c r="U12" i="47" s="1"/>
  <c r="R13" i="47"/>
  <c r="R14" i="47"/>
  <c r="R15" i="47"/>
  <c r="R16" i="47"/>
  <c r="U16" i="47" s="1"/>
  <c r="R17" i="47"/>
  <c r="R18" i="47"/>
  <c r="R19" i="47"/>
  <c r="R20" i="47"/>
  <c r="U20" i="47" s="1"/>
  <c r="R21" i="47"/>
  <c r="R22" i="47"/>
  <c r="R23" i="47"/>
  <c r="R24" i="47"/>
  <c r="U24" i="47" s="1"/>
  <c r="R25" i="47"/>
  <c r="R26" i="47"/>
  <c r="R27" i="47"/>
  <c r="R28" i="47"/>
  <c r="U28" i="47" s="1"/>
  <c r="R29" i="47"/>
  <c r="R30" i="47"/>
  <c r="R31" i="47"/>
  <c r="R32" i="47"/>
  <c r="U32" i="47" s="1"/>
  <c r="R33" i="47"/>
  <c r="R34" i="47"/>
  <c r="R35" i="47"/>
  <c r="R36" i="47"/>
  <c r="U36" i="47" s="1"/>
  <c r="R37" i="47"/>
  <c r="R38" i="47"/>
  <c r="R39" i="47"/>
  <c r="R40" i="47"/>
  <c r="U40" i="47" s="1"/>
  <c r="R41" i="47"/>
  <c r="R42" i="47"/>
  <c r="R5" i="47"/>
  <c r="T6" i="47"/>
  <c r="U6" i="47"/>
  <c r="T7" i="47"/>
  <c r="U7" i="47"/>
  <c r="T8" i="47"/>
  <c r="T9" i="47"/>
  <c r="U9" i="47"/>
  <c r="T10" i="47"/>
  <c r="U10" i="47"/>
  <c r="T11" i="47"/>
  <c r="U11" i="47"/>
  <c r="T12" i="47"/>
  <c r="T13" i="47"/>
  <c r="U13" i="47"/>
  <c r="T14" i="47"/>
  <c r="U14" i="47"/>
  <c r="T15" i="47"/>
  <c r="U15" i="47"/>
  <c r="T16" i="47"/>
  <c r="T17" i="47"/>
  <c r="U17" i="47"/>
  <c r="T18" i="47"/>
  <c r="U18" i="47"/>
  <c r="T19" i="47"/>
  <c r="U19" i="47"/>
  <c r="T20" i="47"/>
  <c r="T21" i="47"/>
  <c r="U21" i="47"/>
  <c r="T22" i="47"/>
  <c r="U22" i="47"/>
  <c r="T23" i="47"/>
  <c r="U23" i="47"/>
  <c r="T24" i="47"/>
  <c r="T25" i="47"/>
  <c r="U25" i="47"/>
  <c r="T26" i="47"/>
  <c r="U26" i="47"/>
  <c r="T27" i="47"/>
  <c r="U27" i="47"/>
  <c r="T28" i="47"/>
  <c r="T29" i="47"/>
  <c r="U29" i="47"/>
  <c r="T30" i="47"/>
  <c r="U30" i="47"/>
  <c r="T31" i="47"/>
  <c r="U31" i="47"/>
  <c r="T32" i="47"/>
  <c r="T33" i="47"/>
  <c r="U33" i="47"/>
  <c r="T34" i="47"/>
  <c r="U34" i="47"/>
  <c r="T35" i="47"/>
  <c r="U35" i="47"/>
  <c r="T36" i="47"/>
  <c r="T37" i="47"/>
  <c r="U37" i="47"/>
  <c r="T38" i="47"/>
  <c r="U38" i="47"/>
  <c r="T39" i="47"/>
  <c r="U39" i="47"/>
  <c r="T40" i="47"/>
  <c r="T41" i="47"/>
  <c r="U41" i="47"/>
  <c r="T42" i="47"/>
  <c r="U42" i="47"/>
  <c r="Q6" i="47"/>
  <c r="S5" i="47"/>
  <c r="Q7" i="47"/>
  <c r="Q8" i="47"/>
  <c r="Q9" i="47"/>
  <c r="Q10" i="47"/>
  <c r="Q11" i="47"/>
  <c r="Q12" i="47"/>
  <c r="Q13" i="47"/>
  <c r="Q14" i="47"/>
  <c r="Q15" i="47"/>
  <c r="Q16" i="47"/>
  <c r="Q17" i="47"/>
  <c r="Q18" i="47"/>
  <c r="Q19" i="47"/>
  <c r="Q20" i="47"/>
  <c r="Q21" i="47"/>
  <c r="Q22" i="47"/>
  <c r="Q23" i="47"/>
  <c r="Q24" i="47"/>
  <c r="Q25" i="47"/>
  <c r="Q26" i="47"/>
  <c r="Q27" i="47"/>
  <c r="Q28" i="47"/>
  <c r="Q29" i="47"/>
  <c r="Q30" i="47"/>
  <c r="Q31" i="47"/>
  <c r="Q32" i="47"/>
  <c r="Q33" i="47"/>
  <c r="Q34" i="47"/>
  <c r="Q35" i="47"/>
  <c r="Q36" i="47"/>
  <c r="Q37" i="47"/>
  <c r="Q38" i="47"/>
  <c r="Q39" i="47"/>
  <c r="Q40" i="47"/>
  <c r="Q41" i="47"/>
  <c r="Q42" i="47"/>
  <c r="K5" i="47"/>
  <c r="L5" i="47"/>
  <c r="L6" i="47"/>
  <c r="L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J5" i="47"/>
  <c r="I5" i="47" s="1"/>
  <c r="H5" i="47"/>
  <c r="U5" i="47" l="1"/>
  <c r="T5" i="47"/>
  <c r="S12" i="46"/>
  <c r="S9" i="46"/>
  <c r="P13" i="46"/>
  <c r="R12" i="46"/>
  <c r="Q12" i="46"/>
  <c r="P12" i="46"/>
  <c r="T11" i="46"/>
  <c r="T10" i="46"/>
  <c r="S11" i="46"/>
  <c r="S10" i="46"/>
  <c r="R11" i="46"/>
  <c r="R10" i="46"/>
  <c r="R9" i="46"/>
  <c r="Q11" i="46"/>
  <c r="Q10" i="46"/>
  <c r="Q9" i="46"/>
  <c r="P11" i="46"/>
  <c r="P10" i="46"/>
  <c r="P9" i="46"/>
  <c r="M5" i="46"/>
  <c r="M4" i="46"/>
  <c r="M6" i="46"/>
  <c r="M7" i="46"/>
  <c r="M8" i="46"/>
  <c r="M9" i="46"/>
  <c r="M10" i="46"/>
  <c r="M11" i="46"/>
  <c r="M12" i="46"/>
  <c r="M13" i="46"/>
  <c r="M14" i="46"/>
  <c r="M15" i="46"/>
  <c r="M16" i="46"/>
  <c r="M17" i="46"/>
  <c r="M18" i="46"/>
  <c r="M19" i="46"/>
  <c r="M20" i="46"/>
  <c r="M21" i="46"/>
  <c r="M22" i="46"/>
  <c r="M23" i="46"/>
  <c r="M24" i="46"/>
  <c r="M25" i="46"/>
  <c r="M26" i="46"/>
  <c r="M27" i="46"/>
  <c r="M28" i="46"/>
  <c r="M29" i="46"/>
  <c r="M30" i="46"/>
  <c r="M31" i="46"/>
  <c r="M32" i="46"/>
  <c r="M33" i="46"/>
  <c r="S8" i="46"/>
  <c r="B42" i="48" l="1"/>
  <c r="AG42" i="48" s="1"/>
  <c r="A42" i="48"/>
  <c r="B41" i="48"/>
  <c r="A41" i="48"/>
  <c r="B40" i="48"/>
  <c r="AJ40" i="48" s="1"/>
  <c r="A40" i="48"/>
  <c r="B39" i="48"/>
  <c r="A39" i="48"/>
  <c r="B38" i="48"/>
  <c r="A38" i="48"/>
  <c r="B37" i="48"/>
  <c r="A37" i="48"/>
  <c r="B36" i="48"/>
  <c r="A36" i="48"/>
  <c r="B35" i="48"/>
  <c r="AG35" i="48" s="1"/>
  <c r="A35" i="48"/>
  <c r="B34" i="48"/>
  <c r="AK34" i="48" s="1"/>
  <c r="A34" i="48"/>
  <c r="B33" i="48"/>
  <c r="A33" i="48"/>
  <c r="B32" i="48"/>
  <c r="AJ32" i="48" s="1"/>
  <c r="A32" i="48"/>
  <c r="B31" i="48"/>
  <c r="A31" i="48"/>
  <c r="B30" i="48"/>
  <c r="A30" i="48"/>
  <c r="B29" i="48"/>
  <c r="A29" i="48"/>
  <c r="B28" i="48"/>
  <c r="P28" i="48" s="1"/>
  <c r="A28" i="48"/>
  <c r="B27" i="48"/>
  <c r="AK27" i="48" s="1"/>
  <c r="A27" i="48"/>
  <c r="B26" i="48"/>
  <c r="AG26" i="48" s="1"/>
  <c r="A26" i="48"/>
  <c r="B25" i="48"/>
  <c r="AK25" i="48" s="1"/>
  <c r="A25" i="48"/>
  <c r="B24" i="48"/>
  <c r="AJ24" i="48" s="1"/>
  <c r="A24" i="48"/>
  <c r="B23" i="48"/>
  <c r="AK23" i="48" s="1"/>
  <c r="A23" i="48"/>
  <c r="B22" i="48"/>
  <c r="A22" i="48"/>
  <c r="B21" i="48"/>
  <c r="A21" i="48"/>
  <c r="B20" i="48"/>
  <c r="A20" i="48"/>
  <c r="B19" i="48"/>
  <c r="AG19" i="48" s="1"/>
  <c r="A19" i="48"/>
  <c r="B18" i="48"/>
  <c r="AK18" i="48" s="1"/>
  <c r="A18" i="48"/>
  <c r="B17" i="48"/>
  <c r="S17" i="48" s="1"/>
  <c r="A17" i="48"/>
  <c r="B16" i="48"/>
  <c r="AJ16" i="48" s="1"/>
  <c r="A16" i="48"/>
  <c r="B15" i="48"/>
  <c r="A15" i="48"/>
  <c r="B14" i="48"/>
  <c r="A14" i="48"/>
  <c r="B13" i="48"/>
  <c r="AK13" i="48" s="1"/>
  <c r="A13" i="48"/>
  <c r="B12" i="48"/>
  <c r="A12" i="48"/>
  <c r="B11" i="48"/>
  <c r="AG11" i="48" s="1"/>
  <c r="A11" i="48"/>
  <c r="B10" i="48"/>
  <c r="AG10" i="48" s="1"/>
  <c r="A10" i="48"/>
  <c r="B9" i="48"/>
  <c r="A9" i="48"/>
  <c r="B8" i="48"/>
  <c r="S8" i="48" s="1"/>
  <c r="A8" i="48"/>
  <c r="B7" i="48"/>
  <c r="S7" i="48" s="1"/>
  <c r="A7" i="48"/>
  <c r="B6" i="48"/>
  <c r="A6" i="48"/>
  <c r="B5" i="48"/>
  <c r="A5" i="48"/>
  <c r="C13" i="33"/>
  <c r="W30" i="48" l="1"/>
  <c r="W11" i="48"/>
  <c r="X30" i="48"/>
  <c r="Y41" i="48"/>
  <c r="Y18" i="48"/>
  <c r="Z37" i="48"/>
  <c r="AG9" i="48"/>
  <c r="AJ25" i="48"/>
  <c r="W29" i="48"/>
  <c r="W6" i="48"/>
  <c r="X26" i="48"/>
  <c r="Y39" i="48"/>
  <c r="Y17" i="48"/>
  <c r="Z34" i="48"/>
  <c r="AJ42" i="48"/>
  <c r="AJ23" i="48"/>
  <c r="W27" i="48"/>
  <c r="X5" i="48"/>
  <c r="X25" i="48"/>
  <c r="Y34" i="48"/>
  <c r="Y15" i="48"/>
  <c r="Z29" i="48"/>
  <c r="AJ41" i="48"/>
  <c r="AJ18" i="48"/>
  <c r="W22" i="48"/>
  <c r="X42" i="48"/>
  <c r="X22" i="48"/>
  <c r="Y33" i="48"/>
  <c r="Y10" i="48"/>
  <c r="Z21" i="48"/>
  <c r="AJ39" i="48"/>
  <c r="AJ17" i="48"/>
  <c r="W5" i="48"/>
  <c r="W21" i="48"/>
  <c r="X41" i="48"/>
  <c r="X18" i="48"/>
  <c r="Y31" i="48"/>
  <c r="Y9" i="48"/>
  <c r="Z13" i="48"/>
  <c r="AG41" i="48"/>
  <c r="AJ34" i="48"/>
  <c r="AJ10" i="48"/>
  <c r="W38" i="48"/>
  <c r="W19" i="48"/>
  <c r="X38" i="48"/>
  <c r="X17" i="48"/>
  <c r="Y26" i="48"/>
  <c r="Y7" i="48"/>
  <c r="AG33" i="48"/>
  <c r="AJ33" i="48"/>
  <c r="AJ9" i="48"/>
  <c r="W37" i="48"/>
  <c r="W14" i="48"/>
  <c r="X34" i="48"/>
  <c r="X9" i="48"/>
  <c r="Y25" i="48"/>
  <c r="Z42" i="48"/>
  <c r="AG25" i="48"/>
  <c r="AJ31" i="48"/>
  <c r="W35" i="48"/>
  <c r="W13" i="48"/>
  <c r="X33" i="48"/>
  <c r="Y42" i="48"/>
  <c r="Y23" i="48"/>
  <c r="Z38" i="48"/>
  <c r="AG17" i="48"/>
  <c r="AJ26" i="48"/>
  <c r="W42" i="48"/>
  <c r="W34" i="48"/>
  <c r="W26" i="48"/>
  <c r="W18" i="48"/>
  <c r="W10" i="48"/>
  <c r="X40" i="48"/>
  <c r="X32" i="48"/>
  <c r="X24" i="48"/>
  <c r="X16" i="48"/>
  <c r="X8" i="48"/>
  <c r="Y38" i="48"/>
  <c r="Y30" i="48"/>
  <c r="Y22" i="48"/>
  <c r="Y14" i="48"/>
  <c r="Y6" i="48"/>
  <c r="Z36" i="48"/>
  <c r="Z28" i="48"/>
  <c r="Z20" i="48"/>
  <c r="Z12" i="48"/>
  <c r="AG40" i="48"/>
  <c r="AG32" i="48"/>
  <c r="AG24" i="48"/>
  <c r="AG16" i="48"/>
  <c r="AG8" i="48"/>
  <c r="AJ38" i="48"/>
  <c r="AJ30" i="48"/>
  <c r="AJ22" i="48"/>
  <c r="AJ14" i="48"/>
  <c r="AJ6" i="48"/>
  <c r="AJ7" i="48"/>
  <c r="W41" i="48"/>
  <c r="W33" i="48"/>
  <c r="W25" i="48"/>
  <c r="W17" i="48"/>
  <c r="W9" i="48"/>
  <c r="X39" i="48"/>
  <c r="X31" i="48"/>
  <c r="X23" i="48"/>
  <c r="X15" i="48"/>
  <c r="X7" i="48"/>
  <c r="Y37" i="48"/>
  <c r="Y29" i="48"/>
  <c r="Y21" i="48"/>
  <c r="Y13" i="48"/>
  <c r="Z5" i="48"/>
  <c r="Z35" i="48"/>
  <c r="Z27" i="48"/>
  <c r="Z19" i="48"/>
  <c r="Z11" i="48"/>
  <c r="AG39" i="48"/>
  <c r="AG31" i="48"/>
  <c r="AG23" i="48"/>
  <c r="AG15" i="48"/>
  <c r="AG7" i="48"/>
  <c r="AJ37" i="48"/>
  <c r="AJ29" i="48"/>
  <c r="AJ21" i="48"/>
  <c r="AJ13" i="48"/>
  <c r="AJ5" i="48"/>
  <c r="W40" i="48"/>
  <c r="W32" i="48"/>
  <c r="W24" i="48"/>
  <c r="W16" i="48"/>
  <c r="W8" i="48"/>
  <c r="X14" i="48"/>
  <c r="X6" i="48"/>
  <c r="Y36" i="48"/>
  <c r="Y28" i="48"/>
  <c r="Y20" i="48"/>
  <c r="Y12" i="48"/>
  <c r="Z26" i="48"/>
  <c r="Z18" i="48"/>
  <c r="Z10" i="48"/>
  <c r="AG38" i="48"/>
  <c r="AG30" i="48"/>
  <c r="AG22" i="48"/>
  <c r="AG14" i="48"/>
  <c r="AG6" i="48"/>
  <c r="AJ36" i="48"/>
  <c r="AJ28" i="48"/>
  <c r="AJ20" i="48"/>
  <c r="AJ12" i="48"/>
  <c r="AJ15" i="48"/>
  <c r="W39" i="48"/>
  <c r="W31" i="48"/>
  <c r="W23" i="48"/>
  <c r="W15" i="48"/>
  <c r="W7" i="48"/>
  <c r="X37" i="48"/>
  <c r="X29" i="48"/>
  <c r="X21" i="48"/>
  <c r="X13" i="48"/>
  <c r="Y5" i="48"/>
  <c r="Y35" i="48"/>
  <c r="Y27" i="48"/>
  <c r="Y19" i="48"/>
  <c r="Y11" i="48"/>
  <c r="Z41" i="48"/>
  <c r="Z33" i="48"/>
  <c r="Z25" i="48"/>
  <c r="Z17" i="48"/>
  <c r="Z9" i="48"/>
  <c r="AG37" i="48"/>
  <c r="AG29" i="48"/>
  <c r="AG21" i="48"/>
  <c r="AG13" i="48"/>
  <c r="AJ35" i="48"/>
  <c r="AJ27" i="48"/>
  <c r="AJ19" i="48"/>
  <c r="AJ11" i="48"/>
  <c r="X36" i="48"/>
  <c r="X28" i="48"/>
  <c r="X20" i="48"/>
  <c r="X12" i="48"/>
  <c r="Z40" i="48"/>
  <c r="Z32" i="48"/>
  <c r="Z24" i="48"/>
  <c r="Z16" i="48"/>
  <c r="Z8" i="48"/>
  <c r="AG36" i="48"/>
  <c r="AG28" i="48"/>
  <c r="AG20" i="48"/>
  <c r="AG12" i="48"/>
  <c r="X35" i="48"/>
  <c r="X27" i="48"/>
  <c r="X19" i="48"/>
  <c r="X11" i="48"/>
  <c r="Z39" i="48"/>
  <c r="Z31" i="48"/>
  <c r="Z23" i="48"/>
  <c r="Z15" i="48"/>
  <c r="Z7" i="48"/>
  <c r="AG27" i="48"/>
  <c r="W36" i="48"/>
  <c r="W28" i="48"/>
  <c r="W20" i="48"/>
  <c r="W12" i="48"/>
  <c r="X10" i="48"/>
  <c r="Y40" i="48"/>
  <c r="Y32" i="48"/>
  <c r="Y24" i="48"/>
  <c r="Y16" i="48"/>
  <c r="Y8" i="48"/>
  <c r="Z30" i="48"/>
  <c r="Z22" i="48"/>
  <c r="Z14" i="48"/>
  <c r="Z6" i="48"/>
  <c r="AG34" i="48"/>
  <c r="AG18" i="48"/>
  <c r="AJ8" i="48"/>
  <c r="AK35" i="48"/>
  <c r="P18" i="48"/>
  <c r="S15" i="48"/>
  <c r="AK33" i="48"/>
  <c r="P33" i="48"/>
  <c r="AK15" i="48"/>
  <c r="P17" i="48"/>
  <c r="S24" i="48"/>
  <c r="AK41" i="48"/>
  <c r="AK6" i="48"/>
  <c r="S10" i="48"/>
  <c r="P32" i="48"/>
  <c r="S5" i="48"/>
  <c r="AK7" i="48"/>
  <c r="P20" i="48"/>
  <c r="P22" i="48"/>
  <c r="P6" i="48"/>
  <c r="AK17" i="48"/>
  <c r="S27" i="48"/>
  <c r="AK22" i="48"/>
  <c r="P10" i="48"/>
  <c r="S30" i="48"/>
  <c r="AK38" i="48"/>
  <c r="P38" i="48"/>
  <c r="AK12" i="48"/>
  <c r="P14" i="48"/>
  <c r="P15" i="48"/>
  <c r="S19" i="48"/>
  <c r="S32" i="48"/>
  <c r="S33" i="48"/>
  <c r="S38" i="48"/>
  <c r="S14" i="48"/>
  <c r="AK14" i="48"/>
  <c r="AK10" i="48"/>
  <c r="P11" i="48"/>
  <c r="AK19" i="48"/>
  <c r="S21" i="48"/>
  <c r="AK30" i="48"/>
  <c r="P30" i="48"/>
  <c r="AK32" i="48"/>
  <c r="P39" i="48"/>
  <c r="AK11" i="48"/>
  <c r="S11" i="48"/>
  <c r="S39" i="48"/>
  <c r="P40" i="48"/>
  <c r="P41" i="48"/>
  <c r="AK42" i="48"/>
  <c r="S22" i="48"/>
  <c r="S40" i="48"/>
  <c r="S41" i="48"/>
  <c r="P12" i="48"/>
  <c r="S13" i="48"/>
  <c r="S16" i="48"/>
  <c r="P16" i="48"/>
  <c r="AK16" i="48"/>
  <c r="P9" i="48"/>
  <c r="S29" i="48"/>
  <c r="P29" i="48"/>
  <c r="S9" i="48"/>
  <c r="P23" i="48"/>
  <c r="S34" i="48"/>
  <c r="P34" i="48"/>
  <c r="S37" i="48"/>
  <c r="P37" i="48"/>
  <c r="AK37" i="48"/>
  <c r="P8" i="48"/>
  <c r="AK8" i="48"/>
  <c r="S23" i="48"/>
  <c r="P27" i="48"/>
  <c r="S18" i="48"/>
  <c r="AK31" i="48"/>
  <c r="S31" i="48"/>
  <c r="AK9" i="48"/>
  <c r="P25" i="48"/>
  <c r="P13" i="48"/>
  <c r="S35" i="48"/>
  <c r="P35" i="48"/>
  <c r="S36" i="48"/>
  <c r="P36" i="48"/>
  <c r="AK36" i="48"/>
  <c r="S6" i="48"/>
  <c r="S12" i="48"/>
  <c r="AK20" i="48"/>
  <c r="S20" i="48"/>
  <c r="S26" i="48"/>
  <c r="P26" i="48"/>
  <c r="AK26" i="48"/>
  <c r="AK29" i="48"/>
  <c r="P31" i="48"/>
  <c r="S25" i="48"/>
  <c r="AK21" i="48"/>
  <c r="P21" i="48"/>
  <c r="AK28" i="48"/>
  <c r="S28" i="48"/>
  <c r="P7" i="48"/>
  <c r="P19" i="48"/>
  <c r="AK24" i="48"/>
  <c r="P24" i="48"/>
  <c r="AK40" i="48"/>
  <c r="P42" i="48"/>
  <c r="S42" i="48"/>
  <c r="AK39" i="48"/>
  <c r="B42" i="47"/>
  <c r="A42" i="47"/>
  <c r="B41" i="47"/>
  <c r="A41" i="47"/>
  <c r="B40" i="47"/>
  <c r="A40" i="47"/>
  <c r="B39" i="47"/>
  <c r="A39" i="47"/>
  <c r="B38" i="47"/>
  <c r="A38" i="47"/>
  <c r="B37" i="47"/>
  <c r="A37" i="47"/>
  <c r="B36" i="47"/>
  <c r="A36" i="47"/>
  <c r="B35" i="47"/>
  <c r="A35" i="47"/>
  <c r="B34" i="47"/>
  <c r="A34" i="47"/>
  <c r="B33" i="47"/>
  <c r="A33" i="47"/>
  <c r="B32" i="47"/>
  <c r="A32" i="47"/>
  <c r="B31" i="47"/>
  <c r="A31" i="47"/>
  <c r="B30" i="47"/>
  <c r="A30" i="47"/>
  <c r="B29" i="47"/>
  <c r="A29" i="47"/>
  <c r="B28" i="47"/>
  <c r="A28" i="47"/>
  <c r="B27" i="47"/>
  <c r="A27" i="47"/>
  <c r="B26" i="47"/>
  <c r="A26" i="47"/>
  <c r="B25" i="47"/>
  <c r="A25" i="47"/>
  <c r="B24" i="47"/>
  <c r="A24" i="47"/>
  <c r="B23" i="47"/>
  <c r="A23" i="47"/>
  <c r="B22" i="47"/>
  <c r="A22" i="47"/>
  <c r="B21" i="47"/>
  <c r="A21" i="47"/>
  <c r="B20" i="47"/>
  <c r="A20" i="47"/>
  <c r="B19" i="47"/>
  <c r="A19" i="47"/>
  <c r="B18" i="47"/>
  <c r="A18" i="47"/>
  <c r="B17" i="47"/>
  <c r="A17" i="47"/>
  <c r="B16" i="47"/>
  <c r="A16" i="47"/>
  <c r="B15" i="47"/>
  <c r="A15" i="47"/>
  <c r="B14" i="47"/>
  <c r="A14" i="47"/>
  <c r="B13" i="47"/>
  <c r="A13" i="47"/>
  <c r="B12" i="47"/>
  <c r="A12" i="47"/>
  <c r="B11" i="47"/>
  <c r="A11" i="47"/>
  <c r="B10" i="47"/>
  <c r="A10" i="47"/>
  <c r="B9" i="47"/>
  <c r="A9" i="47"/>
  <c r="B8" i="47"/>
  <c r="A8" i="47"/>
  <c r="B7" i="47"/>
  <c r="A7" i="47"/>
  <c r="B6" i="47"/>
  <c r="A6" i="47"/>
  <c r="B5" i="47"/>
  <c r="A5" i="47"/>
  <c r="O6" i="47" l="1"/>
  <c r="P6" i="47"/>
  <c r="N6" i="47"/>
  <c r="O10" i="47"/>
  <c r="N10" i="47"/>
  <c r="P10" i="47"/>
  <c r="O14" i="47"/>
  <c r="P14" i="47"/>
  <c r="N14" i="47"/>
  <c r="O18" i="47"/>
  <c r="N18" i="47"/>
  <c r="P18" i="47"/>
  <c r="P22" i="47"/>
  <c r="N22" i="47"/>
  <c r="O22" i="47"/>
  <c r="O26" i="47"/>
  <c r="N26" i="47"/>
  <c r="P26" i="47"/>
  <c r="O30" i="47"/>
  <c r="N30" i="47"/>
  <c r="P30" i="47"/>
  <c r="O34" i="47"/>
  <c r="N34" i="47"/>
  <c r="P34" i="47"/>
  <c r="P38" i="47"/>
  <c r="O38" i="47"/>
  <c r="N38" i="47"/>
  <c r="O42" i="47"/>
  <c r="P42" i="47"/>
  <c r="N42" i="47"/>
  <c r="P7" i="47"/>
  <c r="N7" i="47"/>
  <c r="O7" i="47"/>
  <c r="N11" i="47"/>
  <c r="O11" i="47"/>
  <c r="P11" i="47"/>
  <c r="P15" i="47"/>
  <c r="O15" i="47"/>
  <c r="N15" i="47"/>
  <c r="N19" i="47"/>
  <c r="O19" i="47"/>
  <c r="P19" i="47"/>
  <c r="P23" i="47"/>
  <c r="O23" i="47"/>
  <c r="N23" i="47"/>
  <c r="N27" i="47"/>
  <c r="O27" i="47"/>
  <c r="P27" i="47"/>
  <c r="P31" i="47"/>
  <c r="O31" i="47"/>
  <c r="N31" i="47"/>
  <c r="N35" i="47"/>
  <c r="O35" i="47"/>
  <c r="P35" i="47"/>
  <c r="P39" i="47"/>
  <c r="O39" i="47"/>
  <c r="N39" i="47"/>
  <c r="N8" i="47"/>
  <c r="P8" i="47"/>
  <c r="O8" i="47"/>
  <c r="N12" i="47"/>
  <c r="P12" i="47"/>
  <c r="O12" i="47"/>
  <c r="P16" i="47"/>
  <c r="N16" i="47"/>
  <c r="O16" i="47"/>
  <c r="N20" i="47"/>
  <c r="P20" i="47"/>
  <c r="O20" i="47"/>
  <c r="O24" i="47"/>
  <c r="P24" i="47"/>
  <c r="N24" i="47"/>
  <c r="N28" i="47"/>
  <c r="O28" i="47"/>
  <c r="P28" i="47"/>
  <c r="P32" i="47"/>
  <c r="N32" i="47"/>
  <c r="O32" i="47"/>
  <c r="N36" i="47"/>
  <c r="P36" i="47"/>
  <c r="O36" i="47"/>
  <c r="P40" i="47"/>
  <c r="N40" i="47"/>
  <c r="O40" i="47"/>
  <c r="O9" i="47"/>
  <c r="P9" i="47"/>
  <c r="N9" i="47"/>
  <c r="N13" i="47"/>
  <c r="P13" i="47"/>
  <c r="O13" i="47"/>
  <c r="O17" i="47"/>
  <c r="N17" i="47"/>
  <c r="P17" i="47"/>
  <c r="N21" i="47"/>
  <c r="P21" i="47"/>
  <c r="O21" i="47"/>
  <c r="O25" i="47"/>
  <c r="P25" i="47"/>
  <c r="N25" i="47"/>
  <c r="N29" i="47"/>
  <c r="P29" i="47"/>
  <c r="O29" i="47"/>
  <c r="O33" i="47"/>
  <c r="P33" i="47"/>
  <c r="N33" i="47"/>
  <c r="N37" i="47"/>
  <c r="P37" i="47"/>
  <c r="O37" i="47"/>
  <c r="O41" i="47"/>
  <c r="N41" i="47"/>
  <c r="P41" i="47"/>
  <c r="AI8" i="47"/>
  <c r="AJ8" i="47"/>
  <c r="AK8" i="47"/>
  <c r="AK12" i="47"/>
  <c r="AJ12" i="47"/>
  <c r="AI12" i="47"/>
  <c r="AI16" i="47"/>
  <c r="AJ16" i="47"/>
  <c r="AK16" i="47"/>
  <c r="AK20" i="47"/>
  <c r="AJ20" i="47"/>
  <c r="AI20" i="47"/>
  <c r="AI24" i="47"/>
  <c r="AJ24" i="47"/>
  <c r="AK24" i="47"/>
  <c r="AK28" i="47"/>
  <c r="AI28" i="47"/>
  <c r="AJ28" i="47"/>
  <c r="AI32" i="47"/>
  <c r="AJ32" i="47"/>
  <c r="AK32" i="47"/>
  <c r="AJ36" i="47"/>
  <c r="AK36" i="47"/>
  <c r="AI36" i="47"/>
  <c r="AK40" i="47"/>
  <c r="AI40" i="47"/>
  <c r="AJ40" i="47"/>
  <c r="AI5" i="47"/>
  <c r="AK5" i="47"/>
  <c r="AK9" i="47"/>
  <c r="AI9" i="47"/>
  <c r="AJ9" i="47"/>
  <c r="AJ13" i="47"/>
  <c r="AK13" i="47"/>
  <c r="AI13" i="47"/>
  <c r="AK17" i="47"/>
  <c r="AI17" i="47"/>
  <c r="AJ17" i="47"/>
  <c r="AJ21" i="47"/>
  <c r="AK21" i="47"/>
  <c r="AI21" i="47"/>
  <c r="AK25" i="47"/>
  <c r="AI25" i="47"/>
  <c r="AJ25" i="47"/>
  <c r="AJ29" i="47"/>
  <c r="AK29" i="47"/>
  <c r="AI29" i="47"/>
  <c r="AK33" i="47"/>
  <c r="AI33" i="47"/>
  <c r="AJ33" i="47"/>
  <c r="AJ37" i="47"/>
  <c r="AK37" i="47"/>
  <c r="AI37" i="47"/>
  <c r="AK41" i="47"/>
  <c r="AI41" i="47"/>
  <c r="AJ41" i="47"/>
  <c r="AK18" i="47"/>
  <c r="AI18" i="47"/>
  <c r="AJ18" i="47"/>
  <c r="AK26" i="47"/>
  <c r="AI26" i="47"/>
  <c r="AJ26" i="47"/>
  <c r="AK34" i="47"/>
  <c r="AI34" i="47"/>
  <c r="AJ34" i="47"/>
  <c r="AK42" i="47"/>
  <c r="AI42" i="47"/>
  <c r="AJ42" i="47"/>
  <c r="AI6" i="47"/>
  <c r="AJ6" i="47"/>
  <c r="AK6" i="47"/>
  <c r="AK10" i="47"/>
  <c r="AI10" i="47"/>
  <c r="AJ10" i="47"/>
  <c r="AI14" i="47"/>
  <c r="AJ14" i="47"/>
  <c r="AK14" i="47"/>
  <c r="AJ22" i="47"/>
  <c r="AI22" i="47"/>
  <c r="AK22" i="47"/>
  <c r="AJ30" i="47"/>
  <c r="AK30" i="47"/>
  <c r="AI30" i="47"/>
  <c r="AI38" i="47"/>
  <c r="AJ38" i="47"/>
  <c r="AK38" i="47"/>
  <c r="AI7" i="47"/>
  <c r="AJ7" i="47"/>
  <c r="AK7" i="47"/>
  <c r="AK11" i="47"/>
  <c r="AJ11" i="47"/>
  <c r="AI11" i="47"/>
  <c r="AI15" i="47"/>
  <c r="AJ15" i="47"/>
  <c r="AK15" i="47"/>
  <c r="AK19" i="47"/>
  <c r="AI19" i="47"/>
  <c r="AJ19" i="47"/>
  <c r="AI23" i="47"/>
  <c r="AJ23" i="47"/>
  <c r="AK23" i="47"/>
  <c r="AK27" i="47"/>
  <c r="AI27" i="47"/>
  <c r="AJ27" i="47"/>
  <c r="AI31" i="47"/>
  <c r="AJ31" i="47"/>
  <c r="AK31" i="47"/>
  <c r="AK35" i="47"/>
  <c r="AJ35" i="47"/>
  <c r="AI35" i="47"/>
  <c r="AI39" i="47"/>
  <c r="AJ39" i="47"/>
  <c r="AK39" i="47"/>
  <c r="H7" i="47"/>
  <c r="I7" i="47"/>
  <c r="J7" i="47"/>
  <c r="AO7" i="47"/>
  <c r="AH7" i="47"/>
  <c r="M7" i="47"/>
  <c r="J11" i="47"/>
  <c r="AO11" i="47"/>
  <c r="AH11" i="47"/>
  <c r="H11" i="47"/>
  <c r="I11" i="47"/>
  <c r="M11" i="47"/>
  <c r="H15" i="47"/>
  <c r="I15" i="47"/>
  <c r="AO15" i="47"/>
  <c r="J15" i="47"/>
  <c r="AH15" i="47"/>
  <c r="M15" i="47"/>
  <c r="I19" i="47"/>
  <c r="J19" i="47"/>
  <c r="AH19" i="47"/>
  <c r="M19" i="47"/>
  <c r="AO19" i="47"/>
  <c r="H19" i="47"/>
  <c r="M23" i="47"/>
  <c r="AH23" i="47"/>
  <c r="I23" i="47"/>
  <c r="J23" i="47"/>
  <c r="AO23" i="47"/>
  <c r="H23" i="47"/>
  <c r="I27" i="47"/>
  <c r="J27" i="47"/>
  <c r="M27" i="47"/>
  <c r="AO27" i="47"/>
  <c r="AH27" i="47"/>
  <c r="H27" i="47"/>
  <c r="M31" i="47"/>
  <c r="AH31" i="47"/>
  <c r="I31" i="47"/>
  <c r="H31" i="47"/>
  <c r="J31" i="47"/>
  <c r="AO31" i="47"/>
  <c r="J35" i="47"/>
  <c r="AO35" i="47"/>
  <c r="M35" i="47"/>
  <c r="AH35" i="47"/>
  <c r="H35" i="47"/>
  <c r="I35" i="47"/>
  <c r="J39" i="47"/>
  <c r="M39" i="47"/>
  <c r="AO39" i="47"/>
  <c r="AH39" i="47"/>
  <c r="H39" i="47"/>
  <c r="I39" i="47"/>
  <c r="H8" i="47"/>
  <c r="AO8" i="47"/>
  <c r="M8" i="47"/>
  <c r="I8" i="47"/>
  <c r="J8" i="47"/>
  <c r="AH8" i="47"/>
  <c r="M16" i="47"/>
  <c r="AO16" i="47"/>
  <c r="I16" i="47"/>
  <c r="AH16" i="47"/>
  <c r="H16" i="47"/>
  <c r="J16" i="47"/>
  <c r="AO20" i="47"/>
  <c r="AH20" i="47"/>
  <c r="H20" i="47"/>
  <c r="M20" i="47"/>
  <c r="I20" i="47"/>
  <c r="J20" i="47"/>
  <c r="AO24" i="47"/>
  <c r="J24" i="47"/>
  <c r="I24" i="47"/>
  <c r="M24" i="47"/>
  <c r="AH24" i="47"/>
  <c r="H24" i="47"/>
  <c r="AO28" i="47"/>
  <c r="H28" i="47"/>
  <c r="AH28" i="47"/>
  <c r="J28" i="47"/>
  <c r="I28" i="47"/>
  <c r="M28" i="47"/>
  <c r="J32" i="47"/>
  <c r="AO32" i="47"/>
  <c r="M32" i="47"/>
  <c r="H32" i="47"/>
  <c r="AH32" i="47"/>
  <c r="I32" i="47"/>
  <c r="AO36" i="47"/>
  <c r="AH36" i="47"/>
  <c r="H36" i="47"/>
  <c r="M36" i="47"/>
  <c r="I36" i="47"/>
  <c r="J36" i="47"/>
  <c r="AO40" i="47"/>
  <c r="AH40" i="47"/>
  <c r="H40" i="47"/>
  <c r="J40" i="47"/>
  <c r="M40" i="47"/>
  <c r="I40" i="47"/>
  <c r="AO12" i="47"/>
  <c r="I12" i="47"/>
  <c r="J12" i="47"/>
  <c r="AH12" i="47"/>
  <c r="M12" i="47"/>
  <c r="H12" i="47"/>
  <c r="AO5" i="47"/>
  <c r="AH5" i="47"/>
  <c r="M5" i="47"/>
  <c r="AJ5" i="47"/>
  <c r="I9" i="47"/>
  <c r="J9" i="47"/>
  <c r="H9" i="47"/>
  <c r="AO9" i="47"/>
  <c r="AH9" i="47"/>
  <c r="M9" i="47"/>
  <c r="M13" i="47"/>
  <c r="AH13" i="47"/>
  <c r="AO13" i="47"/>
  <c r="J13" i="47"/>
  <c r="H13" i="47"/>
  <c r="I13" i="47"/>
  <c r="H17" i="47"/>
  <c r="AO17" i="47"/>
  <c r="AH17" i="47"/>
  <c r="I17" i="47"/>
  <c r="J17" i="47"/>
  <c r="M17" i="47"/>
  <c r="AO21" i="47"/>
  <c r="J21" i="47"/>
  <c r="M21" i="47"/>
  <c r="AH21" i="47"/>
  <c r="H21" i="47"/>
  <c r="I21" i="47"/>
  <c r="H25" i="47"/>
  <c r="I25" i="47"/>
  <c r="J25" i="47"/>
  <c r="AO25" i="47"/>
  <c r="AH25" i="47"/>
  <c r="M25" i="47"/>
  <c r="J29" i="47"/>
  <c r="AO29" i="47"/>
  <c r="I29" i="47"/>
  <c r="M29" i="47"/>
  <c r="AH29" i="47"/>
  <c r="H29" i="47"/>
  <c r="H33" i="47"/>
  <c r="AO33" i="47"/>
  <c r="I33" i="47"/>
  <c r="AH33" i="47"/>
  <c r="J33" i="47"/>
  <c r="M33" i="47"/>
  <c r="AO37" i="47"/>
  <c r="J37" i="47"/>
  <c r="I37" i="47"/>
  <c r="M37" i="47"/>
  <c r="H37" i="47"/>
  <c r="AH37" i="47"/>
  <c r="J41" i="47"/>
  <c r="AO41" i="47"/>
  <c r="M41" i="47"/>
  <c r="H41" i="47"/>
  <c r="AH41" i="47"/>
  <c r="I41" i="47"/>
  <c r="J6" i="47"/>
  <c r="M6" i="47"/>
  <c r="AO6" i="47"/>
  <c r="I6" i="47"/>
  <c r="H6" i="47"/>
  <c r="AH6" i="47"/>
  <c r="AO10" i="47"/>
  <c r="AH10" i="47"/>
  <c r="H10" i="47"/>
  <c r="I10" i="47"/>
  <c r="M10" i="47"/>
  <c r="J10" i="47"/>
  <c r="AO14" i="47"/>
  <c r="J14" i="47"/>
  <c r="M14" i="47"/>
  <c r="H14" i="47"/>
  <c r="I14" i="47"/>
  <c r="AH14" i="47"/>
  <c r="AO18" i="47"/>
  <c r="H18" i="47"/>
  <c r="M18" i="47"/>
  <c r="AH18" i="47"/>
  <c r="I18" i="47"/>
  <c r="J18" i="47"/>
  <c r="I22" i="47"/>
  <c r="J22" i="47"/>
  <c r="AO22" i="47"/>
  <c r="M22" i="47"/>
  <c r="AH22" i="47"/>
  <c r="H22" i="47"/>
  <c r="AO26" i="47"/>
  <c r="M26" i="47"/>
  <c r="H26" i="47"/>
  <c r="I26" i="47"/>
  <c r="AH26" i="47"/>
  <c r="J26" i="47"/>
  <c r="AO30" i="47"/>
  <c r="I30" i="47"/>
  <c r="H30" i="47"/>
  <c r="J30" i="47"/>
  <c r="M30" i="47"/>
  <c r="AH30" i="47"/>
  <c r="AO34" i="47"/>
  <c r="M34" i="47"/>
  <c r="H34" i="47"/>
  <c r="AH34" i="47"/>
  <c r="I34" i="47"/>
  <c r="J34" i="47"/>
  <c r="AO38" i="47"/>
  <c r="H38" i="47"/>
  <c r="I38" i="47"/>
  <c r="AH38" i="47"/>
  <c r="J38" i="47"/>
  <c r="M38" i="47"/>
  <c r="AO42" i="47"/>
  <c r="H42" i="47"/>
  <c r="I42" i="47"/>
  <c r="AH42" i="47"/>
  <c r="M42" i="47"/>
  <c r="J42" i="47"/>
  <c r="T13" i="46"/>
  <c r="S13" i="46"/>
  <c r="R13" i="46"/>
  <c r="Q13" i="46"/>
  <c r="R8" i="46"/>
  <c r="Q8" i="46"/>
  <c r="T7" i="46"/>
  <c r="S7" i="46"/>
  <c r="R7" i="46"/>
  <c r="Q7" i="46"/>
  <c r="S6" i="46"/>
  <c r="R6" i="46"/>
  <c r="Q6" i="46"/>
  <c r="T5" i="46"/>
  <c r="S5" i="46"/>
  <c r="R5" i="46"/>
  <c r="Q5" i="46"/>
  <c r="T4" i="46"/>
  <c r="S4" i="46"/>
  <c r="R4" i="46"/>
  <c r="Q4" i="46"/>
  <c r="S29" i="47" l="1"/>
  <c r="S18" i="47"/>
  <c r="AD38" i="47"/>
  <c r="S30" i="47"/>
  <c r="AD41" i="47"/>
  <c r="AD25" i="47"/>
  <c r="AD17" i="47"/>
  <c r="AD13" i="47"/>
  <c r="S32" i="47"/>
  <c r="S28" i="47"/>
  <c r="AD16" i="47"/>
  <c r="AD27" i="47"/>
  <c r="AD15" i="47"/>
  <c r="AD12" i="47"/>
  <c r="AD42" i="47"/>
  <c r="AD10" i="47"/>
  <c r="S9" i="47"/>
  <c r="S12" i="47"/>
  <c r="AD28" i="47"/>
  <c r="S8" i="47"/>
  <c r="S35" i="47"/>
  <c r="AD11" i="47"/>
  <c r="AD7" i="47"/>
  <c r="S7" i="47"/>
  <c r="S13" i="47"/>
  <c r="AD36" i="47"/>
  <c r="AD39" i="47"/>
  <c r="S15" i="47"/>
  <c r="S26" i="47"/>
  <c r="AD22" i="47"/>
  <c r="AD14" i="47"/>
  <c r="S41" i="47"/>
  <c r="S21" i="47"/>
  <c r="AD20" i="47"/>
  <c r="S16" i="47"/>
  <c r="AD35" i="47"/>
  <c r="S27" i="47"/>
  <c r="S19" i="47"/>
  <c r="S42" i="47"/>
  <c r="AD6" i="47"/>
  <c r="AD30" i="47"/>
  <c r="S22" i="47"/>
  <c r="S6" i="47"/>
  <c r="S37" i="47"/>
  <c r="S31" i="47"/>
  <c r="AD18" i="47"/>
  <c r="AD24" i="47"/>
  <c r="S34" i="47"/>
  <c r="AD26" i="47"/>
  <c r="S10" i="47"/>
  <c r="AD37" i="47"/>
  <c r="AD33" i="47"/>
  <c r="S36" i="47"/>
  <c r="S39" i="47"/>
  <c r="S11" i="47"/>
  <c r="AD34" i="47"/>
  <c r="S14" i="47"/>
  <c r="S33" i="47"/>
  <c r="AD29" i="47"/>
  <c r="S25" i="47"/>
  <c r="AD21" i="47"/>
  <c r="S17" i="47"/>
  <c r="AD32" i="47"/>
  <c r="S24" i="47"/>
  <c r="S20" i="47"/>
  <c r="AD31" i="47"/>
  <c r="AD23" i="47"/>
  <c r="AD9" i="47"/>
  <c r="S38" i="47"/>
  <c r="AD40" i="47"/>
  <c r="S40" i="47"/>
  <c r="AD8" i="47"/>
  <c r="S23" i="47"/>
  <c r="AD19" i="47"/>
  <c r="E8" i="40"/>
  <c r="E9" i="40"/>
  <c r="E10" i="40"/>
  <c r="E11" i="40"/>
  <c r="E12" i="40"/>
  <c r="E13" i="40"/>
  <c r="E14" i="40"/>
  <c r="E15" i="40"/>
  <c r="E16" i="40"/>
  <c r="E17" i="40"/>
  <c r="E18" i="40"/>
  <c r="E19" i="40"/>
  <c r="E20" i="40"/>
  <c r="E21" i="40"/>
  <c r="E22" i="40"/>
  <c r="E23" i="40"/>
  <c r="E24" i="40"/>
  <c r="E25" i="40"/>
  <c r="E26" i="40"/>
  <c r="E27" i="40"/>
  <c r="E28" i="40"/>
  <c r="E29" i="40"/>
  <c r="E30" i="40"/>
  <c r="E31" i="40"/>
  <c r="E32" i="40"/>
  <c r="E33" i="40"/>
  <c r="E34" i="40"/>
  <c r="E35" i="40"/>
  <c r="E36" i="40"/>
  <c r="E37" i="40"/>
  <c r="E38" i="40"/>
  <c r="E39" i="40"/>
  <c r="E40" i="40"/>
  <c r="E41" i="40"/>
  <c r="E42" i="40"/>
  <c r="E43" i="40"/>
  <c r="E44" i="40"/>
  <c r="E7" i="40"/>
  <c r="A37" i="25" l="1"/>
  <c r="A38" i="25"/>
  <c r="A39"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5" i="25"/>
  <c r="B37" i="25" l="1"/>
  <c r="B29" i="25"/>
  <c r="B21" i="25"/>
  <c r="B9" i="25"/>
  <c r="B36" i="25"/>
  <c r="B32" i="25"/>
  <c r="B28" i="25"/>
  <c r="B24" i="25"/>
  <c r="B20" i="25"/>
  <c r="B16" i="25"/>
  <c r="B12" i="25"/>
  <c r="B8" i="25"/>
  <c r="B33" i="25"/>
  <c r="B17" i="25"/>
  <c r="B39" i="25"/>
  <c r="B31" i="25"/>
  <c r="B27" i="25"/>
  <c r="B23" i="25"/>
  <c r="B19" i="25"/>
  <c r="B15" i="25"/>
  <c r="B11" i="25"/>
  <c r="B7" i="25"/>
  <c r="B25" i="25"/>
  <c r="B13" i="25"/>
  <c r="B5" i="25"/>
  <c r="B35" i="25"/>
  <c r="B38" i="25"/>
  <c r="B34" i="25"/>
  <c r="B30" i="25"/>
  <c r="B26" i="25"/>
  <c r="B22" i="25"/>
  <c r="B18" i="25"/>
  <c r="B14" i="25"/>
  <c r="B10" i="25"/>
  <c r="B6" i="25"/>
  <c r="F43" i="33"/>
  <c r="R10" i="25" l="1"/>
  <c r="AD10" i="25"/>
  <c r="U10" i="25"/>
  <c r="X10" i="25"/>
  <c r="AA10" i="25"/>
  <c r="L10" i="25"/>
  <c r="O10" i="25"/>
  <c r="I10" i="25"/>
  <c r="X37" i="25"/>
  <c r="R37" i="25"/>
  <c r="I37" i="25"/>
  <c r="AD37" i="25"/>
  <c r="U37" i="25"/>
  <c r="O37" i="25"/>
  <c r="AA37" i="25"/>
  <c r="L37" i="25"/>
  <c r="R18" i="25"/>
  <c r="AD18" i="25"/>
  <c r="U18" i="25"/>
  <c r="X18" i="25"/>
  <c r="AA18" i="25"/>
  <c r="L18" i="25"/>
  <c r="O18" i="25"/>
  <c r="I18" i="25"/>
  <c r="X13" i="25"/>
  <c r="R13" i="25"/>
  <c r="I13" i="25"/>
  <c r="AD13" i="25"/>
  <c r="U13" i="25"/>
  <c r="O13" i="25"/>
  <c r="AA13" i="25"/>
  <c r="L13" i="25"/>
  <c r="AD31" i="25"/>
  <c r="U31" i="25"/>
  <c r="O31" i="25"/>
  <c r="AA31" i="25"/>
  <c r="R31" i="25"/>
  <c r="I31" i="25"/>
  <c r="X31" i="25"/>
  <c r="L31" i="25"/>
  <c r="I24" i="25"/>
  <c r="X24" i="25"/>
  <c r="AA24" i="25"/>
  <c r="L24" i="25"/>
  <c r="R24" i="25"/>
  <c r="AD24" i="25"/>
  <c r="O24" i="25"/>
  <c r="U24" i="25"/>
  <c r="AD23" i="25"/>
  <c r="U23" i="25"/>
  <c r="O23" i="25"/>
  <c r="AA23" i="25"/>
  <c r="R23" i="25"/>
  <c r="I23" i="25"/>
  <c r="L23" i="25"/>
  <c r="X23" i="25"/>
  <c r="AA27" i="25"/>
  <c r="L27" i="25"/>
  <c r="AD27" i="25"/>
  <c r="U27" i="25"/>
  <c r="O27" i="25"/>
  <c r="X27" i="25"/>
  <c r="I27" i="25"/>
  <c r="R27" i="25"/>
  <c r="X20" i="25"/>
  <c r="AA20" i="25"/>
  <c r="L20" i="25"/>
  <c r="AD20" i="25"/>
  <c r="U20" i="25"/>
  <c r="O20" i="25"/>
  <c r="R20" i="25"/>
  <c r="I20" i="25"/>
  <c r="AD22" i="25"/>
  <c r="U22" i="25"/>
  <c r="O22" i="25"/>
  <c r="R22" i="25"/>
  <c r="I22" i="25"/>
  <c r="L22" i="25"/>
  <c r="AA22" i="25"/>
  <c r="X22" i="25"/>
  <c r="R25" i="25"/>
  <c r="I25" i="25"/>
  <c r="X25" i="25"/>
  <c r="AA25" i="25"/>
  <c r="L25" i="25"/>
  <c r="U25" i="25"/>
  <c r="AD25" i="25"/>
  <c r="O25" i="25"/>
  <c r="AD39" i="25"/>
  <c r="U39" i="25"/>
  <c r="O39" i="25"/>
  <c r="AA39" i="25"/>
  <c r="R39" i="25"/>
  <c r="I39" i="25"/>
  <c r="L39" i="25"/>
  <c r="X39" i="25"/>
  <c r="X28" i="25"/>
  <c r="AA28" i="25"/>
  <c r="L28" i="25"/>
  <c r="AD28" i="25"/>
  <c r="U28" i="25"/>
  <c r="O28" i="25"/>
  <c r="I28" i="25"/>
  <c r="R28" i="25"/>
  <c r="AA35" i="25"/>
  <c r="L35" i="25"/>
  <c r="AD35" i="25"/>
  <c r="U35" i="25"/>
  <c r="O35" i="25"/>
  <c r="X35" i="25"/>
  <c r="I35" i="25"/>
  <c r="R35" i="25"/>
  <c r="X29" i="25"/>
  <c r="R29" i="25"/>
  <c r="I29" i="25"/>
  <c r="AD29" i="25"/>
  <c r="U29" i="25"/>
  <c r="O29" i="25"/>
  <c r="L29" i="25"/>
  <c r="AA29" i="25"/>
  <c r="R26" i="25"/>
  <c r="AD26" i="25"/>
  <c r="U26" i="25"/>
  <c r="X26" i="25"/>
  <c r="AA26" i="25"/>
  <c r="L26" i="25"/>
  <c r="I26" i="25"/>
  <c r="O26" i="25"/>
  <c r="I32" i="25"/>
  <c r="X32" i="25"/>
  <c r="AA32" i="25"/>
  <c r="L32" i="25"/>
  <c r="R32" i="25"/>
  <c r="U32" i="25"/>
  <c r="AD32" i="25"/>
  <c r="O32" i="25"/>
  <c r="AA11" i="25"/>
  <c r="L11" i="25"/>
  <c r="AD11" i="25"/>
  <c r="U11" i="25"/>
  <c r="O11" i="25"/>
  <c r="X11" i="25"/>
  <c r="R11" i="25"/>
  <c r="I11" i="25"/>
  <c r="X36" i="25"/>
  <c r="AA36" i="25"/>
  <c r="L36" i="25"/>
  <c r="AD36" i="25"/>
  <c r="U36" i="25"/>
  <c r="O36" i="25"/>
  <c r="I36" i="25"/>
  <c r="R36" i="25"/>
  <c r="R34" i="25"/>
  <c r="AD34" i="25"/>
  <c r="U34" i="25"/>
  <c r="X34" i="25"/>
  <c r="AA34" i="25"/>
  <c r="L34" i="25"/>
  <c r="O34" i="25"/>
  <c r="I34" i="25"/>
  <c r="AD15" i="25"/>
  <c r="U15" i="25"/>
  <c r="O15" i="25"/>
  <c r="AA15" i="25"/>
  <c r="R15" i="25"/>
  <c r="I15" i="25"/>
  <c r="L15" i="25"/>
  <c r="X15" i="25"/>
  <c r="I8" i="25"/>
  <c r="X8" i="25"/>
  <c r="AA8" i="25"/>
  <c r="L8" i="25"/>
  <c r="R8" i="25"/>
  <c r="AD8" i="25"/>
  <c r="U8" i="25"/>
  <c r="O8" i="25"/>
  <c r="R9" i="25"/>
  <c r="I9" i="25"/>
  <c r="X9" i="25"/>
  <c r="AA9" i="25"/>
  <c r="L9" i="25"/>
  <c r="AD9" i="25"/>
  <c r="U9" i="25"/>
  <c r="O9" i="25"/>
  <c r="I16" i="25"/>
  <c r="X16" i="25"/>
  <c r="AA16" i="25"/>
  <c r="L16" i="25"/>
  <c r="R16" i="25"/>
  <c r="O16" i="25"/>
  <c r="AD16" i="25"/>
  <c r="U16" i="25"/>
  <c r="AD14" i="25"/>
  <c r="U14" i="25"/>
  <c r="O14" i="25"/>
  <c r="R14" i="25"/>
  <c r="I14" i="25"/>
  <c r="AA14" i="25"/>
  <c r="L14" i="25"/>
  <c r="X14" i="25"/>
  <c r="AD7" i="25"/>
  <c r="U7" i="25"/>
  <c r="O7" i="25"/>
  <c r="AA7" i="25"/>
  <c r="R7" i="25"/>
  <c r="I7" i="25"/>
  <c r="X7" i="25"/>
  <c r="L7" i="25"/>
  <c r="R17" i="25"/>
  <c r="I17" i="25"/>
  <c r="X17" i="25"/>
  <c r="AA17" i="25"/>
  <c r="L17" i="25"/>
  <c r="O17" i="25"/>
  <c r="AD17" i="25"/>
  <c r="U17" i="25"/>
  <c r="AD30" i="25"/>
  <c r="U30" i="25"/>
  <c r="O30" i="25"/>
  <c r="R30" i="25"/>
  <c r="I30" i="25"/>
  <c r="X30" i="25"/>
  <c r="AA30" i="25"/>
  <c r="L30" i="25"/>
  <c r="R33" i="25"/>
  <c r="I33" i="25"/>
  <c r="X33" i="25"/>
  <c r="AA33" i="25"/>
  <c r="L33" i="25"/>
  <c r="O33" i="25"/>
  <c r="U33" i="25"/>
  <c r="AD33" i="25"/>
  <c r="AD6" i="25"/>
  <c r="U6" i="25"/>
  <c r="O6" i="25"/>
  <c r="R6" i="25"/>
  <c r="I6" i="25"/>
  <c r="AA6" i="25"/>
  <c r="X6" i="25"/>
  <c r="L6" i="25"/>
  <c r="AD38" i="25"/>
  <c r="U38" i="25"/>
  <c r="O38" i="25"/>
  <c r="R38" i="25"/>
  <c r="I38" i="25"/>
  <c r="L38" i="25"/>
  <c r="AA38" i="25"/>
  <c r="X38" i="25"/>
  <c r="AA19" i="25"/>
  <c r="L19" i="25"/>
  <c r="AD19" i="25"/>
  <c r="U19" i="25"/>
  <c r="O19" i="25"/>
  <c r="X19" i="25"/>
  <c r="R19" i="25"/>
  <c r="I19" i="25"/>
  <c r="X12" i="25"/>
  <c r="AA12" i="25"/>
  <c r="L12" i="25"/>
  <c r="AD12" i="25"/>
  <c r="U12" i="25"/>
  <c r="O12" i="25"/>
  <c r="R12" i="25"/>
  <c r="I12" i="25"/>
  <c r="X21" i="25"/>
  <c r="R21" i="25"/>
  <c r="I21" i="25"/>
  <c r="AD21" i="25"/>
  <c r="U21" i="25"/>
  <c r="O21" i="25"/>
  <c r="L21" i="25"/>
  <c r="AA21" i="25"/>
  <c r="C19" i="25"/>
  <c r="C17" i="25"/>
  <c r="C16" i="25"/>
  <c r="C32" i="25"/>
  <c r="C10" i="25"/>
  <c r="C26" i="25"/>
  <c r="C7" i="25"/>
  <c r="C23" i="25"/>
  <c r="C29" i="25"/>
  <c r="C14" i="25"/>
  <c r="C20" i="25"/>
  <c r="C30" i="25"/>
  <c r="C11" i="25"/>
  <c r="C27" i="25"/>
  <c r="C34" i="25"/>
  <c r="C13" i="25"/>
  <c r="C8" i="25"/>
  <c r="C24" i="25"/>
  <c r="C18" i="25"/>
  <c r="C15" i="25"/>
  <c r="C31" i="25"/>
  <c r="C9" i="25"/>
  <c r="C21" i="25"/>
  <c r="C33" i="25"/>
  <c r="C6" i="25"/>
  <c r="C22" i="25"/>
  <c r="C25" i="25"/>
  <c r="C12" i="25"/>
  <c r="C28" i="25"/>
  <c r="B9" i="15" l="1"/>
  <c r="H9" i="15" s="1"/>
  <c r="I9" i="15" s="1"/>
  <c r="B11" i="15"/>
  <c r="H11" i="15" s="1"/>
  <c r="I11" i="15" s="1"/>
  <c r="H12" i="15"/>
  <c r="H13" i="15"/>
  <c r="I13" i="15" s="1"/>
  <c r="H14" i="15"/>
  <c r="I14" i="15" s="1"/>
  <c r="F12" i="15"/>
  <c r="F8" i="15"/>
  <c r="F7" i="15"/>
  <c r="G14" i="15"/>
  <c r="F13" i="15"/>
  <c r="G13" i="15"/>
  <c r="G12" i="15" l="1"/>
  <c r="G11" i="15"/>
  <c r="I12" i="15"/>
  <c r="B10" i="15"/>
  <c r="G10" i="15" s="1"/>
  <c r="B6" i="15"/>
  <c r="G9" i="15"/>
  <c r="H10" i="15" l="1"/>
  <c r="I10" i="15" s="1"/>
  <c r="H6" i="15"/>
  <c r="I6" i="15" s="1"/>
  <c r="G6" i="15"/>
  <c r="B7" i="15"/>
  <c r="B8" i="15"/>
  <c r="G7" i="15" l="1"/>
  <c r="H7" i="15"/>
  <c r="I7" i="15" s="1"/>
  <c r="H8" i="15"/>
  <c r="I8" i="15" s="1"/>
  <c r="G8" i="15"/>
  <c r="P7" i="46" l="1"/>
  <c r="P8" i="46"/>
  <c r="P6" i="46"/>
  <c r="P5" i="46"/>
  <c r="P4" i="46"/>
</calcChain>
</file>

<file path=xl/comments1.xml><?xml version="1.0" encoding="utf-8"?>
<comments xmlns="http://schemas.openxmlformats.org/spreadsheetml/2006/main">
  <authors>
    <author>SCHUMACHER Britta</author>
  </authors>
  <commentList>
    <comment ref="B1" authorId="0" shapeId="0">
      <text>
        <r>
          <rPr>
            <b/>
            <sz val="9"/>
            <color indexed="81"/>
            <rFont val="Tahoma"/>
            <family val="2"/>
          </rPr>
          <t>SCHUMACHER Britta:</t>
        </r>
        <r>
          <rPr>
            <sz val="9"/>
            <color indexed="81"/>
            <rFont val="Tahoma"/>
            <family val="2"/>
          </rPr>
          <t xml:space="preserve">
for our supplies it makes more sense to calculate the  requirements first and then  calculating  the number of cartons / bags etc  because  for certain interventions the  amount / p / day  varies ( see below)</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<sst xmlns="http://schemas.openxmlformats.org/spreadsheetml/2006/main" count="2155" uniqueCount="940">
  <si>
    <t>Automatic calculation</t>
  </si>
  <si>
    <t>Therapeutic spread, sachet 92g/CAR-150</t>
  </si>
  <si>
    <t>Target, beneficiaries</t>
  </si>
  <si>
    <t>Number of items per one beneficiary</t>
  </si>
  <si>
    <t>Programme</t>
  </si>
  <si>
    <t>Supply item</t>
  </si>
  <si>
    <t>Comments and notes</t>
  </si>
  <si>
    <t xml:space="preserve">Supplementary spread,sachet 92g/CAR-150 </t>
  </si>
  <si>
    <t>Number of items in one carton</t>
  </si>
  <si>
    <t>Total number of supply items needed</t>
  </si>
  <si>
    <t>Total number of cartons needed</t>
  </si>
  <si>
    <t>UNICEF recommended supplies for treatment of one child is 136 sachets +10% leakage, amounting for total 150 sachets (one carton) per one child. Of 100 SAM cases it is expected that 80% will be referred to outpatient treatment and 20 % for inpatient care, that will later be transitioned to outpatient care, hence the supplies are calculated on 100% of the target</t>
  </si>
  <si>
    <t>MAM treatment, children 6-59 mo</t>
  </si>
  <si>
    <t>AM treatment, PLW</t>
  </si>
  <si>
    <t>Total weight (net), Mt</t>
  </si>
  <si>
    <t>Net weight of 1 carton, kg</t>
  </si>
  <si>
    <t>Ready to use infant formula, bottle 200g / pack-6</t>
  </si>
  <si>
    <r>
      <rPr>
        <b/>
        <sz val="12"/>
        <color theme="1"/>
        <rFont val="Calibri"/>
        <family val="2"/>
        <scheme val="minor"/>
      </rPr>
      <t xml:space="preserve">OR </t>
    </r>
    <r>
      <rPr>
        <sz val="12"/>
        <color theme="1"/>
        <rFont val="Calibri"/>
        <family val="2"/>
        <scheme val="minor"/>
      </rPr>
      <t>Powdered infant formula / CAN 400g</t>
    </r>
  </si>
  <si>
    <r>
      <rPr>
        <b/>
        <sz val="12"/>
        <color theme="1"/>
        <rFont val="Calibri"/>
        <family val="2"/>
        <scheme val="minor"/>
      </rPr>
      <t>OR</t>
    </r>
    <r>
      <rPr>
        <sz val="12"/>
        <color theme="1"/>
        <rFont val="Calibri"/>
        <family val="2"/>
        <scheme val="minor"/>
      </rPr>
      <t xml:space="preserve"> Supplementary spread, pot. 325g/CAR-36</t>
    </r>
  </si>
  <si>
    <t>BSFP, children</t>
  </si>
  <si>
    <t>For calculating purposes, an average of 750ml per day of liquid formula is suggested (total 135 liter for 6 months)</t>
  </si>
  <si>
    <t>IYCF-E (artificial feeding), children 0-5 months</t>
  </si>
  <si>
    <t>Enter here number of target beneficiaries</t>
  </si>
  <si>
    <t>Enter here number of items per beneficiary (agreed in country)</t>
  </si>
  <si>
    <t>For calculating purposes, an average of 50 cans with 400g powdered milk is suggested (total 20kg for 6 months).</t>
  </si>
  <si>
    <r>
      <rPr>
        <b/>
        <sz val="12"/>
        <color theme="5" tint="-0.249977111117893"/>
        <rFont val="Calibri"/>
        <family val="2"/>
        <scheme val="minor"/>
      </rPr>
      <t>Important note:</t>
    </r>
    <r>
      <rPr>
        <b/>
        <sz val="12"/>
        <color theme="1"/>
        <rFont val="Calibri"/>
        <family val="2"/>
        <scheme val="minor"/>
      </rPr>
      <t xml:space="preserve"> the purpose of this supplies calculator is to allow NCCs to oversee how many of the main commodities is needed to cover cluster targets. If it is to be used for programme planning it should be adapted</t>
    </r>
  </si>
  <si>
    <t>F-75 therap.diet,sachet, 102.5g/CAR-120</t>
  </si>
  <si>
    <t xml:space="preserve">  F-100 therap. diet, sachet,114g/CAR-90</t>
  </si>
  <si>
    <t xml:space="preserve">The provided calculation is for when inpatient care is followed by outpatient care with RUTF. It estimates the quantity needed to cobver transition and exceptions (children who are anable to take RUTF in phase 2). UNICEF recommended supplies for transitioning phase 2 of one child is 4 sachets +10% leakage, amounting for total 4.5 sachets per one child. Of 100% SAM cases it is expected that 80% will be referred to outpatient treatment and 20 % for inpatient care, </t>
  </si>
  <si>
    <t xml:space="preserve">UNICEF recommended supplies for treatment of one child is 12 sachets +10% leakage, amounting for total 13 sachets per one child. Of 100% SAM cases it is expected that 80% will be referred to outpatient treatment and 20 % for inpatient care, </t>
  </si>
  <si>
    <t>SAM treatment (outpatient), children 6-59 mo</t>
  </si>
  <si>
    <t>Inpatient SAM treatment (phase 1), children 0-59 mo</t>
  </si>
  <si>
    <t>Inpatient SAM treatment (phase 2), children 0-59 mo</t>
  </si>
  <si>
    <t>For supplies forecasting for the SAM treatment as per UNICEF recommendations, refer to "Nutrition supplies forecast sheet 2012" by UNICEF (available from UNICEF intranet)</t>
  </si>
  <si>
    <t>Selected supplies forecasting</t>
  </si>
  <si>
    <t>This is  mean coverage that is expected to be achieved by the program over the time period. To agree on expected coverage clusters usually take into account current capacity of the partners and their capacity to scale up. If mean coverage for the previous year is known, base your estimates on this number accounting for potential scale up/down.</t>
  </si>
  <si>
    <t>While ready to use Ready to use LNSs are the standrad in emergencies, it is still possible that  CSB++/WSB++ is provided  /preferred ; Standard  ration would be 200 g /p/day ( includes provision for sharing) ; this needs to be added as an option</t>
  </si>
  <si>
    <t xml:space="preserve">Supercereal Plus (CSB++)/BAG-1,5KG </t>
  </si>
  <si>
    <t xml:space="preserve">Supercereal (CSB+) /BAG-25kg </t>
  </si>
  <si>
    <t>Medium quantity LNS  is usually given in 46 g ( 50 g) sachets / p / day  , however it can vary depending on resourses available</t>
  </si>
  <si>
    <t>The standard ration foresees Supercereal   200-250 g / p / d plus 20-25 g oil, amounting for about 15 kg of CSB+  (60% of one 25kg bag) per one woman per treatment</t>
  </si>
  <si>
    <t>Badakhshan</t>
  </si>
  <si>
    <t>Badghis</t>
  </si>
  <si>
    <t>Baghlan</t>
  </si>
  <si>
    <t>Balkh</t>
  </si>
  <si>
    <t>Bamyan</t>
  </si>
  <si>
    <t>Dykundi</t>
  </si>
  <si>
    <t>Farah</t>
  </si>
  <si>
    <t>Faryab</t>
  </si>
  <si>
    <t>Ghazni</t>
  </si>
  <si>
    <t>Ghor</t>
  </si>
  <si>
    <t>Helmand</t>
  </si>
  <si>
    <t>Hirat</t>
  </si>
  <si>
    <t>Jawzjan</t>
  </si>
  <si>
    <t>Kabul</t>
  </si>
  <si>
    <t>Kandahar</t>
  </si>
  <si>
    <t>Kapisa</t>
  </si>
  <si>
    <t>Khost</t>
  </si>
  <si>
    <t>Kunar</t>
  </si>
  <si>
    <t>Kunduz</t>
  </si>
  <si>
    <t>Laghman</t>
  </si>
  <si>
    <t>Logar</t>
  </si>
  <si>
    <t>Nangarhar</t>
  </si>
  <si>
    <t>Nimroz</t>
  </si>
  <si>
    <t>Nuristan</t>
  </si>
  <si>
    <t>Paktika</t>
  </si>
  <si>
    <t>Paktya</t>
  </si>
  <si>
    <t>Panjsher</t>
  </si>
  <si>
    <t>Parwan</t>
  </si>
  <si>
    <t>Samangan</t>
  </si>
  <si>
    <t>Sar-e-Pul</t>
  </si>
  <si>
    <t>Children 0-59 months as percentage of total population, %</t>
  </si>
  <si>
    <t>Expected number of SAM cases for Outpatient-CMAM</t>
  </si>
  <si>
    <t>Expected proportion of SAM cases for Inpatient treatment</t>
  </si>
  <si>
    <t>Number of STUNTED children 0-59 mo in need</t>
  </si>
  <si>
    <t>Global Clusters</t>
  </si>
  <si>
    <t>Code</t>
  </si>
  <si>
    <t>Sub-domain</t>
  </si>
  <si>
    <t>Title</t>
  </si>
  <si>
    <t>Description</t>
  </si>
  <si>
    <t>Unit of Measurement</t>
  </si>
  <si>
    <t>Unit Description</t>
  </si>
  <si>
    <t>Denominator</t>
  </si>
  <si>
    <t>Numerator</t>
  </si>
  <si>
    <t>Disaggregation</t>
  </si>
  <si>
    <t>Key indicator</t>
  </si>
  <si>
    <t>Types</t>
  </si>
  <si>
    <t>Response Monitoring</t>
  </si>
  <si>
    <t>Standards</t>
  </si>
  <si>
    <t>Threshold</t>
  </si>
  <si>
    <t>Guidance on phases</t>
  </si>
  <si>
    <t>General guidance</t>
  </si>
  <si>
    <t>Guidance for pre-crisis/baseline</t>
  </si>
  <si>
    <t>Comments</t>
  </si>
  <si>
    <t>Data Sources</t>
  </si>
  <si>
    <t>Sector cross-tagging</t>
  </si>
  <si>
    <t>Nutrition</t>
  </si>
  <si>
    <t>N-001</t>
  </si>
  <si>
    <t>N1 Prevention and Management of Acute Malnutrition</t>
  </si>
  <si>
    <t>Global acute malnutrition (GAM)</t>
  </si>
  <si>
    <t>Individual</t>
  </si>
  <si>
    <t>Percentage</t>
  </si>
  <si>
    <t>Total number of children aged 6-59 months surveyed</t>
  </si>
  <si>
    <t>Number of children aged 6-59 months that meet the criteria for global acute malnutrition</t>
  </si>
  <si>
    <t>Geographical area, age, sex</t>
  </si>
  <si>
    <t>Yes</t>
  </si>
  <si>
    <t>Baseline, Outcome</t>
  </si>
  <si>
    <t>WHO TRS 854. Severity classification: 5,10, 15%</t>
  </si>
  <si>
    <t>preparatory; Phase III and IV</t>
  </si>
  <si>
    <t>Should be based on a methodologically solid anthropometric nutrition survey finding and include Confidence Intervals</t>
  </si>
  <si>
    <t>Note that WFH and MUAC do not measure the same things and are not comparable. Data on the global malnutrition rate should be compared by sex in order to identify any specific discrimination girls or boys might face in accessing nutrition. In case there is an important difference between the percentage of girls and the percentage of boys suffering from malnutrition, the programme should address these gaps by undertaking a gender analysis of the specific challenges the disadvantaged group is facing in equally accessing nutrition, including an analysis of the socio cultural habits and beliefs that might differently impact on girls' and boys' nutritional well being.</t>
  </si>
  <si>
    <t>Population-based surveys with representative sampling methods (MICS, DHS, SMART)</t>
  </si>
  <si>
    <t>F1 Food Assistance, H2 Child health, H4.2 Maternal and newborn care, W1 Hygiene Promotion, W2 Water Supply, W3 Excreta Disposal</t>
  </si>
  <si>
    <t>N-002</t>
  </si>
  <si>
    <t>Acute malnutrition in infants less than 6 months</t>
  </si>
  <si>
    <t>Total number of children less than 6 months surveyed</t>
  </si>
  <si>
    <t>Number of infants 0-5 months that meet the criteria for global acute malnutrition</t>
  </si>
  <si>
    <t>Geographical area, sex</t>
  </si>
  <si>
    <t>Note that WFH and MUAC do not measure the same things and are not comparable. Data on the acute malnutrition rate should be compared by sex in order to identify any specific discrimination baby girls or baby boys might face in accessing nutrition. In case there is an important difference between the percentage of infant girls and the percentage of infant boys suffering from malnutrition, the programme should address these gaps by undertaking a gender analysis of the specific challenges the disadvantaged group is facing, including an analysis of the socio cultural habits and beliefs on breastfeeding that might differently impact on baby girls' and baby boys' nutritional well being.</t>
  </si>
  <si>
    <t>N-003</t>
  </si>
  <si>
    <t>Severe acute malnutrition (SAM)</t>
  </si>
  <si>
    <t>Number of children aged 6-59 months that meet the criteria for severe acute malnutrition</t>
  </si>
  <si>
    <t>No standard WHO thresholds; this indicator cut-off should be interpreted in consideration of other indicators including morbidity, mortality and proportion of GAM; Reference: WHO child growth standards and the identification of severe acute malnutrition in infants and children. A Joint Statement by the World Health Organization and the United Nations Children's Fund, 2009.</t>
  </si>
  <si>
    <t>F1 Food Assistance, H1 General clinical services &amp; essential trauma care, H2 Child health, H4.2 Maternal and newborn care, W1 Hygiene Promotion, W2 Water Supply, W3 Excreta Disposal</t>
  </si>
  <si>
    <t>N-004</t>
  </si>
  <si>
    <t>Severe acute malnutrition (SAM) in infants 0-5 months</t>
  </si>
  <si>
    <t>Total number of children 0-5 months surveyed</t>
  </si>
  <si>
    <t>Number of infants 0-5 months that meet the criteria for severe acute malnutrition</t>
  </si>
  <si>
    <t>Note that WFH and MUAC do not measure the same things and are not comparable. Data on the severe acute malnutrition rate should be compared by sex in order to identify any specific discrimination baby girls or baby boys might face in accessing nutrition. In case there is an important difference between the percentage of infant girls and the percentage of infant boys suffering from malnutrition, the programme should address these gaps by undertaking a gender analysis of the specific challenges the disadvantaged group is facing, including an analysis of the socio cultural habits and beliefs on breastfeeding that might differently impact on baby girls' and baby boys' nutritional well being.</t>
  </si>
  <si>
    <t>N-005</t>
  </si>
  <si>
    <t>Moderate acute malnutrition (MAM)</t>
  </si>
  <si>
    <t>Number of children aged 6-59 months that meet the criteria for moderate acute malnutrition</t>
  </si>
  <si>
    <t>No standard WHO thresholds; this indicator cut-off should be interpreted in consideration of other indicators including morbidity, mortality and proportion of GAM</t>
  </si>
  <si>
    <t>Prevalence easy to derive by subtracting SAM from GAM</t>
  </si>
  <si>
    <t>N-006</t>
  </si>
  <si>
    <t>Moderate acute malnutrition (MAM) in infants 0-5 months</t>
  </si>
  <si>
    <t>Number of infants less than 6 months that meet the criteria for moderate acute malnutrition</t>
  </si>
  <si>
    <t>Prevalence easy to derive by subtracting Proportion of SAM from Proportion of GAM</t>
  </si>
  <si>
    <t>Note that WFH and MUAC do not measure the same things and are not comparable. Data on the moderate acute malnutrition rate should be compared by sex in order to identify any specific discrimination baby girls or baby boys might face in accessing nutrition. In case there is an important difference between the percentage of infant girls and the percentage of infant boys suffering from malnutrition, the programme should address these gaps by undertaking a gender analysis of the specific challenges the disadvantaged group is facing, including an analysis of the socio cultural habits and beliefs on breastfeeding that might differently impact on baby girls' and baby boys' nutritional well being.</t>
  </si>
  <si>
    <t>N-007</t>
  </si>
  <si>
    <t>Childhood stunting</t>
  </si>
  <si>
    <t>Total number of children 0 to 59 months of age surveyed</t>
  </si>
  <si>
    <t>Number of children 0 to 59 months of age that meet the criteria for stunting</t>
  </si>
  <si>
    <t>WHO TRS 854. Severity classification: 20,30,40 %</t>
  </si>
  <si>
    <t>Aim should be to assess stunting in the entire age group 0-59 months</t>
  </si>
  <si>
    <t>Disaggregation by sex and age group should be aimed for and results should be analysed. Note: if surveys being undertaken include 0-59 then use this age group - if not - and the survey is including 6-59 then we may use 6-59. Ideally the Proportion of should be adjusted for 0-59 months)</t>
  </si>
  <si>
    <t>F1 Food Assistance, F2 Livelihood Assistance, F3 Food Access, F4 Income Access, H2 Child health, H4.2 Maternal and newborn care, W1 Hygiene Promotion, W2 Water Supply, W3 Excreta Disposal, W4 Vector Control</t>
  </si>
  <si>
    <t>N-008</t>
  </si>
  <si>
    <t>Acute malnutrition based on MUAC and oedema</t>
  </si>
  <si>
    <t>Number of children aged 6-59 months that meet the criteria for wasting based on MUAC</t>
  </si>
  <si>
    <t>WHO child growth standards and the identification of severe acute malnutrition in infants and children. A Joint Statement by the World Health Organization and the United Nations Children's Fund, 2009.</t>
  </si>
  <si>
    <t>Phase I,II; added to surveys Phase III,IV</t>
  </si>
  <si>
    <t>When possible to use representative surveys, alternatively - rapid nutrition assessment with smaller number of children can give an idea of the situation - but these findings from a rapid nutrition assessment - with small numbers of children need to be treated with caution and should NOT be presented as prevalence but as number of children</t>
  </si>
  <si>
    <t>It is a good practice to disaggregate oedema cases, however there is a concern of accuracy and precision</t>
  </si>
  <si>
    <t>Population surveys with representative sampling methods (MICS, DHS, SMART) &amp; rapid nutrition assessment</t>
  </si>
  <si>
    <t>F1 Food Assistance, F3 Food Access, F5 Market Access, F7 Utilization, H2 Child health, H4.2 Maternal and newborn care, W1 Hygiene Promotion, W2 Water Supply, W3 Excreta Disposal, W4 Vector Control</t>
  </si>
  <si>
    <t>N-009</t>
  </si>
  <si>
    <t>Severe acute malnutrition based on MUAC and oedema</t>
  </si>
  <si>
    <t>Number of children aged 6-59 months that meet the criteria for severe wasting based on MUAC</t>
  </si>
  <si>
    <t>It is a good practice to disaggregate oedema cases, however there is a concern of accuracy and precision.</t>
  </si>
  <si>
    <t>F1 Food Assistance, F3 Food Access, F5 Market Access, F7 Utilization, H1 General clinical services &amp; essential trauma care, H2 Child health, H4.2 Maternal and newborn care, W1 Hygiene Promotion, W2 Water Supply, W3 Excreta Disposal, W4 Vector Control</t>
  </si>
  <si>
    <t>N-010</t>
  </si>
  <si>
    <t>Moderate acute malnutrition based on MUAC</t>
  </si>
  <si>
    <t>Number of children aged 6-59 months that meet the criteria for moderate wasting based on MUAC</t>
  </si>
  <si>
    <t>When possible to use representative survey, alternatively - rapid nutrition assessment with smaller number of children can give you a idea of the situation - but these findings from a rapid nutrition assessment - with small numbers of children need to be treated with caution and should NOT be presented as prevalence but as number of children</t>
  </si>
  <si>
    <t>Prevalence easy to derive by subtracting Proportion of severe wasting based on low MUAC from Proportion of wasting based on low MUAC</t>
  </si>
  <si>
    <t>N-011</t>
  </si>
  <si>
    <t>Acute malnutrition in Pregnant and Lactating Women</t>
  </si>
  <si>
    <t>Total number of Pregnant and Lactating Women with infants below age of 0 to 5 months surveyed</t>
  </si>
  <si>
    <t>Number of Pregnant and Lactating Women with infants 0-5 months that meet the criteria for acute malnutrition based on MUAC</t>
  </si>
  <si>
    <t>Geographical area</t>
  </si>
  <si>
    <t>All phases</t>
  </si>
  <si>
    <t>There are NO agreed international Cut off points for MUAC for PLW so National MUAC cut off points may vary, If available/possible, use representative survey, if not - rapid nutrition assessment with smaller number of PLW can give you some idea of the situation</t>
  </si>
  <si>
    <t>PLW may be a problematic to define and identify, SMART surveys provide data for women with children, so definition of lactating should be mothers with infants 0-5 months; caution on excluding women in first pregnancy</t>
  </si>
  <si>
    <t>Population-based surveys with representative sampling methods (MICS, DHS, SMART) or rapid nutrition assessment</t>
  </si>
  <si>
    <t>F1 Food Assistance, F3 Food Access, F4 Income Access, F5 Market Access, F6 Availability, F7 Utilization, H1 General clinical services &amp; essential trauma care, H2 Child health, H4.2 Maternal and newborn care, W1 Hygiene Promotion, W2 Water Supply, W4 Vector Control</t>
  </si>
  <si>
    <t>N-012</t>
  </si>
  <si>
    <t>Stunting in women of reproductive age</t>
  </si>
  <si>
    <t>Total number of women 15-49 years surveyed</t>
  </si>
  <si>
    <t>Number of women 15-49 years that meet the criteria for stunting</t>
  </si>
  <si>
    <t>No</t>
  </si>
  <si>
    <t>N-013</t>
  </si>
  <si>
    <t>Undernutrition for adults</t>
  </si>
  <si>
    <t>Total number of adults aged 19.1 to 59.9 years old surveyed</t>
  </si>
  <si>
    <t>Number of adults aged 19.1 to 59.9 years old that meet the criteria for undernutrition</t>
  </si>
  <si>
    <t>WHO TRS 854 classification: mild thinness (BMI = 17.00-18.49 kg/m2), moderate thinness (BMI = 16.00-16.99 kg/m2), and severe thinness (BMI &lt; 16.00 kg/m2).</t>
  </si>
  <si>
    <t>Preparatory and phase IV and beyond</t>
  </si>
  <si>
    <t>Anthropometric data should be interpreted with a contextual analysis of the associated nutritional risks for the population using underlying causes. In particular, data on the undernutrition rate should be compared by sex in order to identify any specific discrimination adult women or adult men might face in accessing nutrition. In case there is an important difference between the percentage of women and the percentage of men suffering from undernutrition, the programme should address these gaps by undertaking a gender analysis of the specific challenges the disadvantaged group is facing, including an analysis of the socio cultural habits and beliefs that might differently impact their nutritional well being.</t>
  </si>
  <si>
    <t>F1 Food Assistance, F3 Food Access, F4 Income Access, F5 Market Access, F6 Availability, F7 Utilization, H3 Communicable diseases, H4.2 Maternal and newborn care, W1 Hygiene Promotion, W2 Water Supply, W4 Vector Control</t>
  </si>
  <si>
    <t>N-014</t>
  </si>
  <si>
    <t>Undernutrition for 5 to 19 year olds</t>
  </si>
  <si>
    <t>Total number of children and adolescents 5-19 years surveyed</t>
  </si>
  <si>
    <t>Number of children and adolescents 5-19 years that meet the criteria for undernutrition</t>
  </si>
  <si>
    <t>WHO Reference 2007 www.who.int/growthref.</t>
  </si>
  <si>
    <t>Preparatory and phase iv and beyond</t>
  </si>
  <si>
    <t>Particularly important for adolescent girls. Data on the undernutrition rate should be compared by sex in order to identify any specific discrimination girls, boys, adolescent girls and adolescent boys might face in accessing nutrition. In case there is an important difference between the percentage of girls and the percentage of boys suffering from undernutrition, the programme should address these gaps by undertaking a gender analysis of the specific challenges the disadvantaged group is facing, including an analysis of the socio cultural habits and beliefs that might differently impact on girls' and boys' nutritional well being. Note: the indicator includes 5.0 to 19.0 years. Based on WHO 2007 reference population</t>
  </si>
  <si>
    <t>N-015</t>
  </si>
  <si>
    <t>Acute malnutrition for older people</t>
  </si>
  <si>
    <t>Total number of older people surveyed</t>
  </si>
  <si>
    <t>Number of older people that meet the criteria for acute malnutrition</t>
  </si>
  <si>
    <t>Geographical area, sex: in preparatory, Phase III and IV, disaggregate by severity (&lt;185mm and between 185 and 209mm)</t>
  </si>
  <si>
    <t>MUAC &gt;210mm: no malnutrition; MAM: MUAC &lt;210mm SAM: MUAC&lt;185mm or oedema (Help Age guidelines 2013)</t>
  </si>
  <si>
    <t>In preparatory phase as well as phases I and II: use rapid assessment methods In phases III and IV, organize surveys with larger samples or use rapid assessment method, with multi-indicator questionnaire</t>
  </si>
  <si>
    <t>Rapid assessment methods can be used at any phase. The questionnaire should include questions about socio-economic status, health, household food security, water and sanitation.</t>
  </si>
  <si>
    <t>In preparatory phase,: Collect baseline demographic data about the percentage of people 50 and above (or 60 and above) disaggregated by sex and by age groups of 5 years (50-59, 60-64, 65-69, 70-74, 75-80, 80 and above) Assess household food security Organize focus group discussions with older people to have an idea of their access to food.</t>
  </si>
  <si>
    <t>older people are defined as "people aged 60 and above" (UN definition), but in some contexts (e.g. Somali, Ethiopia, Sudan etc.), can be 50 and above (as people are considered "old" from this age); Note: Nutritional oedema in older people may be difficult to distinguish from other types of oedema, so suggestion to separate BMI and oedema cases if necessary. Data on acute malnutrition rate should be compared by sex in order to identify any specific discrimination elderly women and elderly men might face in accessing nutrition. In case there is an important difference between the percentage of elderly women and the percentage of elderly men suffering from acute malnutrition, the programme should address these gaps by undertaking a gender analysis of the specific challenges the disadvantaged group is facing, including an analysis of the socio cultural habits and beliefs as well as on the social and family support networks available to them that might differ, hence impacting differently their nutritional well being.</t>
  </si>
  <si>
    <t>surveys: rapid assessments</t>
  </si>
  <si>
    <t>F1 Food Assistance, F3 Food Access, F4 Income Access, F5 Market Access, F6 Availability, F7 Utilization, H3 Communicable diseases, W1 Hygiene Promotion, W2 Water Supply, W4 Vector Control</t>
  </si>
  <si>
    <t>N-016</t>
  </si>
  <si>
    <t>Minimum meal frequency for children 24-59 months</t>
  </si>
  <si>
    <t>Proportion of children 24-59 months who are eating 3 meals a day or more</t>
  </si>
  <si>
    <t>Total number of children 24-59 months surveyed</t>
  </si>
  <si>
    <t>Number of children 24-59 months who are eating 3 meals a day or more</t>
  </si>
  <si>
    <t>Baseline</t>
  </si>
  <si>
    <t>preparatory; Phase I and II; Phase II and IV</t>
  </si>
  <si>
    <t>Use 6-23 months age group indicator as proxy for 24-59 months, and assume older age group is worse off CAN be an important ALERT indicator in early phases of an emergency</t>
  </si>
  <si>
    <t>Indicator used for IYCF for 6-23 month age group based on WHO indicator.</t>
  </si>
  <si>
    <t>surveys; rapid assessments;</t>
  </si>
  <si>
    <t>F1 Food Assistance, F3 Food Access, F4 Income Access, F5 Market Access, F6 Availability, F7 Utilization, H2 Child health, H4.2 Maternal and newborn care</t>
  </si>
  <si>
    <t>N-018</t>
  </si>
  <si>
    <t>N3 Prevention and Control of Micronutrients Deficiencies</t>
  </si>
  <si>
    <t>Minimum dietary diversity for children 24-59 months</t>
  </si>
  <si>
    <t>Proportion of children 24-59 months who receive foods from 4 or more food groups</t>
  </si>
  <si>
    <t>Number of children 24-59 months who receive from 4 or more of the following food groups.</t>
  </si>
  <si>
    <t>Food Security and Nutrition 4.1.1</t>
  </si>
  <si>
    <t>No standard identified, only WHO source indicator</t>
  </si>
  <si>
    <t>Use 6-23 months age group indicator as proxy for 24-59 months, and assume older age group is worse off - CAN be an important ALERT indicator in early phases of an emergency (WHO uses a parameter of previous 24 hours). Food groups defined as follows: (1) grains, roots and tubers (2) legumes and nuts (3) dairy products (milk, yogurt, cheese) (4) flesh foods (meat, fish, poultry and liver/organ meats) (5) eggs (6) vitamin-A rich fruits and vegetables (7) other fruits and vegetables</t>
  </si>
  <si>
    <t>Indicator used for IYCF for 6-23 month age group based on WHO indicator</t>
  </si>
  <si>
    <t>N-019</t>
  </si>
  <si>
    <t>level of risk to common micronutrient deficiencies (high, medium, low)</t>
  </si>
  <si>
    <t>Community</t>
  </si>
  <si>
    <t>high, medium, low</t>
  </si>
  <si>
    <t>N/A</t>
  </si>
  <si>
    <t>By deficiency; geographical area, sex, potentially vulnerable groups: PLW, children 6-59 months, other potentially vulnerable groups</t>
  </si>
  <si>
    <t>SPHERE 2011, appendix 5 - thresholds (http://www.spherehandbook.org/en/appendix-15/)</t>
  </si>
  <si>
    <t>Preparatory; Phase II, III, IV</t>
  </si>
  <si>
    <t>use survey data ; estimate from numbers of affected population by type of vulnerable groups</t>
  </si>
  <si>
    <t>F1 Food Assistance, F2 Livelihood Assistance, F3 Food Access, F4 Income Access, F5 Market Access, F6 Availability, F7 Utilization, H1 General clinical services &amp; essential trauma care, H2 Child health, H5 Non communicable diseases and mental health, (R) Early Recovery, W1 Hygiene Promotion, W2 Water Supply, W3 Excreta Disposal</t>
  </si>
  <si>
    <t>N-020</t>
  </si>
  <si>
    <t>Vitamin A coverage in children 6--59 months</t>
  </si>
  <si>
    <t>Proportion of children 6 - 59 months having received vitamin A in previous 6 months</t>
  </si>
  <si>
    <t>Total number of children 6-59 months surveyed</t>
  </si>
  <si>
    <t>Number of children 6 - 59 months that received vitamin A in the previous 6 months (mother's recall or card verified)</t>
  </si>
  <si>
    <t>Geographical area, age (6-11, 12-23 months), sex</t>
  </si>
  <si>
    <t>Baseline, Output</t>
  </si>
  <si>
    <t>Health Action 2.2.1</t>
  </si>
  <si>
    <t>Target: 95%. Upon completion of measles vaccination campaign at least 95 per cent of children aged 6–59 months have received an appropriate dose of Vitamin A</t>
  </si>
  <si>
    <t>The indicator applies for children living in settings where VAD is a public health problem, WHO follows the GAVA recommendation and advocates for two doses in the last year. In case there is an important difference, the programme should address these gaps by undertaking a gender analysis of the specific challenges the disadvantaged group is facing, including an analysis of the socio cultural habits and beliefs that might differently impact on girls' and boys' nutritional well being. Consider the dates of the actual vitamin A supplementation to get an indication of number of children uncovered (0 to 5 months old) and who should be included in the new supplementation programme.</t>
  </si>
  <si>
    <t>population surveys with representative sampling methods (MICS, DHS, SMART)</t>
  </si>
  <si>
    <t>F1 Food Assistance, F3 Food Access, F4 Income Access, F5 Market Access, F6 Availability, F7 Utilization, H1 General clinical services &amp; essential trauma care, H2 Child health, H5 Non communicable diseases and mental health</t>
  </si>
  <si>
    <t>N-021</t>
  </si>
  <si>
    <t>Iron supplementation coverage rate in children</t>
  </si>
  <si>
    <t>Proportion of children 6-59 months of age receiving micronutrient supplements that contain adequate iron</t>
  </si>
  <si>
    <t>Number of children 6-59 months who received micronutrient supplements with adequate iron in/with one of their meals the previous day</t>
  </si>
  <si>
    <t>Geographical area, age (6-24, 24-59 months), sex</t>
  </si>
  <si>
    <t>N-022</t>
  </si>
  <si>
    <t>Iron-folic acid supplementation in pregnant women</t>
  </si>
  <si>
    <t>Proportion of pregnant women having received iron-folic acid contained supplementation daily in previous 6 months/during pregnancy</t>
  </si>
  <si>
    <t>Total number of pregnant women surveyed</t>
  </si>
  <si>
    <t>Number of pregnant women who bought or received iron-folic acid contained supplementation daily in the previous 6 months during pregnancy</t>
  </si>
  <si>
    <t>In some countries iron-folic acid supplements are replaced by multiple micronutrients, therefore depending on the situation the indicator should be changed to "received iron-folic acid supplements "or "received multiple micronutrient supplements"</t>
  </si>
  <si>
    <t>Population survey with representative sampling methods (eg, MICS, DHA, SMART)</t>
  </si>
  <si>
    <t>F1 Food Assistance, F3 Food Access, F6 Availability, H1 General clinical services &amp; essential trauma care, H2 Child health, H4.2 Maternal and newborn care</t>
  </si>
  <si>
    <t>N-023</t>
  </si>
  <si>
    <t>Iodized salt consumption</t>
  </si>
  <si>
    <t>Proportion households using adequately iodized salt in previous 6 months</t>
  </si>
  <si>
    <t>Households</t>
  </si>
  <si>
    <t>Total number of households surveyed</t>
  </si>
  <si>
    <t>Number of households using adequately iodized salt (20-40 ppm) in previous 6 months</t>
  </si>
  <si>
    <t>Indicator should be equal to or greater than 90Proportion of(reference?) -Number of households using adequately iodized salt (20-40 ppm) in previous 6 months</t>
  </si>
  <si>
    <t>Adequately iodized salt is salt containing 15 to 40 ppm of iodine at the household level. Reference: Assessment of iodine deficiency disorders and monitoring their elimination : a guide for programme managers. 3rd edition WHO, 2008</t>
  </si>
  <si>
    <t>Use of "using" rather than "having regularly consumed in previous 6 months" based on recommended assessment methods, which is measuring iodine level in salt in households at a time of assessment and not collecting retrospective data (as the level of iodine in salt consumed cannot be assessed and many people do not know if salt is / was iodized). Alternative formulation: "Proportion of households using adequately iodized salt" - see reference. Apparently not a food security indicator;</t>
  </si>
  <si>
    <t>F1 Food Assistance, F6 Availability, H2 Child health, H5 Non communicable diseases and mental health</t>
  </si>
  <si>
    <t>N-024</t>
  </si>
  <si>
    <t>(1)Proportion of children below five years of age with sub-clinical vitamin A deficiency (2) Proportion of women of reproductive age with clinical vitamin A deficiency</t>
  </si>
  <si>
    <t>Total number of children below five years of age surveyed or Total number of women of reproductive age surveyed</t>
  </si>
  <si>
    <t>Number of children below five years of age with vitamin A deficiency (serum retinol values &lt;0.70µmol/l) or Proportion of women of reproductive age or 15-49 years of age) with Vitamin A deficiency (serum retinol values&lt;0.70µmol/l)</t>
  </si>
  <si>
    <t>Geographical area, boys and girls 0-59 months, women of reproductive age</t>
  </si>
  <si>
    <t>Public Health Significance: &lt;2Proportion of normal; 2-9.9Proportion of Low; 10-19.9Proportion of Medium; &gt;20Proportion of High (ref: WHO 1996)</t>
  </si>
  <si>
    <t>Preparatory</t>
  </si>
  <si>
    <t>FOR CHILDREN - Serum or plasma retinol levels measured in capillary or venous samples is an invasive test that is expensive if HPLC is used. Newer methods for dry blood spots with the capillary method are emerging. FOR WOMEN - Information can be ascertained verbally. Since the question is targeted at a specific subset of women, the indicator fails to capture the full range of women of reproductive ages. There is a need to standardize the phrasing of the question.</t>
  </si>
  <si>
    <t>WHO guideline: who.int/vmnis/retinol.pdf</t>
  </si>
  <si>
    <t>primary data - National Surveys, Local studies, DHS, MICS; secondary data - VMNIS</t>
  </si>
  <si>
    <t>F1 Food Assistance, F3 Food Access, F4 Income Access, F5 Market Access, F6 Availability, F7 Utilization, H2 Child health, H4.2 Maternal and newborn care, H5 Non communicable diseases and mental health</t>
  </si>
  <si>
    <t>N-025</t>
  </si>
  <si>
    <t>Public Health Significance: &lt;4.9Proportion of Normal/Adequate; 5-19.9Proportion of Low; 20-39.9Proportion of Medium; &gt;40Proportion of High (ref: WHO 2001).</t>
  </si>
  <si>
    <t>The finger-prick blood sample test is easy to administer in the field. The test could be easily integrated in regular health or prenatal visit to capture all women in reproductive ages. Cost of equipment may be prohibitive</t>
  </si>
  <si>
    <t>WHO guideline: who.int/indicators/haemolobin.pdf;</t>
  </si>
  <si>
    <t>N-026</t>
  </si>
  <si>
    <t>Median urinary iodine concentration (?g/L) in children aged 6-12 years </t>
  </si>
  <si>
    <t>Total number of children aged 6- 12 years surveyed</t>
  </si>
  <si>
    <t>Median urinary iodine concentration (?g/L) in children aged 6-12 years</t>
  </si>
  <si>
    <t>Geographical area, age</t>
  </si>
  <si>
    <t>For children under-5, Public Health significance if &lt;100µg/l but I don't know for children 6-12 years of age (ref: WHO, UNICEF, ICCIDD 2007)</t>
  </si>
  <si>
    <t>A median urinary iodine concentration in a population of &lt; 100 ?g/l indicates that the iodine intake is insufficient. A non-invasive method of measurement, the cost of spoturine samples tests is affordable. School age children 6-12 years can be easily tested in population-based surveys.</t>
  </si>
  <si>
    <t>WHO guideline: apps.who.int/iris/bitstream/10665/85972/1/WHO_NMH_NHD_EPG_13.1_eng.pdf; According to WHO ideally one should also assess PLW</t>
  </si>
  <si>
    <t>primary data - National Surveys, Local studies; secondary data - VMNIS</t>
  </si>
  <si>
    <t>F1 Food Assistance, F6 Availability, H2 Child health, H4.2 Maternal and newborn care, H5 Non communicable diseases and mental health</t>
  </si>
  <si>
    <t>N-027</t>
  </si>
  <si>
    <t>Child morbidity</t>
  </si>
  <si>
    <t>Proportion of children 0-59 months whose caregiver reported an illness in the previous 2 weeks</t>
  </si>
  <si>
    <t>Number of children 0-59 months whose caregiver reported an illness in the previous 2 weeks</t>
  </si>
  <si>
    <t>No threshold</t>
  </si>
  <si>
    <t>survey data</t>
  </si>
  <si>
    <t>This information may be available through the Health Cluster, but nutrition surveys may provide updated representative information</t>
  </si>
  <si>
    <t>SMART surveys, Disease early warning systems</t>
  </si>
  <si>
    <t>H1 General clinical services &amp; essential trauma care, H2 Child health, H3 Communicable diseases, H4.2 Maternal and newborn care, W1 Hygiene Promotion, W2 Water Supply, W3 Excreta Disposal</t>
  </si>
  <si>
    <t>N-028</t>
  </si>
  <si>
    <t>Under-five mortality</t>
  </si>
  <si>
    <t>The rate of death among children below of 5 years of age in the population</t>
  </si>
  <si>
    <t>death per 10,000 children under 5 years/day</t>
  </si>
  <si>
    <t>Total number of children under 5 years multiple by number of days in time period over 10,000 persons</t>
  </si>
  <si>
    <t>Total number of death in children under 5 years during time period</t>
  </si>
  <si>
    <t>See Sphere (http://www.spherehandbook.org/en/essential-health-services-standard-1-prioritising-health-services/) for emergency thresholds for different regions. When the baseline rate is unknown or of doubtful validity, agencies should aim to maintain the U5MR at least below 2.0/10,000/day</t>
  </si>
  <si>
    <t>preparatory; Phases I, II III and IV</t>
  </si>
  <si>
    <t>Under-five mortality rate as defined here is strictly speaking not a rate (i.e. the number of deaths divided by the number of population at risk during a certain period of time) but a probability of death derived from a life table and expressed as rate per 1000 live births</t>
  </si>
  <si>
    <t>These data should be taken from Health Cluster or specific mortality surveys, representative surveys, A proxy can be calculated through health facilities and community records in early phases of emergency. Under-five mortality rate measures child survival. It also reflects the social, economic and environmental conditions in which children (and others in society) live, including their health care. Because data on the incidences and prevalence of diseases (morbidity data) frequently are unavailable, mortality rates are often used to identify vulnerable populations. Under-five mortality rate is an MDG indicator</t>
  </si>
  <si>
    <t>Representative survey and or from health facility / community records</t>
  </si>
  <si>
    <t>H1 General clinical services &amp; essential trauma care, H2 Child health, W1 Hygiene Promotion, W2 Water Supply, W3 Excreta Disposal</t>
  </si>
  <si>
    <t>N-029</t>
  </si>
  <si>
    <t>N2 Infant and Young Child Feeding</t>
  </si>
  <si>
    <t>Early initiation of breastfeeding</t>
  </si>
  <si>
    <t>Proportion of children 0-23 months who were put to the breast within one hour of birth.</t>
  </si>
  <si>
    <t>Total number of women with a live birth in the X years prior to the survey</t>
  </si>
  <si>
    <t>Number of women with a live birth in the X years prior to the survey who put the newborn infant to the breast within one hour of birth</t>
  </si>
  <si>
    <t>Food Security and Nutrition 4.2.1</t>
  </si>
  <si>
    <t>No standard; &lt; 80Proportion of is generally a priority. Discuss high, medium and low designations as a group</t>
  </si>
  <si>
    <t>For Phases III-IV, an adapted indicator should be used where the same methodology is used but the denominator is infants born since onset of the emergency. (Proportion of children born since the onset of the emergency who were put to the breastfed within one hour of birth). In Phase 1 and 11, the denominator used should be infants born since onset of the emergency. In these phases opportunistic sampling will be necessary, e.g. at facilities providing obstetric services/newborn support.</t>
  </si>
  <si>
    <t>WHO IYCF core indicator.</t>
  </si>
  <si>
    <t>For preparatory phase, the WHO core indicator should be used as a baseline where the denominator is children born in the last 24 months (Proportion of children born in the last 24 months who were put to the breastfed within one hour of birth).</t>
  </si>
  <si>
    <t>Note: DHS data are based on the three years or five years prior to survey and MICS data are based on the two years prior to survey</t>
  </si>
  <si>
    <t>Preparatory, Phase III and IV: representative IYCF survey. Phase I and II: use key informant interviews and opportunistic sampling to give an ALERT indication</t>
  </si>
  <si>
    <t>H2 Child health, H4.2 Maternal and newborn care, (R) Early Recovery</t>
  </si>
  <si>
    <t>N-030</t>
  </si>
  <si>
    <t>Exclusive breastfeeding under 6 months</t>
  </si>
  <si>
    <t>Proportion of infants 0-5 months of age who are fed exclusively with breast milk</t>
  </si>
  <si>
    <t>Total number of infants 0 to 5 months of age surveyed</t>
  </si>
  <si>
    <t>Infants 0 to 5 months of age who received only breast milk during the previous day</t>
  </si>
  <si>
    <t>Geographical area, sex, age: 0-1, 2-3, 4-5 months if available</t>
  </si>
  <si>
    <t>For Phases III and IV, core WHO indicator should be measured. In Phases 1 and 11, it is not possible to accurately assess the exclusive breastfeeding rate in the population. Baseline information and N-40 (not breastfed) will be key information in Phases I and II.</t>
  </si>
  <si>
    <t>For preparatory phase, core WHO indicator should be measured</t>
  </si>
  <si>
    <t>Attention should be paid on the potential difference in breastfeeding male and female infants. If difference exists, this should inform the nutritional education messages.</t>
  </si>
  <si>
    <t>N-031</t>
  </si>
  <si>
    <t>Continued breastfeeding at one year and at 2 years</t>
  </si>
  <si>
    <t>Proportion of children 12-15 months of age and 20-23 months of age who are fed breast milk</t>
  </si>
  <si>
    <t>Total number of infants 12-15 months of age and total number of infants 20-23 months of age surveyed</t>
  </si>
  <si>
    <t>Infants 12-15 months of age and 20-23 months of age who receive any breast milk</t>
  </si>
  <si>
    <t>The WHO IYCF core indicator reports continued breastfeeding at 1 year. In emergencies, it is important to also monitor continued breastfeeding rate at 2 years (WHO IYCF optional indicator) as children 1-2 years are also at significant risk of increased morbidity and mortality if not breastfed in this context.</t>
  </si>
  <si>
    <t>representative IYCF survey</t>
  </si>
  <si>
    <t>N-032</t>
  </si>
  <si>
    <t>Children ever breastfed</t>
  </si>
  <si>
    <t>Proportion of children born in the last 24 months who were ever breastfed</t>
  </si>
  <si>
    <t>Total number of infants born in the past 23 months in the surveyed area</t>
  </si>
  <si>
    <t>Number of infants 0-23 months of age who ever received breast milk</t>
  </si>
  <si>
    <t>For measurement in Phases 1-IV, an adapted indicator should be used where the denominator should be infants born since onset of the emergency. In phases 1 and 2, opportunistic sampling will be necessary, e.g. piggy backed onto reproductive health sampling or anthropometric screening or food security assessment.</t>
  </si>
  <si>
    <t>For preparatory phase, the core WHO Indicator should be used as a baseline where the denominator is infants born in the last 24 months.</t>
  </si>
  <si>
    <t>N-033</t>
  </si>
  <si>
    <t>Predominant breastfeeding under 6 months</t>
  </si>
  <si>
    <t>Proportion of infants 0-5 months of age who are predominantly breastfed</t>
  </si>
  <si>
    <t>Number of infants 0-5 months of age who are predominantly breastfed</t>
  </si>
  <si>
    <t>WHO IYCF optional indicator</t>
  </si>
  <si>
    <t>N-034</t>
  </si>
  <si>
    <t>Bottle feeding</t>
  </si>
  <si>
    <t>Proportion of children 0-23 months of age who are fed with a bottle</t>
  </si>
  <si>
    <t>Total number of infants 0-23 months surveyed</t>
  </si>
  <si>
    <t>Number of infants 0-23 months who are fed with a bottle</t>
  </si>
  <si>
    <t>Food Security and Nutrition 4.2.4</t>
  </si>
  <si>
    <t>preparatory; Phases I, II, III and IV</t>
  </si>
  <si>
    <t>WHO IYCF optional indicator. This indicator determines the use of bottles which carry risk; is not an indicator of use of infant formula or breast milk substitutes, since it records any item fed using a bottle including breast milk, water, semi-solids, etc.).</t>
  </si>
  <si>
    <t>Preparatory, Phase III and IV: representative IYCF survey. Phase I and II use key informant interviews and opportunistic sampling to give an ALERT indication</t>
  </si>
  <si>
    <t>H2 Child health, H4.2 Maternal and newborn care, W1 Hygiene Promotion, W2 Water Supply</t>
  </si>
  <si>
    <t>N-035</t>
  </si>
  <si>
    <t>Minimum dietary diversity</t>
  </si>
  <si>
    <t>Proportion of children 6-23 months of age who receive foods from 4 or more food groups</t>
  </si>
  <si>
    <t>Total number of children 6-23 months surveyed</t>
  </si>
  <si>
    <t>Number of children 6-23 months who receive food from 4 or more food groups</t>
  </si>
  <si>
    <t>Food Security and Nutrition 4.2.2</t>
  </si>
  <si>
    <t>This indicator is adapted from the WHO IYCF core indicator for children 6-23 months.</t>
  </si>
  <si>
    <t>Data should be compared by sex in order to identify any specific limitation girls or boys might face in accessing dietary diversity. In case there is an important difference, the programme should address these gaps by undertaking a gender analysis of the specific challenges the disadvantaged group is facing, including an analysis of the socio cultural habits and beliefs (i.e. food taboos) that might differently impact on girls' and boys' dietary diversity.</t>
  </si>
  <si>
    <t>F3 Food Access, F4 Income Access, F5 Market Access, F6 Availability, F7 Utilization, H2 Child health</t>
  </si>
  <si>
    <t>N-036</t>
  </si>
  <si>
    <t>Minimum meal frequency</t>
  </si>
  <si>
    <t>Proportion of children 6-23 months who received solid, semi-solid or soft foods the minimum number of times or more.</t>
  </si>
  <si>
    <t>Number of children 6-23 months who received solid, semi-solid or soft foods for the minimum number of times or more</t>
  </si>
  <si>
    <t>WHO IYCF core indicator</t>
  </si>
  <si>
    <t>N-037</t>
  </si>
  <si>
    <t>Minimum acceptable diet</t>
  </si>
  <si>
    <t>Proportion of children 6-23 months of age who receive a minimum acceptable diet (apart from breast milk)</t>
  </si>
  <si>
    <t>Number of children 6-23 months who receive a minimum acceptable diet</t>
  </si>
  <si>
    <t>N-038</t>
  </si>
  <si>
    <t>Introduction of solid, semi-solid or soft food</t>
  </si>
  <si>
    <t>Proportion of children 6-8 months of age who received solid, semi-solid or soft foods during the previous day</t>
  </si>
  <si>
    <t>Total number of infants 5-8 months surveyed</t>
  </si>
  <si>
    <t>Number of infants 5-8 months who received solid, semi-solid or soft foods during the previous day</t>
  </si>
  <si>
    <t>WHO IYCF core indicator. Need guidance on sample size</t>
  </si>
  <si>
    <t>N-039</t>
  </si>
  <si>
    <t>Not breastfed</t>
  </si>
  <si>
    <t>Proportion of infants 0&lt;12 months and 12&lt;24 months not breastfed</t>
  </si>
  <si>
    <t>Total number of children 0&lt;12 months and 12&lt;24 months surveyed</t>
  </si>
  <si>
    <t>Number of infants 0-12 months and 12-24 months not breastfed</t>
  </si>
  <si>
    <t>Geographical area; 0-&lt;12 months, 12-&lt;24 months, sex</t>
  </si>
  <si>
    <t>Calculate this indicator based on standardized data collected. In phases 1 and 11, an indication of the proportion of non-breastfed infants should be estimated based on key informant interviews and opportunistic sampling.</t>
  </si>
  <si>
    <t>This is not a standard indicator. However it is possible to calculate this indicator using standardized data collected to produce WHO IYCF core indicators.</t>
  </si>
  <si>
    <t>Preparatory: calculate this indicator based on standardized data collected. In phases 1 and 11, an indication of the proportion of non-breastfed infants should be estimated based on key informant interviews and opportunistic sampling.</t>
  </si>
  <si>
    <t>Need to raise this with WHO to see how we might develop this as a standard indicator to report in emergency prone contexts.</t>
  </si>
  <si>
    <t>Preparatory, Phases 111 and IV: Indicator produced from data collected from MICS/DHS. Phase I and II will use key informant interviews and opportunistic sampling to give an ALERT indication.</t>
  </si>
  <si>
    <t>N-040</t>
  </si>
  <si>
    <t>Distribution of infant formula, dried or liquid milk to the affected population</t>
  </si>
  <si>
    <t>Confirmed distribution of infant formula, dried or liquid milk to the affected population</t>
  </si>
  <si>
    <t>Yes/No</t>
  </si>
  <si>
    <t>zero tolerance</t>
  </si>
  <si>
    <t>Phases 1,11, 111 and IV.</t>
  </si>
  <si>
    <t>This is an alert to problems. Any general distribution of these products to the affected population is a concern as there is a risk of spill over to infants and young children.</t>
  </si>
  <si>
    <t>Key informant interviews (include logistics and any agencies involved in distribution, as well as health and nutrition staff and caregivers). Distribution reports. Observations.</t>
  </si>
  <si>
    <t>H2 Child health, H4.2 Maternal and newborn care</t>
  </si>
  <si>
    <t>N-041</t>
  </si>
  <si>
    <t>Inappropriate distribution of infant formula, dried or liquid milk to children 0-&lt;2 years</t>
  </si>
  <si>
    <t>Confirmed distribution of infant formula, dried or liquid milk to children 0-&lt; 2 years</t>
  </si>
  <si>
    <t>This is an alert to problems. Inappropriate distribution is where distribution is not in accordance with the Operational Guidance on IFE in meeting criteria for assessment of need, skilled support available, guaranteed continuity of supplies, individual follow up, availability of storage and preparation facilities, appropriate labelling, and monitoring for spill over to breastfed infants.</t>
  </si>
  <si>
    <t>Number of MAM PLW in need of BFSP</t>
  </si>
  <si>
    <t>Number of MAM PLW in need of TFSP</t>
  </si>
  <si>
    <t>Estimations to insert</t>
  </si>
  <si>
    <t>Expected proportion of MAM cases in PLW for TSFP</t>
  </si>
  <si>
    <t>Expected number of MAM cases in PLW for BFSP</t>
  </si>
  <si>
    <t>PREGNANT AND LACTATING WOMEN (PLW)</t>
  </si>
  <si>
    <t>UNDER FIVE (U5) CHILDREN</t>
  </si>
  <si>
    <t xml:space="preserve">OLDER PEOPLE </t>
  </si>
  <si>
    <t>TOTAL POPULATION</t>
  </si>
  <si>
    <t>Physical and Mental Well-being</t>
  </si>
  <si>
    <t>Living Standards</t>
  </si>
  <si>
    <t>Prevalence of vitamin A deficiency</t>
  </si>
  <si>
    <t>Prevalence of anaemia</t>
  </si>
  <si>
    <t>ADDITIONAL INDICATORS TO BE CONSIDERED GIVEN THE HUMANITARIAN CONTEXT</t>
  </si>
  <si>
    <t>Food Security and Nutrition 4.1.0</t>
  </si>
  <si>
    <t xml:space="preserve">Proportion of PW with Hb concentration of &lt;11 g/dL </t>
  </si>
  <si>
    <t xml:space="preserve">Proportion of children below five years of age with Hb concentration of &lt;11 g/dL </t>
  </si>
  <si>
    <t xml:space="preserve">Total number of children below five years of age surveyed </t>
  </si>
  <si>
    <t xml:space="preserve">Number of children below five years of age with Hb concentration of &lt;11 g/dL </t>
  </si>
  <si>
    <t>Number of pregnant women with anaemia (Hb&lt;11g/dl for pregnant women)</t>
  </si>
  <si>
    <t>Children 6-23 months as percentage of total population, %</t>
  </si>
  <si>
    <t>Pregnant and lactating women as percentage of total population, %</t>
  </si>
  <si>
    <t>Number of anemic PW in need</t>
  </si>
  <si>
    <t>Number of GAM based on low MUAC PLW in need</t>
  </si>
  <si>
    <t>Number of children 0-5 months in need of BMS support</t>
  </si>
  <si>
    <t>Outcome Indicator Name/label</t>
  </si>
  <si>
    <t>&lt;5%</t>
  </si>
  <si>
    <t>≥30%</t>
  </si>
  <si>
    <t>Prevalence of Global Acute Malnutrition (GAM) based on Mid-Upper Arm Circumference (MUAC) &lt;125mm and/or bilateral oedema among children 6-59 months</t>
  </si>
  <si>
    <t>≥15%</t>
  </si>
  <si>
    <t>Prevalence of Global Acute Malnutrition (GAM) based on Mid-Upper Arm Circumference (MUAC)&lt;210-230 (depending on the contexts) and/or bilateral oedema among PLW</t>
  </si>
  <si>
    <t>Prevalence of stunting based on height-for-age Z-score (HAZ)&lt;-2 among children 0-59 months</t>
  </si>
  <si>
    <t>&lt;10%</t>
  </si>
  <si>
    <t>Prevalence of overweight based on weight for height Z-score (WHZ)&gt;2 among children 6-59 months</t>
  </si>
  <si>
    <t>Exclusive breastfeeding for infants 0-5 months</t>
  </si>
  <si>
    <t>&lt;11%</t>
  </si>
  <si>
    <t>Thresholds adapted from UNICEF Breastfeeding score cards</t>
  </si>
  <si>
    <t>40-60%</t>
  </si>
  <si>
    <t>20-40%</t>
  </si>
  <si>
    <t>10-20%</t>
  </si>
  <si>
    <t>Minimum Dietary Diversity in children 6 to 23 months</t>
  </si>
  <si>
    <t>40-70%</t>
  </si>
  <si>
    <t>Prevalence of anemia Hb &lt;11g/dl in pregnant women</t>
  </si>
  <si>
    <t>≥40%</t>
  </si>
  <si>
    <t>Prevalence of anemia Hb &lt;11g/dl in children under five</t>
  </si>
  <si>
    <t>Sources</t>
  </si>
  <si>
    <t>N4 Prevention and Management of Double Burden of Malnutrition</t>
  </si>
  <si>
    <t>Prevalence of overweight</t>
  </si>
  <si>
    <t>prevalence (%) of global acute malnutrition in children 6 to 59 months of age based on presence of bilateral pitting oedema and / or weight-for-height z-score less than -2 standard deviations of the median of the standard population (WHO 2006)</t>
  </si>
  <si>
    <t>prevalence (%) of moderate acute malnutrition in children 6 to 59 months of age based on presence of weight-for-height z-score less than -2 and equal or greater than -3 standard deviations of the median of the standard population (WHO 2006)</t>
  </si>
  <si>
    <t>prevalence (%) of severe acute malnutrition in children 6 to 59 months of age based on presence of bilateral pitting oedema and / or weight-for-height z-score less than -3 standard deviations of the median of the standard population (WHO 2006)</t>
  </si>
  <si>
    <t>prevalence (%) of children 6-59 months with MUAC less than 125 mm and/or having bilateral pitting oedema</t>
  </si>
  <si>
    <t>prevalence (%) children 6-59 months with MUAC less than 125 mm but equal or more than 115 mm</t>
  </si>
  <si>
    <t>prevalence (%) children 6-59 months with MUAC less than 115 mm and/or having bilateral pitting oedema</t>
  </si>
  <si>
    <t>prevalence (%) PLW with MUAC less than 210-230 mm (Note: Countries use a range of different cut-offs depending on resources)</t>
  </si>
  <si>
    <t>prevalence (%) of stunting in children 0 to 59 months of age based on height-for-age z-score less than -2 standard deviations of the median of the standard population (WHO 2006)</t>
  </si>
  <si>
    <t>prevalence (%) of older people with a MUAC below 210mm or having bilateral pitting oedema</t>
  </si>
  <si>
    <t>prevalence (%) of children and adolescents 5-19 years of age with Z-scores defined as BMI-for-age index less than -2 standard deviations from the median BMI of a reference population of children/adolescents of the same age and/or having bilateral pitting oedema</t>
  </si>
  <si>
    <t>prevalence of iodine deficiency</t>
  </si>
  <si>
    <t>prevalence (%) of global acute malnutrition in infants less than 6 months of age based on presence of bilateral pitting oedema and /or weight-for-height z-score less than -2 standard deviations of the median of the standard population (WHO 2006)</t>
  </si>
  <si>
    <t>prevalence (%) of moderate acute malnutrition in infants less than 6 months of age based on weight-for-height z-score less than -2 and equal or greater than -3 standard deviations of the median of the standard population (WHO 2006)</t>
  </si>
  <si>
    <t>prevalence (%) of severe acute malnutrition in infants less than 6 months of age based on presence of bilateral pitting oedema and weight-for-height z-score less than -3 standard deviations of the median of the standard population (WHO 2006)</t>
  </si>
  <si>
    <t>prevalence (%) of women 15-49 years old who have height less than 145 cm</t>
  </si>
  <si>
    <t>prevalence (%) of adults aged 19.1 to 59.9 years old with BMI less than 17.00 kg/m2 and/or having bilateral pitting oedema</t>
  </si>
  <si>
    <t>Qualitative assessment of nutritional risk of common micronutrient deficiencies (anaemia, iodine deficiency, vitamin A deficiency (night blindness), scurvy, beri beri, vitamin D deficiency) based on composite indicator analysis on prevalences, diet analysis, water quality and diarrheal disease, case finding</t>
  </si>
  <si>
    <t>List prevalences for micronutrient status known for any vitamins and minerals and collect additional information on diet, water quality and disease, to assess the severity of the risk for specific population groups</t>
  </si>
  <si>
    <t>Note that WFH and MUAC do not measure the same things and are not comparable. Data on the moderate acute malnutrition prevalence should be compared by sex in order to identify any specific discrimination girls or boys might face in accessing nutrition. In case there is an important difference between the percentage of girls and the percentage of boys suffering from malnutrition, the programme should address these gaps by undertaking a gender analysis of the specific challenges the disadvantaged group is facing in equally accessing nutrition, including an analysis of the socio cultural habits and beliefs that might differently impact on girls' and boys' nutritional well being.</t>
  </si>
  <si>
    <t>Note that WFH and MUAC do not measure the same things and are not comparable. Data on the severe acute malnutrition prevalence should be compared by sex in order to identify any specific discrimination girls or boys might face in accessing nutrition. In case there is an important difference between the percentage of girls and the percentage of boys suffering from malnutrition, the programme should address these gaps by undertaking a gender analysis of the specific challenges the disadvantaged group is facing in equally accessing nutrition, including an analysis of the socio cultural habits and beliefs that might differently impact on girls' and boys' nutritional well being.</t>
  </si>
  <si>
    <t>prevalence (%) of overweight in children 6 to 59 months of age based on weight-for-height z-score more than 2 standard deviations of the median of the standard population (WHO 2006)</t>
  </si>
  <si>
    <t>Number of children aged 6-59 months that meet the criteria for overweight</t>
  </si>
  <si>
    <t>Non-core</t>
  </si>
  <si>
    <t>HNO and HRP</t>
  </si>
  <si>
    <r>
      <t xml:space="preserve">Core - </t>
    </r>
    <r>
      <rPr>
        <b/>
        <sz val="18"/>
        <color theme="1"/>
        <rFont val="Cambria"/>
        <family val="1"/>
        <scheme val="major"/>
      </rPr>
      <t>Outcome</t>
    </r>
  </si>
  <si>
    <r>
      <t xml:space="preserve">Core - </t>
    </r>
    <r>
      <rPr>
        <b/>
        <sz val="18"/>
        <color theme="1"/>
        <rFont val="Cambria"/>
        <family val="1"/>
        <scheme val="major"/>
      </rPr>
      <t>Outcome/Key Contributing Factor</t>
    </r>
  </si>
  <si>
    <r>
      <t xml:space="preserve">Core - </t>
    </r>
    <r>
      <rPr>
        <b/>
        <sz val="18"/>
        <color theme="1"/>
        <rFont val="Cambria"/>
        <family val="1"/>
        <scheme val="major"/>
      </rPr>
      <t>Key Contributing Factor</t>
    </r>
  </si>
  <si>
    <r>
      <t xml:space="preserve">Core - </t>
    </r>
    <r>
      <rPr>
        <b/>
        <sz val="18"/>
        <color theme="1"/>
        <rFont val="Cambria"/>
        <family val="1"/>
        <scheme val="major"/>
      </rPr>
      <t>Contextual Factor</t>
    </r>
  </si>
  <si>
    <t>Prevalence of Global Acute Malnutrition (GAM) based on Mid-Upper Arm Circumference (MUAC)&lt;210mm among Older People</t>
  </si>
  <si>
    <t>Stunting prevalence % 
(HAZ) for children 0-59 months</t>
  </si>
  <si>
    <t>Minimum Dietary Diversity in children 6-23 months</t>
  </si>
  <si>
    <t>Prevalence of anemia in pregnant women</t>
  </si>
  <si>
    <t>Reliability Scores</t>
  </si>
  <si>
    <r>
      <t xml:space="preserve">Based on soundness of method and time relevance (see </t>
    </r>
    <r>
      <rPr>
        <sz val="9"/>
        <rFont val="Calibri"/>
        <family val="2"/>
        <scheme val="minor"/>
      </rPr>
      <t>Figure 2)</t>
    </r>
    <r>
      <rPr>
        <i/>
        <sz val="9"/>
        <rFont val="Calibri"/>
        <family val="2"/>
        <scheme val="minor"/>
      </rPr>
      <t xml:space="preserve">
R2 - Reliable
R1 - Somewhat reliable </t>
    </r>
  </si>
  <si>
    <r>
      <rPr>
        <i/>
        <sz val="10"/>
        <color theme="1"/>
        <rFont val="Arial"/>
        <family val="2"/>
      </rPr>
      <t>Preliminary thresholds</t>
    </r>
    <r>
      <rPr>
        <sz val="10"/>
        <color theme="1"/>
        <rFont val="Arial"/>
        <family val="2"/>
      </rPr>
      <t xml:space="preserve"> suggested by IPC Acute Malnutrition Version 3 guidance </t>
    </r>
  </si>
  <si>
    <t>Expected number of  cases for BFSP</t>
  </si>
  <si>
    <t>Prevalence % 
of exclusive breastfeeding for children 0-5 months</t>
  </si>
  <si>
    <t>Number of  children 0-5 months in need of EBF support</t>
  </si>
  <si>
    <t>ADOLESCENTS</t>
  </si>
  <si>
    <t>Older People as percentage of total population, %</t>
  </si>
  <si>
    <t>Adolescents as percentage of total population, %</t>
  </si>
  <si>
    <t>GAM prevalence % for Older People
(MUAC&lt;210mm)</t>
  </si>
  <si>
    <t>GAM prevalence % for Adolescents
(BMI-for-Age)</t>
  </si>
  <si>
    <t>≥70%</t>
  </si>
  <si>
    <t>≥60%</t>
  </si>
  <si>
    <t>50-70%</t>
  </si>
  <si>
    <t>30 -50%</t>
  </si>
  <si>
    <t>Based on HelpAge’s Nutrition Interventions for Older People in Emergencies</t>
  </si>
  <si>
    <t>Number of GAM Adolescents in need</t>
  </si>
  <si>
    <t>Admin 2  for "Affected" areas of interest</t>
  </si>
  <si>
    <t>Use lower level of administrative areas (generall Admin 2) which reliable evidence is available</t>
  </si>
  <si>
    <r>
      <t>Indicator Registry - highlighting those used for HNO and HRP response planning</t>
    </r>
    <r>
      <rPr>
        <b/>
        <i/>
        <sz val="26"/>
        <color rgb="FF0070C0"/>
        <rFont val="Calibri"/>
        <family val="2"/>
        <scheme val="minor"/>
      </rPr>
      <t xml:space="preserve"> </t>
    </r>
  </si>
  <si>
    <t xml:space="preserve"> Living Standards</t>
  </si>
  <si>
    <t>&lt;12.5%</t>
  </si>
  <si>
    <t>12.6%-19.9%</t>
  </si>
  <si>
    <t>5-9.9%</t>
  </si>
  <si>
    <t>10-14.9%</t>
  </si>
  <si>
    <t>15-29.9%</t>
  </si>
  <si>
    <t>20-24.9%</t>
  </si>
  <si>
    <t>25-34.9%</t>
  </si>
  <si>
    <t>≥35%</t>
  </si>
  <si>
    <r>
      <rPr>
        <i/>
        <sz val="10"/>
        <color theme="1"/>
        <rFont val="Arial"/>
        <family val="2"/>
      </rPr>
      <t>Preliminary thresholds</t>
    </r>
    <r>
      <rPr>
        <sz val="10"/>
        <color theme="1"/>
        <rFont val="Arial"/>
        <family val="2"/>
      </rPr>
      <t xml:space="preserve"> based on Somalia’s Food Security and Nutrition Analysis Unit (FSNAU)</t>
    </r>
  </si>
  <si>
    <t>Infants 0-5 months that are not breastfed who have access to Breast Milk Substitutes (BMS)  supplies and support in line with the Code and the IFE OG standards and recommendations</t>
  </si>
  <si>
    <t>Infants 6-11 months that are not breastfed who have access to Breast Milk Substitutes (BMS)  supplies and support in line with the Code and the IFE OG standards and recommendations</t>
  </si>
  <si>
    <r>
      <rPr>
        <i/>
        <sz val="10"/>
        <color theme="1"/>
        <rFont val="Arial"/>
        <family val="2"/>
      </rPr>
      <t>Preliminary thresholds</t>
    </r>
    <r>
      <rPr>
        <sz val="10"/>
        <color theme="1"/>
        <rFont val="Arial"/>
        <family val="2"/>
      </rPr>
      <t xml:space="preserve"> suggested by IFE Core Group</t>
    </r>
  </si>
  <si>
    <t>Minimum Acceptable Diet in children 6 to 23 months</t>
  </si>
  <si>
    <t>WHO (2011) Haemoglobin concentrations for the diagnosis of anaemia and assessment of severity.</t>
  </si>
  <si>
    <t>5-19.9%</t>
  </si>
  <si>
    <t>20-39.9%</t>
  </si>
  <si>
    <t>10-19.9%</t>
  </si>
  <si>
    <t>20-29.9%</t>
  </si>
  <si>
    <t>Phase 2</t>
  </si>
  <si>
    <t>Phase 3</t>
  </si>
  <si>
    <t>Phase 4</t>
  </si>
  <si>
    <t>Phase 5</t>
  </si>
  <si>
    <t>&lt;2.5%</t>
  </si>
  <si>
    <t>2.5-4.9%</t>
  </si>
  <si>
    <t>11-30%</t>
  </si>
  <si>
    <t>10-14.9% OR
5-9.9%*</t>
  </si>
  <si>
    <t>≥15% OR
10-14.9%*</t>
  </si>
  <si>
    <t>Acceptable/ Minimal</t>
  </si>
  <si>
    <t>Alert/ Stress</t>
  </si>
  <si>
    <t>Serious/ Severe</t>
  </si>
  <si>
    <t>Critical/ Extreme</t>
  </si>
  <si>
    <t>Extremely Critical/ Catastrophic</t>
  </si>
  <si>
    <t>Severity Scale based on IPC/OCHA phases</t>
  </si>
  <si>
    <r>
      <t xml:space="preserve">Automatic calculation - only </t>
    </r>
    <r>
      <rPr>
        <b/>
        <u/>
        <sz val="9"/>
        <rFont val="Calibri"/>
        <family val="2"/>
        <scheme val="minor"/>
      </rPr>
      <t>ONE of these three columns</t>
    </r>
    <r>
      <rPr>
        <u/>
        <sz val="9"/>
        <rFont val="Calibri"/>
        <family val="2"/>
        <scheme val="minor"/>
      </rPr>
      <t xml:space="preserve"> should be filled based on available evidence</t>
    </r>
  </si>
  <si>
    <r>
      <t>Number of Older People</t>
    </r>
    <r>
      <rPr>
        <b/>
        <sz val="10"/>
        <rFont val="Calibri"/>
        <family val="2"/>
        <scheme val="minor"/>
      </rPr>
      <t xml:space="preserve"> </t>
    </r>
    <r>
      <rPr>
        <i/>
        <sz val="10"/>
        <rFont val="Calibri"/>
        <family val="2"/>
        <scheme val="minor"/>
      </rPr>
      <t>to be screened</t>
    </r>
  </si>
  <si>
    <r>
      <t>Number of GAM  Older People</t>
    </r>
    <r>
      <rPr>
        <b/>
        <sz val="10"/>
        <rFont val="Calibri"/>
        <family val="2"/>
        <scheme val="minor"/>
      </rPr>
      <t xml:space="preserve"> in need</t>
    </r>
  </si>
  <si>
    <t>Number of PLW to be screened</t>
  </si>
  <si>
    <t>Number of children 6-11 months in need of BMS support</t>
  </si>
  <si>
    <t>Children 0-5 months  as percentage of total population, %</t>
  </si>
  <si>
    <t>Category</t>
  </si>
  <si>
    <t>Sector</t>
  </si>
  <si>
    <t>Primary Outcomes</t>
  </si>
  <si>
    <r>
      <t xml:space="preserve">Prevalence of Global Acute Malnutrition (GAM) based on weight for height Z-score (WHZ)&lt;-2 and/or bilateral oedema among children </t>
    </r>
    <r>
      <rPr>
        <b/>
        <sz val="10"/>
        <rFont val="Arial"/>
        <family val="2"/>
      </rPr>
      <t>0-59 months</t>
    </r>
  </si>
  <si>
    <t>Based on IPC AM Malnutrition Version 3 Guidance</t>
  </si>
  <si>
    <t>De Onis et al (2018) Prevalence thresholds for wasting, overweight, and stunting in children under 5 years</t>
  </si>
  <si>
    <t>Contextual Factors*
*optional depending on the humanitarian situation</t>
  </si>
  <si>
    <t>Prevalence of Global Acute Malnutrition (GAM) based on BMI-for-Age Z-Score&lt;-2 among Adolescents</t>
  </si>
  <si>
    <t>WHO (2011) Haemoglobin concentrations for the diagnosis of anaemia and assessment of severity</t>
  </si>
  <si>
    <t>Crude Death/Mortality Rate (deaths/ 10,000 persons/ day)</t>
  </si>
  <si>
    <t>&lt;0.5</t>
  </si>
  <si>
    <t>0.5-0.9</t>
  </si>
  <si>
    <t>1-1.9</t>
  </si>
  <si>
    <t>Under-five Death/Mortality Rate (deaths/ 10,000 children U5/ day)</t>
  </si>
  <si>
    <t>&lt;1</t>
  </si>
  <si>
    <t>2-3.9</t>
  </si>
  <si>
    <t>Key Contributing Factors</t>
  </si>
  <si>
    <t>IYCF Practices</t>
  </si>
  <si>
    <t>Health</t>
  </si>
  <si>
    <t>WASH</t>
  </si>
  <si>
    <t>Food Security</t>
  </si>
  <si>
    <t>Contextual Factors</t>
  </si>
  <si>
    <t>≥2</t>
  </si>
  <si>
    <t>≥4</t>
  </si>
  <si>
    <r>
      <t xml:space="preserve">Phase </t>
    </r>
    <r>
      <rPr>
        <b/>
        <sz val="9"/>
        <color rgb="FF000000"/>
        <rFont val="Arial"/>
        <family val="2"/>
      </rPr>
      <t>1</t>
    </r>
  </si>
  <si>
    <t>Classification Thresholds for Core Indicators</t>
  </si>
  <si>
    <t>Population Figures</t>
  </si>
  <si>
    <t>Children 6-11 months as percentage of total population, %</t>
  </si>
  <si>
    <t>% of infants 0-5 months that are not breastfed who have access to BMS 
supplies and support</t>
  </si>
  <si>
    <t>% of infants 6-11 months that are not breastfed who have access to BMS 
supplies and support</t>
  </si>
  <si>
    <t>Severity Classification for "Physical" per geographical area</t>
  </si>
  <si>
    <r>
      <rPr>
        <u/>
        <sz val="9"/>
        <rFont val="Calibri"/>
        <family val="2"/>
        <scheme val="minor"/>
      </rPr>
      <t>Automatically taken from</t>
    </r>
    <r>
      <rPr>
        <i/>
        <u/>
        <sz val="9"/>
        <rFont val="Calibri"/>
        <family val="2"/>
        <scheme val="minor"/>
      </rPr>
      <t xml:space="preserve"> Population Figures </t>
    </r>
    <r>
      <rPr>
        <u/>
        <sz val="9"/>
        <rFont val="Calibri"/>
        <family val="2"/>
        <scheme val="minor"/>
      </rPr>
      <t>sheet</t>
    </r>
  </si>
  <si>
    <t>Severity Analysis based on 
GAM prevalence %</t>
  </si>
  <si>
    <t>Automatic Classifier</t>
  </si>
  <si>
    <t>Number of GAM children 0-59 mo in need based on cGAM</t>
  </si>
  <si>
    <t xml:space="preserve">Number of GAM children 0-59 mo in need based on WHZ </t>
  </si>
  <si>
    <t>Number of children 0-59 mo to be screened</t>
  </si>
  <si>
    <t>Number of SAM children 0-59 mo in need based on cSAM</t>
  </si>
  <si>
    <t xml:space="preserve">Number of SAM children 0-59 mo in need based on WHZ </t>
  </si>
  <si>
    <t>Major contributing factor</t>
  </si>
  <si>
    <t>Minor contributing factor</t>
  </si>
  <si>
    <t>No contributing factor</t>
  </si>
  <si>
    <t>No data</t>
  </si>
  <si>
    <t>PROPOSED SCORING SYSTEM</t>
  </si>
  <si>
    <t>PHYSICAL AND MENTAL WELL-BEING</t>
  </si>
  <si>
    <t>% of HHs having access to an improved water source</t>
  </si>
  <si>
    <t>Water comes from an improved water source which is located on premises</t>
  </si>
  <si>
    <t>Water comes from an improved water source, provided collection time is not more than 30 minutes for a roundtrip, including queuing</t>
  </si>
  <si>
    <t>Water comes from an improved source for which collection time exceeds 30 minutes for a roundtrip, including queuing</t>
  </si>
  <si>
    <t>Water comes from an unimproved water source</t>
  </si>
  <si>
    <t>Water comes directly from rivers, lakes, ponds, etc.</t>
  </si>
  <si>
    <t>% of HHs having access to a sufficient quantity of water for drinking, cooking, bathing, washing or other domestic use</t>
  </si>
  <si>
    <t>Living standards</t>
  </si>
  <si>
    <t>Enough water for drinking, cooking, personal hygiene and other domestic purposes OR more than 50 l/d/p</t>
  </si>
  <si>
    <t>Enough water for drinking AND cooking AND personal hygiene, BUT NOT for other domestic purposes OR 15 or more but less than 50 l/d/p</t>
  </si>
  <si>
    <t>Enough water for drinking AND EITHER cooking OR personal hygiene OR 9 or more but less than 15 l/d/p</t>
  </si>
  <si>
    <t>Enough water for drinking BUT NOT for cooking AND personal hygiene OR 3 or more but less than 9 l/d/p</t>
  </si>
  <si>
    <t>Not enough water for drinking OR Less than 3 l/d/p</t>
  </si>
  <si>
    <t>% of HHs having access to a functionnal and improved sanitation facility</t>
  </si>
  <si>
    <t>Access to improved sanitation facilities, not shared with other households</t>
  </si>
  <si>
    <t>Access to improved sanitation facilities, shared with less than 20 people</t>
  </si>
  <si>
    <t>Access to improved sanitation facilities, shared with more than 20 people</t>
  </si>
  <si>
    <t>Access to unimproved facilities OR access to improved facilities shared with more than 50 people</t>
  </si>
  <si>
    <t>Disposal of human faeces in open spaces or with solid waste</t>
  </si>
  <si>
    <t>% of HHs with access to functioning handwashing facilities, with water and soap available or % of HHs with access to soap</t>
  </si>
  <si>
    <t>Soap is available at home AND handwashing facility is on premises with soap and water available</t>
  </si>
  <si>
    <t>Soap is available at home BUT no handwashing facility on premises with soap and water</t>
  </si>
  <si>
    <t>Soap is not available at home</t>
  </si>
  <si>
    <t>&gt; 90%</t>
  </si>
  <si>
    <t>&lt; 65%</t>
  </si>
  <si>
    <t>This data may be available through projections, but if so, the quality of the data should be checked and noted.
In some surveys data is collected from children aged 12-23 months. Please be sure to reference the age range that is the focus of the data. Only the first threshold has been tested and has evidence behind it. The others have been arbitrarily selected and should not be considered accurate measures at this stage</t>
  </si>
  <si>
    <t>Percentage of children aged six months to 15 years who have received measles vaccination</t>
  </si>
  <si>
    <t>&gt;95% in camps /urban areas
&gt;90% in scattered or rural areas</t>
  </si>
  <si>
    <t>&lt;65%</t>
  </si>
  <si>
    <t>This indicator is used to estimate vaccine coverage of the total EPI strategy. To avoid overestimation, measles vaccination coverage is used as proxy since it is usually lower than DPT3 coverage. Both indicators should be calculated on a yearly basis and can provide good indication of health system performance.
It is necessary to assess the quality of the available data. Only the first threshold has been tested and has evidence behind it. The others have been arbitrarily selected and should not be considered accurate measures at this stage</t>
  </si>
  <si>
    <t>Number of inpatient beds per 10,000 people</t>
  </si>
  <si>
    <t>Only the first threshold has been tested and has evidence behind it. The others have been arbitrarily selected and should not be considered accurate measures at this stage</t>
  </si>
  <si>
    <t>Number of skilled birth attendant personnel (doctors, nurses, certified midwives) per 10,000 people</t>
  </si>
  <si>
    <t>&gt;= 23</t>
  </si>
  <si>
    <t>&gt;= 20</t>
  </si>
  <si>
    <t>&gt;= 17</t>
  </si>
  <si>
    <t>&gt;= 14</t>
  </si>
  <si>
    <t>&gt;= 11</t>
  </si>
  <si>
    <t>Food Consumption Score</t>
  </si>
  <si>
    <t>Household Hunger Scale</t>
  </si>
  <si>
    <t>Reduced Coping Strategies Index</t>
  </si>
  <si>
    <t>Household Dietary Diversity Score</t>
  </si>
  <si>
    <t>75% - 85%</t>
  </si>
  <si>
    <t>Admin  for "Affected" areas of interest</t>
  </si>
  <si>
    <t xml:space="preserve">ONLY IF GAM (WHZ) is not available:
GAM prevalence % (MUAC) for children 6-59 months </t>
  </si>
  <si>
    <t>GAM prevalence % for PLW
(MUAC&lt;210mm)*</t>
  </si>
  <si>
    <t>Justification if GAM based on MUAC was used</t>
  </si>
  <si>
    <t>Use Admin names  from the CODs</t>
  </si>
  <si>
    <r>
      <rPr>
        <i/>
        <sz val="9"/>
        <rFont val="Calibri"/>
        <family val="2"/>
        <scheme val="minor"/>
      </rPr>
      <t xml:space="preserve">Insert prevalence data  - </t>
    </r>
    <r>
      <rPr>
        <u/>
        <sz val="9"/>
        <rFont val="Calibri"/>
        <family val="2"/>
        <scheme val="minor"/>
      </rPr>
      <t xml:space="preserve">Automatic classification </t>
    </r>
    <r>
      <rPr>
        <sz val="9"/>
        <rFont val="Calibri"/>
        <family val="2"/>
        <scheme val="minor"/>
      </rPr>
      <t xml:space="preserve"> 
(see</t>
    </r>
    <r>
      <rPr>
        <i/>
        <sz val="9"/>
        <rFont val="Calibri"/>
        <family val="2"/>
        <scheme val="minor"/>
      </rPr>
      <t xml:space="preserve"> Classification thresholds</t>
    </r>
    <r>
      <rPr>
        <sz val="9"/>
        <rFont val="Calibri"/>
        <family val="2"/>
        <scheme val="minor"/>
      </rPr>
      <t xml:space="preserve"> worksheet)</t>
    </r>
  </si>
  <si>
    <t>* adapt with country-level cut-off if different</t>
  </si>
  <si>
    <t>TABLE OF INTERPRETATION</t>
  </si>
  <si>
    <t>CUT-OFFS BASED ON SCORE</t>
  </si>
  <si>
    <t>SCORE</t>
  </si>
  <si>
    <t>ANALYSIS OF CONTRIBUTING FACTORS</t>
  </si>
  <si>
    <t>Similar to IPC Classification</t>
  </si>
  <si>
    <t>Critical contributing factor</t>
  </si>
  <si>
    <t>ONLY FOR SCENARIO 2</t>
  </si>
  <si>
    <t>Crude Death Rate (excluding trauma)</t>
  </si>
  <si>
    <t>U5 Death Rate
(excluding trauma)</t>
  </si>
  <si>
    <r>
      <rPr>
        <i/>
        <sz val="9"/>
        <rFont val="Calibri"/>
        <family val="2"/>
        <scheme val="minor"/>
      </rPr>
      <t xml:space="preserve">Insert prevalence data  - </t>
    </r>
    <r>
      <rPr>
        <u/>
        <sz val="9"/>
        <rFont val="Calibri"/>
        <family val="2"/>
        <scheme val="minor"/>
      </rPr>
      <t xml:space="preserve">Automatic classification </t>
    </r>
    <r>
      <rPr>
        <sz val="9"/>
        <rFont val="Calibri"/>
        <family val="2"/>
        <scheme val="minor"/>
      </rPr>
      <t xml:space="preserve"> 
</t>
    </r>
  </si>
  <si>
    <r>
      <rPr>
        <i/>
        <sz val="9"/>
        <rFont val="Calibri"/>
        <family val="2"/>
        <scheme val="minor"/>
      </rPr>
      <t xml:space="preserve">Insert rate - </t>
    </r>
    <r>
      <rPr>
        <u/>
        <sz val="9"/>
        <rFont val="Calibri"/>
        <family val="2"/>
        <scheme val="minor"/>
      </rPr>
      <t xml:space="preserve">Automatic classification </t>
    </r>
    <r>
      <rPr>
        <sz val="9"/>
        <rFont val="Calibri"/>
        <family val="2"/>
        <scheme val="minor"/>
      </rPr>
      <t xml:space="preserve"> 
</t>
    </r>
  </si>
  <si>
    <t xml:space="preserve">SCENARIO 3 - NUTRITION SITUATION ANALYSIS </t>
  </si>
  <si>
    <t>% of infants 0-5 months that are not breastfed who have access to BMS supplies and support</t>
  </si>
  <si>
    <t>% of infants 6-11 months that are not breastfed who have access to BMS supplies and support</t>
  </si>
  <si>
    <t>Prevalence % of exclusive breastfeeding for children 0-5 months</t>
  </si>
  <si>
    <t>GAM prevalence % for Older People (MUAC&lt;210mm)</t>
  </si>
  <si>
    <t>GAM prevalence % for Adolescents (BMI-for-Age)</t>
  </si>
  <si>
    <t>Stunting prevalence % (HAZ) for children 0-59 months</t>
  </si>
  <si>
    <t>14-29</t>
  </si>
  <si>
    <r>
      <rPr>
        <b/>
        <sz val="11"/>
        <rFont val="Calibri"/>
        <family val="2"/>
      </rPr>
      <t>≤</t>
    </r>
    <r>
      <rPr>
        <b/>
        <sz val="8.8000000000000007"/>
        <rFont val="Calibri"/>
        <family val="2"/>
      </rPr>
      <t>1</t>
    </r>
  </si>
  <si>
    <t>2--13</t>
  </si>
  <si>
    <t>GAM prevalence % 
(WHZ) for children 0-59 months</t>
  </si>
  <si>
    <t>Prevalence of anemia in pregnant  women</t>
  </si>
  <si>
    <r>
      <t xml:space="preserve">Manually Insert Phase Number based on </t>
    </r>
    <r>
      <rPr>
        <i/>
        <sz val="9"/>
        <rFont val="Calibri"/>
        <family val="2"/>
        <scheme val="minor"/>
      </rPr>
      <t>Classification Thresholds</t>
    </r>
  </si>
  <si>
    <t>Reliable - R2</t>
  </si>
  <si>
    <t>Somewhat Reliable - R1+</t>
  </si>
  <si>
    <t>Somewhat Reliable - R1-</t>
  </si>
  <si>
    <t>X</t>
  </si>
  <si>
    <t>Time relevant</t>
  </si>
  <si>
    <t>Soundness of Method</t>
  </si>
  <si>
    <t>Limited Method</t>
  </si>
  <si>
    <t>Not time relevant</t>
  </si>
  <si>
    <r>
      <t xml:space="preserve">IPC AM Reliability Score Table - see </t>
    </r>
    <r>
      <rPr>
        <b/>
        <i/>
        <sz val="12"/>
        <color theme="1"/>
        <rFont val="Arial"/>
        <family val="2"/>
      </rPr>
      <t xml:space="preserve">Figure </t>
    </r>
    <r>
      <rPr>
        <b/>
        <sz val="12"/>
        <color theme="1"/>
        <rFont val="Arial"/>
        <family val="2"/>
      </rPr>
      <t>2 on p. 6</t>
    </r>
  </si>
  <si>
    <t xml:space="preserve"> Population Figures</t>
  </si>
  <si>
    <t xml:space="preserve">Population figures </t>
  </si>
  <si>
    <t>Provided by OCHA and/or government at country-level</t>
  </si>
  <si>
    <t>Auto formatted</t>
  </si>
  <si>
    <t>This calculation is usually done for a year, however on some occasions (new emergency, shorter term response plan, etc.) it can be done for different duration</t>
  </si>
  <si>
    <t>U5 Prevalence of SAM based on MUAC</t>
  </si>
  <si>
    <t>U5 Prevalence of SAM based on WHZ</t>
  </si>
  <si>
    <t>U5 Prevalence of cSAM</t>
  </si>
  <si>
    <t>U5 Prevalence of cGAM</t>
  </si>
  <si>
    <t xml:space="preserve">If available, insert prevalence data </t>
  </si>
  <si>
    <r>
      <t xml:space="preserve">Insert prevalence data for only </t>
    </r>
    <r>
      <rPr>
        <b/>
        <sz val="9"/>
        <rFont val="Calibri"/>
        <family val="2"/>
        <scheme val="minor"/>
      </rPr>
      <t xml:space="preserve">ONE </t>
    </r>
    <r>
      <rPr>
        <sz val="9"/>
        <rFont val="Calibri"/>
        <family val="2"/>
        <scheme val="minor"/>
      </rPr>
      <t xml:space="preserve">of these estimations </t>
    </r>
  </si>
  <si>
    <t>PLW Prevalence of SAM based on MUAC</t>
  </si>
  <si>
    <t>Pregnant women as percentage of total population, %</t>
  </si>
  <si>
    <r>
      <t xml:space="preserve">Automatic calculation from </t>
    </r>
    <r>
      <rPr>
        <i/>
        <u/>
        <sz val="9"/>
        <rFont val="Calibri"/>
        <family val="2"/>
        <scheme val="minor"/>
      </rPr>
      <t>Scenario 2 Nut Analysis</t>
    </r>
  </si>
  <si>
    <r>
      <t xml:space="preserve">Automatic calculation from </t>
    </r>
    <r>
      <rPr>
        <i/>
        <u/>
        <sz val="9"/>
        <rFont val="Calibri"/>
        <family val="2"/>
        <scheme val="minor"/>
      </rPr>
      <t>Scenario 3 Nut Analysis</t>
    </r>
  </si>
  <si>
    <t>30-42</t>
  </si>
  <si>
    <t>≥43</t>
  </si>
  <si>
    <t>85% - 90%</t>
  </si>
  <si>
    <t>65% - 75%</t>
  </si>
  <si>
    <t>&lt;94-85% urban and camps
&lt;89 - 84% in scattered or rural areas</t>
  </si>
  <si>
    <r>
      <rPr>
        <i/>
        <sz val="9"/>
        <rFont val="Calibri"/>
        <family val="2"/>
        <scheme val="minor"/>
      </rPr>
      <t xml:space="preserve">Insert prevalence data  - </t>
    </r>
    <r>
      <rPr>
        <u/>
        <sz val="9"/>
        <rFont val="Calibri"/>
        <family val="2"/>
        <scheme val="minor"/>
      </rPr>
      <t>Automatic classification</t>
    </r>
    <r>
      <rPr>
        <sz val="9"/>
        <rFont val="Calibri"/>
        <family val="2"/>
        <scheme val="minor"/>
      </rPr>
      <t xml:space="preserve"> </t>
    </r>
    <r>
      <rPr>
        <b/>
        <sz val="9"/>
        <rFont val="Calibri"/>
        <family val="2"/>
        <scheme val="minor"/>
      </rPr>
      <t>assuming no aggravating factors</t>
    </r>
    <r>
      <rPr>
        <sz val="9"/>
        <rFont val="Calibri"/>
        <family val="2"/>
        <scheme val="minor"/>
      </rPr>
      <t xml:space="preserve">
(see</t>
    </r>
    <r>
      <rPr>
        <i/>
        <sz val="9"/>
        <rFont val="Calibri"/>
        <family val="2"/>
        <scheme val="minor"/>
      </rPr>
      <t xml:space="preserve"> Classification thresholds</t>
    </r>
    <r>
      <rPr>
        <sz val="9"/>
        <rFont val="Calibri"/>
        <family val="2"/>
        <scheme val="minor"/>
      </rPr>
      <t xml:space="preserve"> worksheet)</t>
    </r>
  </si>
  <si>
    <r>
      <t xml:space="preserve">Number of </t>
    </r>
    <r>
      <rPr>
        <sz val="10"/>
        <color theme="1"/>
        <rFont val="Calibri"/>
        <family val="2"/>
        <scheme val="minor"/>
      </rPr>
      <t xml:space="preserve">SAM </t>
    </r>
    <r>
      <rPr>
        <i/>
        <sz val="10"/>
        <color theme="1"/>
        <rFont val="Calibri"/>
        <family val="2"/>
        <scheme val="minor"/>
      </rPr>
      <t xml:space="preserve">children 0-59 mo in need of Inpatient Treatment
</t>
    </r>
    <r>
      <rPr>
        <i/>
        <sz val="10"/>
        <rFont val="Calibri"/>
        <family val="2"/>
        <scheme val="minor"/>
      </rPr>
      <t>(using cSAM by default)</t>
    </r>
  </si>
  <si>
    <t>Acute and chronic undernutrition, overnutrition - Automatic Calculations</t>
  </si>
  <si>
    <t>Expected number of MAM cases for programming</t>
  </si>
  <si>
    <t>Physical and Mental Well-being Pillar</t>
  </si>
  <si>
    <t>Living Standards Pillar</t>
  </si>
  <si>
    <t>Proportion of children 6-59 months having received micronutrient supplements that contain adequate iron</t>
  </si>
  <si>
    <t>Proportion of PW having received calcium supplements during pregnancy</t>
  </si>
  <si>
    <t>Proportion of PW having received multiple micronutrient supplements during pregnancy</t>
  </si>
  <si>
    <t>Proportion of PLW having received balanced energy protein supplements during pregnancy and breastfeeding</t>
  </si>
  <si>
    <t xml:space="preserve">Vitamin A deficiency prevalence in children 6-59 months </t>
  </si>
  <si>
    <t>Proportion of children 6-59 months in need of Vitamin A supplementation</t>
  </si>
  <si>
    <t>Iodine deficiency prevalence in children 6-23 months</t>
  </si>
  <si>
    <t>Iodine deficiency prevalence in PLW</t>
  </si>
  <si>
    <t>Iodine deficiency prevalence in Older People</t>
  </si>
  <si>
    <t>Proportion of children 6-59 months in need of Zinc supplementation</t>
  </si>
  <si>
    <t>Other - to be defined</t>
  </si>
  <si>
    <t>Proportion of children 6-59 months in need of deworming</t>
  </si>
  <si>
    <t>Micronutrient Deficiencies</t>
  </si>
  <si>
    <t>Number of children 6-59 months in need of micronutrient supplements that contain adequate iron</t>
  </si>
  <si>
    <t>PREGNANT (AND LACTATING) WOMEN (PLW/PW)</t>
  </si>
  <si>
    <t>Number of PW in need of micronutrient supplements that contain adequate iron</t>
  </si>
  <si>
    <t>Proportion of PW having received micronutrient supplements that contain adequate iron</t>
  </si>
  <si>
    <t>Number of PW in need of calcium supplements during pregnancy</t>
  </si>
  <si>
    <t>Number of PW in need of multiple micronutrient supplements during pregnancy</t>
  </si>
  <si>
    <t>Number of PLW in need of balanced energy protein supplements during pregnancy and breastfeeding</t>
  </si>
  <si>
    <t>Number of Vitamin A deficient children 6-59 months in need</t>
  </si>
  <si>
    <t>Number of children 6-59 months in need of Vitamin A supplementation</t>
  </si>
  <si>
    <t>Number of iodine deficient children 6-23 months in need</t>
  </si>
  <si>
    <t>TO ADD CALCULATION</t>
  </si>
  <si>
    <t>Number of iodine deficient PLW in need</t>
  </si>
  <si>
    <t>Number of iodine deficient Older People in need</t>
  </si>
  <si>
    <t>Number of children 6-59 months in need of Zinc supplementation</t>
  </si>
  <si>
    <t>Number of children 6-59 months in need of deworming</t>
  </si>
  <si>
    <t>Micronutrient Deficiency - (feed into Physical and Mental Well-being Pillar)</t>
  </si>
  <si>
    <r>
      <rPr>
        <i/>
        <sz val="10"/>
        <color theme="1"/>
        <rFont val="Arial"/>
        <family val="2"/>
      </rPr>
      <t xml:space="preserve">Preliminary thresholds </t>
    </r>
    <r>
      <rPr>
        <sz val="10"/>
        <color theme="1"/>
        <rFont val="Arial"/>
        <family val="2"/>
      </rPr>
      <t>suggested by Taskforce and NISWG</t>
    </r>
  </si>
  <si>
    <t>Alignment with IPC AMN framework</t>
  </si>
  <si>
    <t>Acute and chronic malnutrition</t>
  </si>
  <si>
    <t>Other causes</t>
  </si>
  <si>
    <t>Acute malnutrition</t>
  </si>
  <si>
    <t>Micronutrient deficiencies</t>
  </si>
  <si>
    <t>Mortality indicators</t>
  </si>
  <si>
    <t>Suggested by WASH colleagues for Joint Inter-sectoral Analysis Framework (JIAF)</t>
  </si>
  <si>
    <t>Food Security Cluster/Sector Analysis</t>
  </si>
  <si>
    <r>
      <t xml:space="preserve">Remarks and raw data evidence 
</t>
    </r>
    <r>
      <rPr>
        <sz val="10"/>
        <color rgb="FFC00000"/>
        <rFont val="Calibri"/>
        <family val="2"/>
        <scheme val="minor"/>
      </rPr>
      <t>[Indicate representativeness, quality, etc.; status of the report such as preliminary; if nothing to highlight, leave it blank]</t>
    </r>
  </si>
  <si>
    <t>Repository and reliability of Evidence Used</t>
  </si>
  <si>
    <t>EVIDENCE USED</t>
  </si>
  <si>
    <t>[Write the exact name of the report]</t>
  </si>
  <si>
    <t>Name of report</t>
  </si>
  <si>
    <t>[Write the name(s) of agency(ies) that published the report]</t>
  </si>
  <si>
    <t>Source of report</t>
  </si>
  <si>
    <t>[Write the dates during which the data was collected]</t>
  </si>
  <si>
    <t>Data collection period</t>
  </si>
  <si>
    <t>[Write the date in which the report was published]</t>
  </si>
  <si>
    <t>Date of publication</t>
  </si>
  <si>
    <t>Stakeholder Organization Representation</t>
  </si>
  <si>
    <t xml:space="preserve">National Government </t>
  </si>
  <si>
    <t>(at all relevant levels)</t>
  </si>
  <si>
    <t>National NGOs/ Civil Society/ Private Sector</t>
  </si>
  <si>
    <t xml:space="preserve">Technical Agencies/Academic Institutions </t>
  </si>
  <si>
    <t xml:space="preserve">International NGOs </t>
  </si>
  <si>
    <t xml:space="preserve">United Nations Agencies </t>
  </si>
  <si>
    <t>Food Security/ Livelihoods</t>
  </si>
  <si>
    <t>Gender</t>
  </si>
  <si>
    <t>Statistics</t>
  </si>
  <si>
    <t>Other 1</t>
  </si>
  <si>
    <t>Other 2</t>
  </si>
  <si>
    <t>Other 3</t>
  </si>
  <si>
    <t>ANALYSIS TEAM COMPOSITION MATRIX</t>
  </si>
  <si>
    <t>(adapted from IPC AMN)</t>
  </si>
  <si>
    <t xml:space="preserve">Nutrition Cluster Coordinator: </t>
  </si>
  <si>
    <t xml:space="preserve">Facilitator(s): </t>
  </si>
  <si>
    <t xml:space="preserve">Area of Expertise (include as relevant for analysis) </t>
  </si>
  <si>
    <t>(Indicate the name, title, and agency)</t>
  </si>
  <si>
    <t>Member of the NIS TWG 
(Yes/No)</t>
  </si>
  <si>
    <t>Acceptable and stable</t>
  </si>
  <si>
    <t>Acceptable but deterioration from typical</t>
  </si>
  <si>
    <t>Borderline</t>
  </si>
  <si>
    <t>Poor</t>
  </si>
  <si>
    <t>0 (none)</t>
  </si>
  <si>
    <t>1 (slight)</t>
  </si>
  <si>
    <t>2 or 3 (moderate)</t>
  </si>
  <si>
    <t>4 (severe)</t>
  </si>
  <si>
    <t>5 or 6 (severe)</t>
  </si>
  <si>
    <t>0 to 3</t>
  </si>
  <si>
    <t>4 to 18</t>
  </si>
  <si>
    <t>≥ 19</t>
  </si>
  <si>
    <t>5-12 food groups and stable</t>
  </si>
  <si>
    <t>5-FG but deterioration ≥1 FG from typical</t>
  </si>
  <si>
    <t>3-4 FG</t>
  </si>
  <si>
    <t>0-2 FG</t>
  </si>
  <si>
    <r>
      <rPr>
        <b/>
        <sz val="11"/>
        <color rgb="FF000000"/>
        <rFont val="Calibri"/>
        <family val="2"/>
      </rPr>
      <t xml:space="preserve">PRIORITY: </t>
    </r>
    <r>
      <rPr>
        <sz val="11"/>
        <color rgb="FF000000"/>
        <rFont val="Calibri"/>
        <family val="2"/>
      </rPr>
      <t>Food Security Cluster/Sector Analysis</t>
    </r>
  </si>
  <si>
    <t>Malaria/Fever</t>
  </si>
  <si>
    <t>Acute Respiratory Infection (ARI)</t>
  </si>
  <si>
    <t>Number of cases for selected diseases relevant to the local context (e.g. cholera, measles, acute meningitis, COVID-19)</t>
  </si>
  <si>
    <t>No thresholds proposed, use of consensus and expert judgement</t>
  </si>
  <si>
    <t>Percentage of healthcare facilitaties that deliver essential package of health services (including nutrition)</t>
  </si>
  <si>
    <t>The ‘essential package of health services’ must be defined to use this indicator.  Use the minimum package of services that has been agreed at country level.</t>
  </si>
  <si>
    <t>Dysentery</t>
  </si>
  <si>
    <t xml:space="preserve">Prevalence of HIV/AIDS </t>
  </si>
  <si>
    <t>Cholera or Acute Watery Diarrhea (AWD)</t>
  </si>
  <si>
    <t>Health-seeking behaviour from population-based surveys</t>
  </si>
  <si>
    <t>Routine/campaign measles vaccination coverage (%)</t>
  </si>
  <si>
    <t>Routine/campaign polio vaccination coverage (%)</t>
  </si>
  <si>
    <t>Routine/campaign Vitamin A supplementation coverage (%)</t>
  </si>
  <si>
    <t>Measles vaccination coverage from surveys (%)</t>
  </si>
  <si>
    <t>Polio vaccination coverage from surveys (%)</t>
  </si>
  <si>
    <t>Vitamin A supplementation coverage from surveys (%)</t>
  </si>
  <si>
    <t>Coverage of all basic vaccinations from surveys (%)</t>
  </si>
  <si>
    <t>Percentage of healthcare facilities that deliver essential package of health services (including nutrition)</t>
  </si>
  <si>
    <t>Proportion of children U5 who had Acute Respiratory Infections (ARI) in the last 2 weeks</t>
  </si>
  <si>
    <t>Number of reported cases of cholera or Acute Watery Diarrhea (AWD)</t>
  </si>
  <si>
    <t>Coverage of DTC3 (DPT3 / PENTA3) in &lt; 1 year old, by administrative unit (%)</t>
  </si>
  <si>
    <t>Percentage of healthcare facilities that deliver essential package of health services</t>
  </si>
  <si>
    <r>
      <rPr>
        <b/>
        <sz val="11"/>
        <color rgb="FF000000"/>
        <rFont val="Calibri"/>
        <family val="2"/>
      </rPr>
      <t xml:space="preserve">Immediate causes </t>
    </r>
    <r>
      <rPr>
        <sz val="11"/>
        <color rgb="FF000000"/>
        <rFont val="Calibri"/>
        <family val="2"/>
      </rPr>
      <t xml:space="preserve">
(Food consumption)</t>
    </r>
  </si>
  <si>
    <r>
      <rPr>
        <b/>
        <sz val="11"/>
        <color theme="1"/>
        <rFont val="Calibri"/>
        <family val="2"/>
      </rPr>
      <t>Immediate Causes</t>
    </r>
    <r>
      <rPr>
        <sz val="11"/>
        <color theme="1"/>
        <rFont val="Calibri"/>
        <family val="2"/>
      </rPr>
      <t xml:space="preserve"> 
(Health status)</t>
    </r>
  </si>
  <si>
    <r>
      <rPr>
        <b/>
        <sz val="11"/>
        <color theme="1"/>
        <rFont val="Calibri"/>
        <family val="2"/>
      </rPr>
      <t>Underlying causes</t>
    </r>
    <r>
      <rPr>
        <sz val="11"/>
        <color theme="1"/>
        <rFont val="Calibri"/>
        <family val="2"/>
      </rPr>
      <t xml:space="preserve"> (Availability of and access to health services)</t>
    </r>
  </si>
  <si>
    <r>
      <rPr>
        <b/>
        <sz val="11"/>
        <color theme="1"/>
        <rFont val="Calibri"/>
        <family val="2"/>
      </rPr>
      <t>Underlying causes</t>
    </r>
    <r>
      <rPr>
        <sz val="11"/>
        <color theme="1"/>
        <rFont val="Calibri"/>
        <family val="2"/>
      </rPr>
      <t xml:space="preserve"> (Immunization)</t>
    </r>
  </si>
  <si>
    <r>
      <rPr>
        <b/>
        <sz val="11"/>
        <color theme="1"/>
        <rFont val="Calibri"/>
        <family val="2"/>
      </rPr>
      <t>Underlying causes</t>
    </r>
    <r>
      <rPr>
        <sz val="11"/>
        <color theme="1"/>
        <rFont val="Calibri"/>
        <family val="2"/>
      </rPr>
      <t xml:space="preserve"> 
(WASH)</t>
    </r>
  </si>
  <si>
    <r>
      <rPr>
        <b/>
        <sz val="10"/>
        <color theme="1"/>
        <rFont val="Arial"/>
        <family val="2"/>
      </rPr>
      <t>Underlying causes</t>
    </r>
    <r>
      <rPr>
        <sz val="10"/>
        <color theme="1"/>
        <rFont val="Arial"/>
        <family val="2"/>
      </rPr>
      <t xml:space="preserve"> (Caring and feeding practices)</t>
    </r>
  </si>
  <si>
    <r>
      <rPr>
        <b/>
        <sz val="10"/>
        <color theme="1"/>
        <rFont val="Arial"/>
        <family val="2"/>
      </rPr>
      <t xml:space="preserve">Immediate causes </t>
    </r>
    <r>
      <rPr>
        <sz val="10"/>
        <color theme="1"/>
        <rFont val="Arial"/>
        <family val="2"/>
      </rPr>
      <t xml:space="preserve">
(Food consumption)</t>
    </r>
  </si>
  <si>
    <t>Proportion of children U5 with fever in malaria-risk areas</t>
  </si>
  <si>
    <t>Proportion of children U5 with diarrhea in the last two weeks</t>
  </si>
  <si>
    <t>Use of consensus and expert judgement to determine phase</t>
  </si>
  <si>
    <t>Number of children 0-5 months in need of EBF support</t>
  </si>
  <si>
    <r>
      <t xml:space="preserve">Automatic calculation from </t>
    </r>
    <r>
      <rPr>
        <i/>
        <sz val="9"/>
        <rFont val="Calibri"/>
        <family val="2"/>
        <scheme val="minor"/>
      </rPr>
      <t>Scenario 2 Contributing Factors</t>
    </r>
    <r>
      <rPr>
        <sz val="9"/>
        <rFont val="Calibri"/>
        <family val="2"/>
        <scheme val="minor"/>
      </rPr>
      <t xml:space="preserve"> sheet</t>
    </r>
  </si>
  <si>
    <r>
      <t xml:space="preserve">Automatic calculation from </t>
    </r>
    <r>
      <rPr>
        <i/>
        <sz val="9"/>
        <rFont val="Calibri"/>
        <family val="2"/>
        <scheme val="minor"/>
      </rPr>
      <t>Scenario 3 Nut Analysis</t>
    </r>
    <r>
      <rPr>
        <sz val="9"/>
        <rFont val="Calibri"/>
        <family val="2"/>
        <scheme val="minor"/>
      </rPr>
      <t xml:space="preserve"> sheet</t>
    </r>
  </si>
  <si>
    <r>
      <t xml:space="preserve">BASED ON DATA FROM </t>
    </r>
    <r>
      <rPr>
        <b/>
        <u/>
        <sz val="12"/>
        <color theme="0"/>
        <rFont val="Calibri"/>
        <family val="2"/>
        <scheme val="minor"/>
      </rPr>
      <t>SCENARIO 3 NUTRITION ANALYSIS</t>
    </r>
  </si>
  <si>
    <r>
      <t xml:space="preserve">BASED ON DATA FROM </t>
    </r>
    <r>
      <rPr>
        <b/>
        <u/>
        <sz val="12"/>
        <color theme="0"/>
        <rFont val="Calibri"/>
        <family val="2"/>
        <scheme val="minor"/>
      </rPr>
      <t>SCENARIO 2 CONTRIBUTING FACTORS</t>
    </r>
  </si>
  <si>
    <t>Expected proportion of 6-59  months children</t>
  </si>
  <si>
    <t>Number of SAM children 6-59 mo in need based on MUAC</t>
  </si>
  <si>
    <t>SCENARIO 2 with U5 GAM≥5%</t>
  </si>
  <si>
    <t>Prevalence of Global Acute Malnutrition (GAM) based on Mid-Upper Arm Circumference (MUAC) &lt;125mm and/or bilateral pitting oedema among children 6-59 months</t>
  </si>
  <si>
    <t>Prevalence of Global Acute Malnutrition (GAM) based on Mid-Upper Arm Circumference (MUAC)&lt;210-230 (depending on the contexts) and/or bilateral pitting oedema among PLW</t>
  </si>
  <si>
    <t>Incident correction factor for SAM</t>
  </si>
  <si>
    <t>Incident correction factor for MAM</t>
  </si>
  <si>
    <t>Prevalence of anemia Hb &lt;11g/dl in children 6-59 months</t>
  </si>
  <si>
    <t>Prevalence of overweight in children 0-59 months</t>
  </si>
  <si>
    <t>Prevalence of anemia in children 6-59 months</t>
  </si>
  <si>
    <t xml:space="preserve">Number of anemic children 6-59 months </t>
  </si>
  <si>
    <r>
      <t xml:space="preserve">This indicator is primarily a country-level measurement and cannot be easily aggregated for use at higher levels.
The list of diseases is </t>
    </r>
    <r>
      <rPr>
        <i/>
        <sz val="10"/>
        <color theme="1"/>
        <rFont val="Arial"/>
        <family val="2"/>
      </rPr>
      <t>context specific</t>
    </r>
    <r>
      <rPr>
        <sz val="10"/>
        <color theme="1"/>
        <rFont val="Arial"/>
        <family val="2"/>
      </rPr>
      <t>.  
Data collection can be problematic as health facility surveillance may have low sensitivity for conditions that do not commonly go to clinic.  Access to health services is another factor</t>
    </r>
  </si>
  <si>
    <r>
      <rPr>
        <b/>
        <sz val="10"/>
        <color rgb="FF000000"/>
        <rFont val="Arial"/>
        <family val="2"/>
      </rPr>
      <t xml:space="preserve">PRIORITY: </t>
    </r>
    <r>
      <rPr>
        <sz val="10"/>
        <color rgb="FF000000"/>
        <rFont val="Arial"/>
        <family val="2"/>
      </rPr>
      <t>Food Security Cluster/Sector Analysis</t>
    </r>
  </si>
  <si>
    <t>Minimum Meal Frequency in children 6-23 months</t>
  </si>
  <si>
    <t>Prevalence of overweight based on weight for height Z-score (WHZ)&gt;2 among children 0-59 months</t>
  </si>
  <si>
    <t>Humanitarian Consequence</t>
  </si>
  <si>
    <r>
      <t xml:space="preserve">U5 GAM </t>
    </r>
    <r>
      <rPr>
        <b/>
        <sz val="12"/>
        <color theme="1"/>
        <rFont val="Calibri"/>
        <family val="2"/>
      </rPr>
      <t>≥</t>
    </r>
    <r>
      <rPr>
        <b/>
        <sz val="12"/>
        <color theme="1"/>
        <rFont val="Arial"/>
        <family val="2"/>
      </rPr>
      <t xml:space="preserve">5% 
</t>
    </r>
    <r>
      <rPr>
        <b/>
        <i/>
        <sz val="12"/>
        <color theme="1"/>
        <rFont val="Arial"/>
        <family val="2"/>
      </rPr>
      <t>(Scenarios 1 &amp; 2)</t>
    </r>
  </si>
  <si>
    <r>
      <t xml:space="preserve">U5 GAM &lt;5% 
</t>
    </r>
    <r>
      <rPr>
        <b/>
        <i/>
        <sz val="12"/>
        <color theme="1"/>
        <rFont val="Arial"/>
        <family val="2"/>
      </rPr>
      <t>(Scenario 3)</t>
    </r>
  </si>
  <si>
    <t>Routine measles vaccination coverage (%)</t>
  </si>
  <si>
    <t>Routine polio vaccination coverage (%)</t>
  </si>
  <si>
    <t>Routine Vitamin A supplementation coverage (%)</t>
  </si>
  <si>
    <t>Campaign measles vaccination coverage (%)</t>
  </si>
  <si>
    <t>Campaign polio vaccination coverage (%)</t>
  </si>
  <si>
    <t>Campaign Vitamin A supplementation coverage (%)</t>
  </si>
  <si>
    <r>
      <rPr>
        <i/>
        <sz val="10"/>
        <color theme="1"/>
        <rFont val="Arial"/>
        <family val="2"/>
      </rPr>
      <t>Preliminary thresholds</t>
    </r>
    <r>
      <rPr>
        <sz val="10"/>
        <color theme="1"/>
        <rFont val="Arial"/>
        <family val="2"/>
      </rPr>
      <t>, aligned with those for DTC3 suggested by the GNC Taskforce</t>
    </r>
  </si>
  <si>
    <t>Prevalence of Global Acute Malnutrition (GAM) based on weight for height Z-score (WHZ)&lt;-2 and/or bilateral pitting oedema among children 0-59 months (if no data, use 6-59 months)</t>
  </si>
  <si>
    <r>
      <t xml:space="preserve">Minimum Acceptable Diet in children 6 to 23 months*
</t>
    </r>
    <r>
      <rPr>
        <sz val="9"/>
        <color theme="1"/>
        <rFont val="Arial"/>
        <family val="2"/>
      </rPr>
      <t xml:space="preserve">*Requires </t>
    </r>
    <r>
      <rPr>
        <i/>
        <sz val="9"/>
        <color theme="1"/>
        <rFont val="Arial"/>
        <family val="2"/>
      </rPr>
      <t>Minimum Meal Frequency in children 6-23 months</t>
    </r>
    <r>
      <rPr>
        <sz val="9"/>
        <color theme="1"/>
        <rFont val="Arial"/>
        <family val="2"/>
      </rPr>
      <t xml:space="preserve"> to be derived</t>
    </r>
  </si>
  <si>
    <r>
      <t xml:space="preserve">Minimum Dietary Diversity in children 6-23 months
(if available, use </t>
    </r>
    <r>
      <rPr>
        <i/>
        <sz val="11"/>
        <color theme="1"/>
        <rFont val="Calibri"/>
        <family val="2"/>
        <scheme val="minor"/>
      </rPr>
      <t>Minimum Acceptable Diet in children 6-23 months)</t>
    </r>
  </si>
  <si>
    <t>Girls 0-59 months as percentage of total population, %</t>
  </si>
  <si>
    <t>Boys 0-59 months as percentage of total population, %</t>
  </si>
  <si>
    <t>Older Men as percentage of total population, %</t>
  </si>
  <si>
    <t>Older Women as percentage of total population, %</t>
  </si>
  <si>
    <r>
      <rPr>
        <b/>
        <u/>
        <sz val="9"/>
        <rFont val="Calibri"/>
        <family val="2"/>
        <scheme val="minor"/>
      </rPr>
      <t>If available</t>
    </r>
    <r>
      <rPr>
        <u/>
        <sz val="9"/>
        <rFont val="Calibri"/>
        <family val="2"/>
        <scheme val="minor"/>
      </rPr>
      <t>, provided by OCHA and/or government at country-level</t>
    </r>
  </si>
  <si>
    <t>Girls 0-5 months as percentage of total population, %</t>
  </si>
  <si>
    <t>Boys 0-5 months as percentage of total population, %</t>
  </si>
  <si>
    <t>Girls 6-11 months as percentage of total population, %</t>
  </si>
  <si>
    <t>Boys 6-11 months as percentage of total population, %</t>
  </si>
  <si>
    <t>Girls 6-23 months as percentage of total population, %</t>
  </si>
  <si>
    <t>Boys 6-23 months as percentage of total population, %</t>
  </si>
  <si>
    <t>Adolescent Girls as percentage of total population, %</t>
  </si>
  <si>
    <t>Adolescent Boys as percentage of total population, %</t>
  </si>
  <si>
    <r>
      <t xml:space="preserve">Number of children 6-23 months in need of Minimum Dietary Diversity support (or </t>
    </r>
    <r>
      <rPr>
        <b/>
        <i/>
        <sz val="10"/>
        <color theme="1"/>
        <rFont val="Calibri"/>
        <family val="2"/>
        <scheme val="minor"/>
      </rPr>
      <t xml:space="preserve">Minimum Acceptable Diet for children 6-23 months </t>
    </r>
    <r>
      <rPr>
        <b/>
        <sz val="10"/>
        <color theme="1"/>
        <rFont val="Calibri"/>
        <family val="2"/>
        <scheme val="minor"/>
      </rPr>
      <t xml:space="preserve">if available) </t>
    </r>
  </si>
  <si>
    <r>
      <t xml:space="preserve">Depending on data available, you can use the difference from 100% based on the same percentage of children 0-5 months used in </t>
    </r>
    <r>
      <rPr>
        <i/>
        <sz val="10"/>
        <rFont val="Calibri"/>
        <family val="2"/>
        <scheme val="minor"/>
      </rPr>
      <t xml:space="preserve">column J. </t>
    </r>
    <r>
      <rPr>
        <sz val="10"/>
        <rFont val="Calibri"/>
        <family val="2"/>
        <scheme val="minor"/>
      </rPr>
      <t xml:space="preserve">If no data is available, then use 98.2%. </t>
    </r>
  </si>
  <si>
    <t>Number of MAM children 6-59 mo in need based on cMAM</t>
  </si>
  <si>
    <t xml:space="preserve">Number of MAM children 6-59 mo in need based on WHZ </t>
  </si>
  <si>
    <t>Number of MAM children 6-59 mo in need based on MUAC</t>
  </si>
  <si>
    <r>
      <t xml:space="preserve">Number of </t>
    </r>
    <r>
      <rPr>
        <sz val="10"/>
        <color theme="1"/>
        <rFont val="Calibri"/>
        <family val="2"/>
        <scheme val="minor"/>
      </rPr>
      <t xml:space="preserve">MAM </t>
    </r>
    <r>
      <rPr>
        <i/>
        <sz val="10"/>
        <color theme="1"/>
        <rFont val="Calibri"/>
        <family val="2"/>
        <scheme val="minor"/>
      </rPr>
      <t xml:space="preserve">children 6-59 mo in need of programming </t>
    </r>
    <r>
      <rPr>
        <i/>
        <sz val="10"/>
        <rFont val="Calibri"/>
        <family val="2"/>
        <scheme val="minor"/>
      </rPr>
      <t>(using cMAM by default)</t>
    </r>
  </si>
  <si>
    <r>
      <t xml:space="preserve">Minimum Dietary Diversity in children 6-23 months
(if available, use </t>
    </r>
    <r>
      <rPr>
        <i/>
        <sz val="10"/>
        <rFont val="Calibri"/>
        <family val="2"/>
        <scheme val="minor"/>
      </rPr>
      <t>Minimum Acceptable Diet in children 6-23 months</t>
    </r>
    <r>
      <rPr>
        <sz val="10"/>
        <rFont val="Calibri"/>
        <family val="2"/>
        <scheme val="minor"/>
      </rPr>
      <t>)</t>
    </r>
  </si>
  <si>
    <t xml:space="preserve">To discuss with Cluster partners and agree on the incident correction factor based on available guidance and evidence. Contact GNC-CT for further support if needed. An example is provided. </t>
  </si>
  <si>
    <t>To discuss with Cluster partners and agree on the incident correction factor based on available guidance and evidence. Contact GNC-CT for further support if needed. An example is provided.</t>
  </si>
  <si>
    <t>Number of GAM children 6-59 mo in need based on MUAC</t>
  </si>
  <si>
    <t xml:space="preserve">Number of GAM boys 0-59 mo in need </t>
  </si>
  <si>
    <t xml:space="preserve">Number of GAM girls 0-59 mo in need </t>
  </si>
  <si>
    <t xml:space="preserve">Number of SAM boys 0-59 mo in need </t>
  </si>
  <si>
    <t xml:space="preserve">Number of SAM girls 0-59 mo in need </t>
  </si>
  <si>
    <t>Number of GAM Older Women in need</t>
  </si>
  <si>
    <t>Number of GAM Older Men in need</t>
  </si>
  <si>
    <t>Number of STUNTED girls 0-59 mo in need</t>
  </si>
  <si>
    <t>Number of STUNTED boys 0-59 mo in need</t>
  </si>
  <si>
    <t>Number of overweight children 0-59 months in need</t>
  </si>
  <si>
    <t>Number of overweight girls 0-59 months in need</t>
  </si>
  <si>
    <t>Number of overweight boys 0-59 months in need</t>
  </si>
  <si>
    <t>Number of girls 0-5 months in need of EBF support</t>
  </si>
  <si>
    <t>Number of boys 0-5 months in need of EBF support</t>
  </si>
  <si>
    <t>Number of girls 0-5 months in need of BMS support</t>
  </si>
  <si>
    <t>Number of boys 0-5 months in need of BMS support</t>
  </si>
  <si>
    <t>Number of girls 6-11 months in need of BMS support</t>
  </si>
  <si>
    <t>Number of boys 6-11 months in need of BMS support</t>
  </si>
  <si>
    <t>Number of GAM Adolescent Girls in need</t>
  </si>
  <si>
    <t>Number of GAM Adolescent Boys in need</t>
  </si>
  <si>
    <r>
      <t xml:space="preserve">Number of children 6-23 months in need of Dietary Diversity support  (or </t>
    </r>
    <r>
      <rPr>
        <b/>
        <i/>
        <sz val="10"/>
        <color theme="1"/>
        <rFont val="Calibri"/>
        <family val="2"/>
        <scheme val="minor"/>
      </rPr>
      <t>Minimum Acceptable Diet for children 6-23 months</t>
    </r>
    <r>
      <rPr>
        <b/>
        <sz val="10"/>
        <color theme="1"/>
        <rFont val="Calibri"/>
        <family val="2"/>
        <scheme val="minor"/>
      </rPr>
      <t xml:space="preserve"> if available) </t>
    </r>
  </si>
  <si>
    <t xml:space="preserve">Number of anemic girls 6-59 months </t>
  </si>
  <si>
    <t xml:space="preserve">Number of anemic boys 6-59 months </t>
  </si>
  <si>
    <t>Number of girls 6-59 months in need of micronutrient supplements that contain adequate iron</t>
  </si>
  <si>
    <t>Number of boys 6-59 months in need of micronutrient supplements that contain adequate iron</t>
  </si>
  <si>
    <t>Number of Vitamin A deficient girls 6-59 months in need</t>
  </si>
  <si>
    <t>Number of Vitamin A deficient boys 6-59 months in need</t>
  </si>
  <si>
    <t>Number of girls 6-59 months in need of Vitamin A supplementation</t>
  </si>
  <si>
    <t>Number of boys 6-59 months in need of Vitamin A supplementation</t>
  </si>
  <si>
    <t>Number of iodine deficient girls 6-23 months in need</t>
  </si>
  <si>
    <t>Number of iodine deficient boys 6-23 months in need</t>
  </si>
  <si>
    <t>Number of iodine deficient Older Women in need</t>
  </si>
  <si>
    <t>Number of iodine deficient Older Men in need</t>
  </si>
  <si>
    <t>Number of girls 6-59 months in need of Zinc supplementation</t>
  </si>
  <si>
    <t>Number of boys 6-59 months in need of Zinc supplementation</t>
  </si>
  <si>
    <t>Number of girls 6-59 months in need of deworming</t>
  </si>
  <si>
    <t>Number of boys 6-59 months in need of deworming</t>
  </si>
  <si>
    <t xml:space="preserve">Number of MAM girls 6-59 mo in need </t>
  </si>
  <si>
    <t xml:space="preserve">Number of MAM boys 6-59 mo in need </t>
  </si>
  <si>
    <t xml:space="preserve">Crude Death Rate
(excluding trauma when available) </t>
  </si>
  <si>
    <t>U5 Death Rate
(excluding trauma when available)</t>
  </si>
  <si>
    <t>Automatic calculation when data is available</t>
  </si>
  <si>
    <r>
      <t xml:space="preserve">Number of SAM girls 0-59 mo in need of Inpatient treatment </t>
    </r>
    <r>
      <rPr>
        <b/>
        <i/>
        <sz val="10"/>
        <rFont val="Calibri"/>
        <family val="2"/>
        <scheme val="minor"/>
      </rPr>
      <t xml:space="preserve"> (using cSAM by default)</t>
    </r>
  </si>
  <si>
    <r>
      <t xml:space="preserve">Number of SAM boys 0-59 mo in need of Inpatient treatment </t>
    </r>
    <r>
      <rPr>
        <b/>
        <i/>
        <sz val="10"/>
        <rFont val="Calibri"/>
        <family val="2"/>
        <scheme val="minor"/>
      </rPr>
      <t>(using cSAM by default)</t>
    </r>
  </si>
  <si>
    <r>
      <t xml:space="preserve">Number of girls 6-23 months in need of Dietary Diversity support (or </t>
    </r>
    <r>
      <rPr>
        <b/>
        <i/>
        <sz val="10"/>
        <color theme="1"/>
        <rFont val="Calibri"/>
        <family val="2"/>
        <scheme val="minor"/>
      </rPr>
      <t>Minimum Acceptable Diet for children 6-23 months</t>
    </r>
    <r>
      <rPr>
        <b/>
        <sz val="10"/>
        <color theme="1"/>
        <rFont val="Calibri"/>
        <family val="2"/>
        <scheme val="minor"/>
      </rPr>
      <t xml:space="preserve"> if available) </t>
    </r>
  </si>
  <si>
    <r>
      <t xml:space="preserve">Number of boys 6-23 months in need of Dietary Diversity support (or </t>
    </r>
    <r>
      <rPr>
        <b/>
        <i/>
        <sz val="10"/>
        <color theme="1"/>
        <rFont val="Calibri"/>
        <family val="2"/>
        <scheme val="minor"/>
      </rPr>
      <t>Minimum Acceptable Diet for children 6-23 months</t>
    </r>
    <r>
      <rPr>
        <b/>
        <sz val="10"/>
        <color theme="1"/>
        <rFont val="Calibri"/>
        <family val="2"/>
        <scheme val="minor"/>
      </rPr>
      <t xml:space="preserve"> if available) </t>
    </r>
  </si>
  <si>
    <t>CONTEXTUAL FACTORS BASED ON SCENARIO 2</t>
  </si>
  <si>
    <t>CONTEXTUAL FACTORS BASED ON SCENARIO 3</t>
  </si>
  <si>
    <r>
      <t xml:space="preserve">Number of </t>
    </r>
    <r>
      <rPr>
        <sz val="10"/>
        <rFont val="Calibri"/>
        <family val="2"/>
        <scheme val="minor"/>
      </rPr>
      <t xml:space="preserve">SAM </t>
    </r>
    <r>
      <rPr>
        <i/>
        <sz val="10"/>
        <rFont val="Calibri"/>
        <family val="2"/>
        <scheme val="minor"/>
      </rPr>
      <t>children 6-59 mo in need of Outpatient Treatment
(using cSAM by default)</t>
    </r>
  </si>
  <si>
    <r>
      <t xml:space="preserve">Number of SAM girls 6-59 mo in need of Outpatient treatment </t>
    </r>
    <r>
      <rPr>
        <b/>
        <i/>
        <sz val="10"/>
        <rFont val="Calibri"/>
        <family val="2"/>
        <scheme val="minor"/>
      </rPr>
      <t>(using cSAM by default)</t>
    </r>
  </si>
  <si>
    <r>
      <t xml:space="preserve">Number of SAM boys 6-59 mo in need of Outpatient treatment </t>
    </r>
    <r>
      <rPr>
        <b/>
        <i/>
        <sz val="10"/>
        <rFont val="Calibri"/>
        <family val="2"/>
        <scheme val="minor"/>
      </rPr>
      <t>(using cSAM by default)</t>
    </r>
  </si>
  <si>
    <r>
      <t xml:space="preserve">Number of </t>
    </r>
    <r>
      <rPr>
        <sz val="10"/>
        <rFont val="Calibri"/>
        <family val="2"/>
        <scheme val="minor"/>
      </rPr>
      <t xml:space="preserve">MAM </t>
    </r>
    <r>
      <rPr>
        <i/>
        <sz val="10"/>
        <rFont val="Calibri"/>
        <family val="2"/>
        <scheme val="minor"/>
      </rPr>
      <t>children 6-23 mo in need of BFSP
(using cMAM by default)</t>
    </r>
  </si>
  <si>
    <r>
      <t xml:space="preserve">Number of </t>
    </r>
    <r>
      <rPr>
        <sz val="10"/>
        <rFont val="Calibri"/>
        <family val="2"/>
        <scheme val="minor"/>
      </rPr>
      <t xml:space="preserve">MAM girls </t>
    </r>
    <r>
      <rPr>
        <i/>
        <sz val="10"/>
        <rFont val="Calibri"/>
        <family val="2"/>
        <scheme val="minor"/>
      </rPr>
      <t>6-23 mo in need of BFSP
(using cMAM by default)</t>
    </r>
  </si>
  <si>
    <r>
      <t xml:space="preserve">Number of </t>
    </r>
    <r>
      <rPr>
        <sz val="10"/>
        <rFont val="Calibri"/>
        <family val="2"/>
        <scheme val="minor"/>
      </rPr>
      <t xml:space="preserve">MAM boys </t>
    </r>
    <r>
      <rPr>
        <i/>
        <sz val="10"/>
        <rFont val="Calibri"/>
        <family val="2"/>
        <scheme val="minor"/>
      </rPr>
      <t>6-23 mo in need of BFSP
(using cMAM by default)</t>
    </r>
  </si>
</sst>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_(* #,##0.00_);_(* \(#,##0.00\);_(* &quot;-&quot;??_);_(@_)"/>
    <numFmt numFmtId="165" formatCode="0.0%"/>
    <numFmt numFmtId="166" formatCode="0.0"/>
    <numFmt numFmtId="167" formatCode="_(* #,##0_);_(* \(#,##0\);_(* &quot;-&quot;??_);_(@_)"/>
  </numFmts>
  <fonts count="96"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i/>
      <sz val="10"/>
      <name val="Calibri"/>
      <family val="2"/>
      <scheme val="minor"/>
    </font>
    <font>
      <sz val="10"/>
      <name val="Calibri"/>
      <family val="2"/>
      <scheme val="minor"/>
    </font>
    <font>
      <i/>
      <sz val="10"/>
      <color theme="1"/>
      <name val="Calibri"/>
      <family val="2"/>
      <scheme val="minor"/>
    </font>
    <font>
      <i/>
      <sz val="9"/>
      <name val="Calibri"/>
      <family val="2"/>
      <scheme val="minor"/>
    </font>
    <font>
      <sz val="9"/>
      <name val="Calibri"/>
      <family val="2"/>
      <scheme val="minor"/>
    </font>
    <font>
      <b/>
      <sz val="16"/>
      <color rgb="FF0070C0"/>
      <name val="Calibri"/>
      <family val="2"/>
      <scheme val="minor"/>
    </font>
    <font>
      <sz val="12"/>
      <name val="Calibri"/>
      <family val="2"/>
      <scheme val="minor"/>
    </font>
    <font>
      <sz val="12"/>
      <color theme="1"/>
      <name val="Calibri"/>
      <family val="2"/>
      <scheme val="minor"/>
    </font>
    <font>
      <b/>
      <sz val="12"/>
      <color theme="1"/>
      <name val="Calibri"/>
      <family val="2"/>
      <scheme val="minor"/>
    </font>
    <font>
      <b/>
      <sz val="12"/>
      <color theme="5" tint="-0.249977111117893"/>
      <name val="Calibri"/>
      <family val="2"/>
      <scheme val="minor"/>
    </font>
    <font>
      <sz val="12"/>
      <color theme="0"/>
      <name val="Calibri"/>
      <family val="2"/>
      <scheme val="minor"/>
    </font>
    <font>
      <sz val="12"/>
      <color rgb="FFFF0000"/>
      <name val="Calibri"/>
      <family val="2"/>
      <scheme val="minor"/>
    </font>
    <font>
      <b/>
      <sz val="12"/>
      <color theme="0"/>
      <name val="Calibri"/>
      <family val="2"/>
      <scheme val="minor"/>
    </font>
    <font>
      <sz val="9"/>
      <color indexed="81"/>
      <name val="Tahoma"/>
      <family val="2"/>
    </font>
    <font>
      <b/>
      <sz val="9"/>
      <color indexed="81"/>
      <name val="Tahoma"/>
      <family val="2"/>
    </font>
    <font>
      <b/>
      <sz val="10"/>
      <color theme="1"/>
      <name val="Calibri"/>
      <family val="2"/>
      <scheme val="minor"/>
    </font>
    <font>
      <b/>
      <sz val="16"/>
      <color rgb="FF0070C0"/>
      <name val="Cambria"/>
      <family val="2"/>
      <scheme val="major"/>
    </font>
    <font>
      <b/>
      <sz val="10"/>
      <color theme="1"/>
      <name val="Cambria"/>
      <family val="2"/>
      <scheme val="major"/>
    </font>
    <font>
      <b/>
      <sz val="10"/>
      <color theme="0"/>
      <name val="Cambria"/>
      <family val="2"/>
      <scheme val="major"/>
    </font>
    <font>
      <sz val="10"/>
      <color theme="1"/>
      <name val="Cambria"/>
      <family val="2"/>
      <scheme val="major"/>
    </font>
    <font>
      <b/>
      <sz val="24"/>
      <color rgb="FF0070C0"/>
      <name val="Calibri"/>
      <family val="2"/>
      <scheme val="minor"/>
    </font>
    <font>
      <sz val="12"/>
      <color theme="1"/>
      <name val="Times New Roman"/>
      <family val="2"/>
    </font>
    <font>
      <b/>
      <sz val="20"/>
      <color theme="1"/>
      <name val="Arial"/>
      <family val="2"/>
    </font>
    <font>
      <sz val="8"/>
      <name val="Times New Roman"/>
      <family val="2"/>
    </font>
    <font>
      <b/>
      <i/>
      <sz val="26"/>
      <color rgb="FF0070C0"/>
      <name val="Calibri"/>
      <family val="2"/>
      <scheme val="minor"/>
    </font>
    <font>
      <b/>
      <sz val="10"/>
      <color theme="1"/>
      <name val="Cambria"/>
      <family val="1"/>
      <scheme val="major"/>
    </font>
    <font>
      <sz val="10"/>
      <color theme="1"/>
      <name val="Arial"/>
      <family val="2"/>
    </font>
    <font>
      <b/>
      <sz val="11"/>
      <color theme="1"/>
      <name val="Arial"/>
      <family val="2"/>
    </font>
    <font>
      <b/>
      <sz val="10"/>
      <color theme="1"/>
      <name val="Arial"/>
      <family val="2"/>
    </font>
    <font>
      <b/>
      <sz val="12"/>
      <color theme="1"/>
      <name val="Arial"/>
      <family val="2"/>
    </font>
    <font>
      <b/>
      <sz val="10"/>
      <color theme="0"/>
      <name val="Calibri"/>
      <family val="2"/>
      <scheme val="minor"/>
    </font>
    <font>
      <b/>
      <sz val="10"/>
      <color rgb="FFFF0000"/>
      <name val="Cambria"/>
      <family val="1"/>
      <scheme val="major"/>
    </font>
    <font>
      <sz val="10"/>
      <color theme="1"/>
      <name val="Cambria"/>
      <family val="1"/>
      <scheme val="major"/>
    </font>
    <font>
      <sz val="16"/>
      <color theme="1"/>
      <name val="Cambria"/>
      <family val="2"/>
      <scheme val="major"/>
    </font>
    <font>
      <sz val="18"/>
      <color theme="1"/>
      <name val="Cambria"/>
      <family val="2"/>
      <scheme val="major"/>
    </font>
    <font>
      <b/>
      <sz val="18"/>
      <color theme="1"/>
      <name val="Cambria"/>
      <family val="1"/>
      <scheme val="major"/>
    </font>
    <font>
      <i/>
      <sz val="10"/>
      <color theme="1"/>
      <name val="Arial"/>
      <family val="2"/>
    </font>
    <font>
      <b/>
      <sz val="10"/>
      <name val="Calibri"/>
      <family val="2"/>
      <scheme val="minor"/>
    </font>
    <font>
      <b/>
      <i/>
      <sz val="10"/>
      <color theme="1"/>
      <name val="Calibri"/>
      <family val="2"/>
      <scheme val="minor"/>
    </font>
    <font>
      <u/>
      <sz val="9"/>
      <name val="Calibri"/>
      <family val="2"/>
      <scheme val="minor"/>
    </font>
    <font>
      <i/>
      <u/>
      <sz val="9"/>
      <name val="Calibri"/>
      <family val="2"/>
      <scheme val="minor"/>
    </font>
    <font>
      <b/>
      <sz val="10"/>
      <color theme="1"/>
      <name val="Calibri"/>
      <family val="2"/>
    </font>
    <font>
      <b/>
      <sz val="10"/>
      <color rgb="FF000000"/>
      <name val="Arial"/>
      <family val="2"/>
    </font>
    <font>
      <b/>
      <u/>
      <sz val="9"/>
      <name val="Calibri"/>
      <family val="2"/>
      <scheme val="minor"/>
    </font>
    <font>
      <sz val="10"/>
      <name val="Arial"/>
      <family val="2"/>
    </font>
    <font>
      <sz val="12"/>
      <name val="Arial"/>
      <family val="2"/>
    </font>
    <font>
      <i/>
      <sz val="12"/>
      <name val="Arial"/>
      <family val="2"/>
    </font>
    <font>
      <b/>
      <sz val="12"/>
      <name val="Arial"/>
      <family val="2"/>
    </font>
    <font>
      <b/>
      <sz val="11"/>
      <color theme="0"/>
      <name val="Arial"/>
      <family val="2"/>
    </font>
    <font>
      <b/>
      <sz val="10"/>
      <name val="Arial"/>
      <family val="2"/>
    </font>
    <font>
      <i/>
      <sz val="10"/>
      <name val="Arial"/>
      <family val="2"/>
    </font>
    <font>
      <b/>
      <sz val="10"/>
      <color rgb="FFFF0000"/>
      <name val="Calibri"/>
      <family val="2"/>
      <scheme val="minor"/>
    </font>
    <font>
      <b/>
      <sz val="9"/>
      <color rgb="FF000000"/>
      <name val="Arial"/>
      <family val="2"/>
    </font>
    <font>
      <b/>
      <sz val="9"/>
      <color rgb="FFFFFFFF"/>
      <name val="Arial"/>
      <family val="2"/>
    </font>
    <font>
      <b/>
      <sz val="9"/>
      <color theme="1"/>
      <name val="Arial"/>
      <family val="2"/>
    </font>
    <font>
      <b/>
      <sz val="24"/>
      <color rgb="FF92D050"/>
      <name val="Calibri"/>
      <family val="2"/>
      <scheme val="minor"/>
    </font>
    <font>
      <b/>
      <sz val="16"/>
      <color rgb="FF92D050"/>
      <name val="Calibri"/>
      <family val="2"/>
      <scheme val="minor"/>
    </font>
    <font>
      <b/>
      <sz val="22"/>
      <color rgb="FF92D050"/>
      <name val="Arial"/>
      <family val="2"/>
    </font>
    <font>
      <b/>
      <sz val="12"/>
      <color theme="0"/>
      <name val="Arial"/>
      <family val="2"/>
    </font>
    <font>
      <b/>
      <sz val="11"/>
      <name val="Calibri"/>
      <family val="2"/>
      <scheme val="minor"/>
    </font>
    <font>
      <sz val="11"/>
      <color theme="1"/>
      <name val="Calibri"/>
      <family val="2"/>
    </font>
    <font>
      <sz val="11"/>
      <color rgb="FF000000"/>
      <name val="Calibri"/>
      <family val="2"/>
    </font>
    <font>
      <b/>
      <sz val="11"/>
      <color theme="1"/>
      <name val="Calibri"/>
      <family val="2"/>
    </font>
    <font>
      <b/>
      <sz val="11"/>
      <name val="Calibri"/>
      <family val="2"/>
    </font>
    <font>
      <b/>
      <sz val="8.8000000000000007"/>
      <name val="Calibri"/>
      <family val="2"/>
    </font>
    <font>
      <sz val="10"/>
      <color rgb="FF000000"/>
      <name val="Arial"/>
      <family val="2"/>
    </font>
    <font>
      <sz val="10"/>
      <color theme="1"/>
      <name val="Calibri"/>
      <family val="2"/>
    </font>
    <font>
      <b/>
      <i/>
      <sz val="12"/>
      <color theme="1"/>
      <name val="Arial"/>
      <family val="2"/>
    </font>
    <font>
      <sz val="11"/>
      <name val="Calibri"/>
      <family val="2"/>
      <scheme val="minor"/>
    </font>
    <font>
      <sz val="12"/>
      <color rgb="FF000000"/>
      <name val="Times New Roman"/>
      <family val="1"/>
    </font>
    <font>
      <b/>
      <sz val="9"/>
      <name val="Calibri"/>
      <family val="2"/>
      <scheme val="minor"/>
    </font>
    <font>
      <b/>
      <sz val="8"/>
      <color theme="1"/>
      <name val="Arial"/>
      <family val="2"/>
    </font>
    <font>
      <sz val="10"/>
      <color rgb="FFC00000"/>
      <name val="Calibri"/>
      <family val="2"/>
      <scheme val="minor"/>
    </font>
    <font>
      <b/>
      <sz val="10"/>
      <color rgb="FF000000"/>
      <name val="Calibri"/>
      <family val="2"/>
    </font>
    <font>
      <sz val="10"/>
      <color rgb="FF000000"/>
      <name val="Calibri"/>
      <family val="2"/>
    </font>
    <font>
      <b/>
      <sz val="11"/>
      <color rgb="FF000000"/>
      <name val="Calibri"/>
      <family val="2"/>
    </font>
    <font>
      <sz val="10"/>
      <color rgb="FF000000"/>
      <name val="Calibri"/>
      <family val="2"/>
      <scheme val="minor"/>
    </font>
    <font>
      <b/>
      <u/>
      <sz val="12"/>
      <color theme="0"/>
      <name val="Calibri"/>
      <family val="2"/>
      <scheme val="minor"/>
    </font>
    <font>
      <sz val="16"/>
      <color theme="1"/>
      <name val="Arial"/>
      <family val="2"/>
    </font>
    <font>
      <b/>
      <sz val="12"/>
      <color theme="1"/>
      <name val="Calibri"/>
      <family val="2"/>
    </font>
    <font>
      <sz val="9"/>
      <color theme="1"/>
      <name val="Arial"/>
      <family val="2"/>
    </font>
    <font>
      <i/>
      <sz val="9"/>
      <color theme="1"/>
      <name val="Arial"/>
      <family val="2"/>
    </font>
    <font>
      <i/>
      <sz val="11"/>
      <color theme="1"/>
      <name val="Calibri"/>
      <family val="2"/>
      <scheme val="minor"/>
    </font>
    <font>
      <b/>
      <i/>
      <sz val="1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rgb="FF0070C0"/>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85200C"/>
        <bgColor indexed="64"/>
      </patternFill>
    </fill>
    <fill>
      <patternFill patternType="solid">
        <fgColor rgb="FFD9D9D9"/>
        <bgColor indexed="64"/>
      </patternFill>
    </fill>
    <fill>
      <patternFill patternType="solid">
        <fgColor theme="0" tint="-0.249977111117893"/>
        <bgColor indexed="64"/>
      </patternFill>
    </fill>
    <fill>
      <patternFill patternType="solid">
        <fgColor rgb="FFF20000"/>
        <bgColor indexed="64"/>
      </patternFill>
    </fill>
    <fill>
      <patternFill patternType="solid">
        <fgColor rgb="FF00B050"/>
        <bgColor indexed="64"/>
      </patternFill>
    </fill>
    <fill>
      <patternFill patternType="solid">
        <fgColor theme="6" tint="0.59999389629810485"/>
        <bgColor indexed="64"/>
      </patternFill>
    </fill>
    <fill>
      <patternFill patternType="solid">
        <fgColor rgb="FFACEAC8"/>
        <bgColor indexed="64"/>
      </patternFill>
    </fill>
    <fill>
      <patternFill patternType="solid">
        <fgColor rgb="FFFFFF66"/>
        <bgColor indexed="64"/>
      </patternFill>
    </fill>
    <fill>
      <patternFill patternType="solid">
        <fgColor rgb="FFEE8A04"/>
        <bgColor indexed="64"/>
      </patternFill>
    </fill>
    <fill>
      <patternFill patternType="solid">
        <fgColor rgb="FFA61C00"/>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rgb="FF8BE7B7"/>
        <bgColor indexed="64"/>
      </patternFill>
    </fill>
    <fill>
      <patternFill patternType="solid">
        <fgColor theme="8" tint="-0.249977111117893"/>
        <bgColor indexed="64"/>
      </patternFill>
    </fill>
    <fill>
      <patternFill patternType="solid">
        <fgColor rgb="FFC00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theme="6" tint="0.79998168889431442"/>
        <bgColor indexed="64"/>
      </patternFill>
    </fill>
    <fill>
      <patternFill patternType="solid">
        <fgColor theme="9" tint="0.59999389629810485"/>
        <bgColor indexed="64"/>
      </patternFill>
    </fill>
  </fills>
  <borders count="1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rgb="FFFF0000"/>
      </left>
      <right style="thin">
        <color rgb="FFFF0000"/>
      </right>
      <top style="thin">
        <color rgb="FFFF0000"/>
      </top>
      <bottom style="thin">
        <color rgb="FFFF0000"/>
      </bottom>
      <diagonal/>
    </border>
    <border>
      <left/>
      <right/>
      <top style="thin">
        <color indexed="64"/>
      </top>
      <bottom style="thin">
        <color indexed="64"/>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top style="medium">
        <color indexed="64"/>
      </top>
      <bottom/>
      <diagonal/>
    </border>
    <border>
      <left/>
      <right style="medium">
        <color rgb="FF000000"/>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rgb="FF000000"/>
      </right>
      <top style="medium">
        <color rgb="FFCCCCCC"/>
      </top>
      <bottom style="medium">
        <color rgb="FF000000"/>
      </bottom>
      <diagonal/>
    </border>
    <border>
      <left/>
      <right style="medium">
        <color rgb="FF000000"/>
      </right>
      <top style="medium">
        <color indexed="64"/>
      </top>
      <bottom style="medium">
        <color rgb="FF000000"/>
      </bottom>
      <diagonal/>
    </border>
    <border>
      <left style="medium">
        <color rgb="FFCCCCCC"/>
      </left>
      <right style="medium">
        <color rgb="FF000000"/>
      </right>
      <top style="medium">
        <color indexed="64"/>
      </top>
      <bottom style="medium">
        <color rgb="FF000000"/>
      </bottom>
      <diagonal/>
    </border>
    <border>
      <left style="medium">
        <color rgb="FFCCCCCC"/>
      </left>
      <right/>
      <top style="medium">
        <color indexed="64"/>
      </top>
      <bottom style="medium">
        <color rgb="FF000000"/>
      </bottom>
      <diagonal/>
    </border>
    <border>
      <left style="medium">
        <color rgb="FFCCCCCC"/>
      </left>
      <right/>
      <top style="medium">
        <color rgb="FFCCCCCC"/>
      </top>
      <bottom style="medium">
        <color rgb="FF000000"/>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thin">
        <color indexed="64"/>
      </right>
      <top/>
      <bottom/>
      <diagonal/>
    </border>
    <border>
      <left style="medium">
        <color indexed="64"/>
      </left>
      <right/>
      <top/>
      <bottom style="thin">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right/>
      <top style="medium">
        <color rgb="FF000000"/>
      </top>
      <bottom/>
      <diagonal/>
    </border>
    <border>
      <left style="medium">
        <color indexed="64"/>
      </left>
      <right style="medium">
        <color rgb="FF000000"/>
      </right>
      <top style="medium">
        <color indexed="64"/>
      </top>
      <bottom/>
      <diagonal/>
    </border>
    <border>
      <left/>
      <right style="medium">
        <color rgb="FF000000"/>
      </right>
      <top style="medium">
        <color indexed="64"/>
      </top>
      <bottom/>
      <diagonal/>
    </border>
    <border>
      <left/>
      <right style="medium">
        <color rgb="FF000000"/>
      </right>
      <top/>
      <bottom style="medium">
        <color rgb="FF000000"/>
      </bottom>
      <diagonal/>
    </border>
    <border>
      <left/>
      <right style="medium">
        <color indexed="64"/>
      </right>
      <top/>
      <bottom style="medium">
        <color rgb="FF000000"/>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rgb="FF000000"/>
      </left>
      <right/>
      <top style="medium">
        <color rgb="FF000000"/>
      </top>
      <bottom style="medium">
        <color indexed="64"/>
      </bottom>
      <diagonal/>
    </border>
    <border>
      <left/>
      <right/>
      <top style="medium">
        <color rgb="FF000000"/>
      </top>
      <bottom style="medium">
        <color indexed="64"/>
      </bottom>
      <diagonal/>
    </border>
    <border>
      <left/>
      <right style="medium">
        <color rgb="FF000000"/>
      </right>
      <top style="medium">
        <color rgb="FFCCCCCC"/>
      </top>
      <bottom/>
      <diagonal/>
    </border>
    <border>
      <left style="medium">
        <color rgb="FFCCCCCC"/>
      </left>
      <right style="medium">
        <color rgb="FF000000"/>
      </right>
      <top style="medium">
        <color rgb="FFCCCCCC"/>
      </top>
      <bottom/>
      <diagonal/>
    </border>
    <border>
      <left style="medium">
        <color rgb="FFCCCCCC"/>
      </left>
      <right style="medium">
        <color rgb="FF000000"/>
      </right>
      <top/>
      <bottom style="medium">
        <color rgb="FF000000"/>
      </bottom>
      <diagonal/>
    </border>
    <border>
      <left style="medium">
        <color rgb="FFCCCCCC"/>
      </left>
      <right style="medium">
        <color rgb="FFCCCCCC"/>
      </right>
      <top style="medium">
        <color rgb="FFCCCCCC"/>
      </top>
      <bottom style="medium">
        <color rgb="FFCCCCCC"/>
      </bottom>
      <diagonal/>
    </border>
    <border>
      <left/>
      <right/>
      <top style="medium">
        <color rgb="FF000000"/>
      </top>
      <bottom style="thin">
        <color indexed="64"/>
      </bottom>
      <diagonal/>
    </border>
    <border>
      <left/>
      <right style="thin">
        <color indexed="64"/>
      </right>
      <top style="medium">
        <color rgb="FF000000"/>
      </top>
      <bottom style="thin">
        <color indexed="64"/>
      </bottom>
      <diagonal/>
    </border>
    <border>
      <left style="thin">
        <color indexed="64"/>
      </left>
      <right style="medium">
        <color indexed="64"/>
      </right>
      <top/>
      <bottom style="medium">
        <color indexed="64"/>
      </bottom>
      <diagonal/>
    </border>
    <border>
      <left style="medium">
        <color indexed="64"/>
      </left>
      <right style="medium">
        <color rgb="FFCCCCCC"/>
      </right>
      <top/>
      <bottom style="medium">
        <color indexed="64"/>
      </bottom>
      <diagonal/>
    </border>
    <border>
      <left style="medium">
        <color rgb="FFCCCCCC"/>
      </left>
      <right style="medium">
        <color rgb="FFCCCCCC"/>
      </right>
      <top/>
      <bottom style="medium">
        <color indexed="64"/>
      </bottom>
      <diagonal/>
    </border>
    <border>
      <left style="medium">
        <color indexed="64"/>
      </left>
      <right style="thin">
        <color indexed="64"/>
      </right>
      <top/>
      <bottom style="medium">
        <color indexed="64"/>
      </bottom>
      <diagonal/>
    </border>
    <border>
      <left style="medium">
        <color rgb="FFCCCCCC"/>
      </left>
      <right style="medium">
        <color indexed="64"/>
      </right>
      <top/>
      <bottom style="medium">
        <color indexed="64"/>
      </bottom>
      <diagonal/>
    </border>
    <border>
      <left/>
      <right style="medium">
        <color rgb="FFCCCCCC"/>
      </right>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medium">
        <color indexed="64"/>
      </left>
      <right/>
      <top/>
      <bottom style="medium">
        <color rgb="FF000000"/>
      </bottom>
      <diagonal/>
    </border>
    <border>
      <left style="medium">
        <color indexed="64"/>
      </left>
      <right style="medium">
        <color rgb="FF000000"/>
      </right>
      <top/>
      <bottom/>
      <diagonal/>
    </border>
    <border>
      <left/>
      <right style="medium">
        <color rgb="FF000000"/>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rgb="FFCCCCCC"/>
      </right>
      <top style="medium">
        <color rgb="FFCCCCCC"/>
      </top>
      <bottom/>
      <diagonal/>
    </border>
    <border>
      <left style="medium">
        <color indexed="64"/>
      </left>
      <right style="medium">
        <color rgb="FFCCCCCC"/>
      </right>
      <top/>
      <bottom/>
      <diagonal/>
    </border>
    <border>
      <left style="thin">
        <color indexed="64"/>
      </left>
      <right style="medium">
        <color indexed="64"/>
      </right>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rgb="FFCCCCCC"/>
      </right>
      <top style="medium">
        <color rgb="FF000000"/>
      </top>
      <bottom style="medium">
        <color rgb="FF000000"/>
      </bottom>
      <diagonal/>
    </border>
    <border>
      <left style="thin">
        <color indexed="64"/>
      </left>
      <right style="thin">
        <color indexed="64"/>
      </right>
      <top/>
      <bottom style="medium">
        <color rgb="FFCCCCCC"/>
      </bottom>
      <diagonal/>
    </border>
    <border>
      <left/>
      <right/>
      <top style="medium">
        <color rgb="FFCCCCCC"/>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rgb="FFCCCCCC"/>
      </left>
      <right/>
      <top/>
      <bottom style="medium">
        <color rgb="FF000000"/>
      </bottom>
      <diagonal/>
    </border>
    <border>
      <left style="medium">
        <color indexed="64"/>
      </left>
      <right style="medium">
        <color rgb="FF000000"/>
      </right>
      <top style="medium">
        <color indexed="64"/>
      </top>
      <bottom style="medium">
        <color indexed="64"/>
      </bottom>
      <diagonal/>
    </border>
    <border>
      <left style="medium">
        <color rgb="FFCCCCCC"/>
      </left>
      <right style="medium">
        <color rgb="FF000000"/>
      </right>
      <top style="medium">
        <color indexed="64"/>
      </top>
      <bottom style="medium">
        <color indexed="64"/>
      </bottom>
      <diagonal/>
    </border>
    <border>
      <left/>
      <right style="medium">
        <color rgb="FF000000"/>
      </right>
      <top style="medium">
        <color indexed="64"/>
      </top>
      <bottom style="medium">
        <color indexed="64"/>
      </bottom>
      <diagonal/>
    </border>
    <border>
      <left style="medium">
        <color rgb="FF000000"/>
      </left>
      <right/>
      <top style="medium">
        <color rgb="FFCCCCCC"/>
      </top>
      <bottom/>
      <diagonal/>
    </border>
    <border>
      <left style="medium">
        <color rgb="FF000000"/>
      </left>
      <right/>
      <top/>
      <bottom style="medium">
        <color rgb="FFCCCCCC"/>
      </bottom>
      <diagonal/>
    </border>
    <border>
      <left/>
      <right/>
      <top/>
      <bottom style="medium">
        <color rgb="FFCCCCCC"/>
      </bottom>
      <diagonal/>
    </border>
    <border>
      <left/>
      <right style="medium">
        <color rgb="FF000000"/>
      </right>
      <top style="medium">
        <color rgb="FF000000"/>
      </top>
      <bottom/>
      <diagonal/>
    </border>
    <border>
      <left/>
      <right style="thin">
        <color indexed="64"/>
      </right>
      <top style="thin">
        <color indexed="64"/>
      </top>
      <bottom style="medium">
        <color indexed="64"/>
      </bottom>
      <diagonal/>
    </border>
  </borders>
  <cellStyleXfs count="14">
    <xf numFmtId="0" fontId="0" fillId="0" borderId="0"/>
    <xf numFmtId="164" fontId="33" fillId="0" borderId="0" applyFont="0" applyFill="0" applyBorder="0" applyAlignment="0" applyProtection="0"/>
    <xf numFmtId="9" fontId="33" fillId="0" borderId="0" applyFont="0" applyFill="0" applyBorder="0" applyAlignment="0" applyProtection="0"/>
    <xf numFmtId="43" fontId="33" fillId="0" borderId="0" applyFont="0" applyFill="0" applyBorder="0" applyAlignment="0" applyProtection="0"/>
    <xf numFmtId="0" fontId="56" fillId="0" borderId="0"/>
    <xf numFmtId="0" fontId="10" fillId="0" borderId="0"/>
    <xf numFmtId="0" fontId="9" fillId="0" borderId="0"/>
    <xf numFmtId="0" fontId="8" fillId="0" borderId="0"/>
    <xf numFmtId="0" fontId="7" fillId="0" borderId="0"/>
    <xf numFmtId="0" fontId="7" fillId="0" borderId="0"/>
    <xf numFmtId="0" fontId="6" fillId="0" borderId="0"/>
    <xf numFmtId="0" fontId="5" fillId="0" borderId="0"/>
    <xf numFmtId="0" fontId="4" fillId="0" borderId="0"/>
    <xf numFmtId="0" fontId="2" fillId="0" borderId="0"/>
  </cellStyleXfs>
  <cellXfs count="550">
    <xf numFmtId="0" fontId="0" fillId="0" borderId="0" xfId="0"/>
    <xf numFmtId="0" fontId="11" fillId="0" borderId="0" xfId="0" applyFont="1"/>
    <xf numFmtId="3" fontId="11" fillId="0" borderId="0" xfId="0" applyNumberFormat="1" applyFont="1"/>
    <xf numFmtId="0" fontId="11" fillId="0" borderId="0" xfId="0" applyFont="1" applyFill="1"/>
    <xf numFmtId="0" fontId="14" fillId="0" borderId="0" xfId="0" applyFont="1" applyFill="1" applyAlignment="1">
      <alignment horizontal="center" vertical="center" wrapText="1"/>
    </xf>
    <xf numFmtId="0" fontId="14" fillId="0" borderId="0" xfId="0" applyFont="1" applyAlignment="1">
      <alignment horizontal="center" vertical="center" wrapText="1"/>
    </xf>
    <xf numFmtId="0" fontId="15" fillId="0" borderId="0" xfId="0" applyFont="1" applyFill="1" applyAlignment="1">
      <alignment horizontal="center" vertical="center" wrapText="1"/>
    </xf>
    <xf numFmtId="0" fontId="12" fillId="0" borderId="0" xfId="0" applyFont="1" applyFill="1" applyAlignment="1">
      <alignment horizontal="center" vertical="center"/>
    </xf>
    <xf numFmtId="0" fontId="13" fillId="0" borderId="0" xfId="0" applyFont="1" applyFill="1"/>
    <xf numFmtId="0" fontId="13" fillId="0" borderId="0" xfId="0" applyFont="1"/>
    <xf numFmtId="0" fontId="17" fillId="0" borderId="0" xfId="0" applyFont="1"/>
    <xf numFmtId="0" fontId="0" fillId="2" borderId="0" xfId="0" applyFill="1"/>
    <xf numFmtId="0" fontId="19" fillId="0" borderId="0" xfId="0" applyFont="1"/>
    <xf numFmtId="0" fontId="20" fillId="0" borderId="0" xfId="0" applyFont="1"/>
    <xf numFmtId="0" fontId="19" fillId="0" borderId="0" xfId="0" applyFont="1" applyAlignment="1">
      <alignment wrapText="1"/>
    </xf>
    <xf numFmtId="0" fontId="19" fillId="3" borderId="1" xfId="0" applyFont="1" applyFill="1" applyBorder="1"/>
    <xf numFmtId="3" fontId="19" fillId="3" borderId="1" xfId="0" applyNumberFormat="1" applyFont="1" applyFill="1" applyBorder="1"/>
    <xf numFmtId="0" fontId="19" fillId="3" borderId="7" xfId="0" applyFont="1" applyFill="1" applyBorder="1"/>
    <xf numFmtId="3" fontId="19" fillId="3" borderId="7" xfId="0" applyNumberFormat="1" applyFont="1" applyFill="1" applyBorder="1"/>
    <xf numFmtId="0" fontId="19" fillId="3" borderId="3" xfId="0" applyFont="1" applyFill="1" applyBorder="1"/>
    <xf numFmtId="0" fontId="23" fillId="0" borderId="4" xfId="0" applyFont="1" applyBorder="1" applyAlignment="1">
      <alignment wrapText="1"/>
    </xf>
    <xf numFmtId="0" fontId="19" fillId="3" borderId="9" xfId="0" applyFont="1" applyFill="1" applyBorder="1"/>
    <xf numFmtId="0" fontId="19" fillId="3" borderId="11" xfId="0" applyFont="1" applyFill="1" applyBorder="1"/>
    <xf numFmtId="0" fontId="19" fillId="3" borderId="8" xfId="0" applyFont="1" applyFill="1" applyBorder="1"/>
    <xf numFmtId="0" fontId="23" fillId="0" borderId="6" xfId="0" applyFont="1" applyBorder="1" applyAlignment="1">
      <alignment wrapText="1"/>
    </xf>
    <xf numFmtId="0" fontId="19" fillId="3" borderId="12" xfId="0" applyFont="1" applyFill="1" applyBorder="1"/>
    <xf numFmtId="3" fontId="19" fillId="3" borderId="10" xfId="0" applyNumberFormat="1" applyFont="1" applyFill="1" applyBorder="1"/>
    <xf numFmtId="0" fontId="19" fillId="3" borderId="2" xfId="0" applyFont="1" applyFill="1" applyBorder="1"/>
    <xf numFmtId="0" fontId="20" fillId="3" borderId="10" xfId="0" applyFont="1" applyFill="1" applyBorder="1"/>
    <xf numFmtId="3" fontId="19" fillId="3" borderId="2" xfId="0" applyNumberFormat="1" applyFont="1" applyFill="1" applyBorder="1"/>
    <xf numFmtId="0" fontId="22" fillId="6" borderId="16" xfId="0" applyFont="1" applyFill="1" applyBorder="1" applyAlignment="1">
      <alignment horizontal="center" wrapText="1"/>
    </xf>
    <xf numFmtId="0" fontId="22" fillId="6" borderId="17" xfId="0" applyFont="1" applyFill="1" applyBorder="1" applyAlignment="1">
      <alignment horizontal="center" wrapText="1"/>
    </xf>
    <xf numFmtId="0" fontId="22" fillId="6" borderId="18" xfId="0" applyFont="1" applyFill="1" applyBorder="1" applyAlignment="1">
      <alignment horizontal="center" wrapText="1"/>
    </xf>
    <xf numFmtId="0" fontId="24" fillId="6" borderId="16" xfId="0" applyFont="1" applyFill="1" applyBorder="1" applyAlignment="1">
      <alignment horizontal="center" wrapText="1"/>
    </xf>
    <xf numFmtId="0" fontId="24" fillId="6" borderId="17" xfId="0" applyFont="1" applyFill="1" applyBorder="1" applyAlignment="1">
      <alignment horizontal="center" wrapText="1"/>
    </xf>
    <xf numFmtId="3" fontId="20" fillId="3" borderId="15" xfId="0" applyNumberFormat="1" applyFont="1" applyFill="1" applyBorder="1"/>
    <xf numFmtId="3" fontId="20" fillId="3" borderId="2" xfId="0" applyNumberFormat="1" applyFont="1" applyFill="1" applyBorder="1"/>
    <xf numFmtId="3" fontId="20" fillId="3" borderId="13" xfId="0" applyNumberFormat="1" applyFont="1" applyFill="1" applyBorder="1"/>
    <xf numFmtId="3" fontId="20" fillId="3" borderId="14" xfId="0" applyNumberFormat="1" applyFont="1" applyFill="1" applyBorder="1"/>
    <xf numFmtId="166" fontId="19" fillId="3" borderId="9" xfId="0" applyNumberFormat="1" applyFont="1" applyFill="1" applyBorder="1"/>
    <xf numFmtId="3" fontId="20" fillId="3" borderId="9" xfId="0" applyNumberFormat="1" applyFont="1" applyFill="1" applyBorder="1"/>
    <xf numFmtId="3" fontId="20" fillId="3" borderId="3" xfId="0" applyNumberFormat="1" applyFont="1" applyFill="1" applyBorder="1"/>
    <xf numFmtId="0" fontId="19" fillId="3" borderId="1" xfId="0" applyFont="1" applyFill="1" applyBorder="1" applyAlignment="1">
      <alignment wrapText="1"/>
    </xf>
    <xf numFmtId="0" fontId="24" fillId="6" borderId="18" xfId="0" applyFont="1" applyFill="1" applyBorder="1" applyAlignment="1">
      <alignment horizontal="center" wrapText="1"/>
    </xf>
    <xf numFmtId="3" fontId="20" fillId="3" borderId="19" xfId="0" applyNumberFormat="1" applyFont="1" applyFill="1" applyBorder="1"/>
    <xf numFmtId="0" fontId="22" fillId="6" borderId="1" xfId="0" applyFont="1" applyFill="1" applyBorder="1" applyAlignment="1">
      <alignment horizontal="center" wrapText="1"/>
    </xf>
    <xf numFmtId="0" fontId="18" fillId="3" borderId="2" xfId="0" applyFont="1" applyFill="1" applyBorder="1"/>
    <xf numFmtId="0" fontId="23" fillId="3" borderId="1" xfId="0" applyFont="1" applyFill="1" applyBorder="1" applyAlignment="1">
      <alignment wrapText="1"/>
    </xf>
    <xf numFmtId="0" fontId="18" fillId="3" borderId="1" xfId="0" applyFont="1" applyFill="1" applyBorder="1" applyAlignment="1">
      <alignment wrapText="1"/>
    </xf>
    <xf numFmtId="9" fontId="11" fillId="0" borderId="0" xfId="0" applyNumberFormat="1" applyFont="1" applyBorder="1"/>
    <xf numFmtId="0" fontId="28" fillId="2" borderId="0" xfId="0" applyFont="1" applyFill="1"/>
    <xf numFmtId="0" fontId="31" fillId="0" borderId="0" xfId="0" applyFont="1"/>
    <xf numFmtId="0" fontId="31" fillId="0" borderId="1" xfId="0" applyFont="1" applyBorder="1" applyAlignment="1">
      <alignment wrapText="1"/>
    </xf>
    <xf numFmtId="0" fontId="27" fillId="5" borderId="1" xfId="0" applyFont="1" applyFill="1" applyBorder="1" applyAlignment="1">
      <alignment horizontal="center" vertical="center" wrapText="1"/>
    </xf>
    <xf numFmtId="165" fontId="19" fillId="9" borderId="1" xfId="0" applyNumberFormat="1" applyFont="1" applyFill="1" applyBorder="1" applyAlignment="1">
      <alignment horizontal="center" vertical="center"/>
    </xf>
    <xf numFmtId="165" fontId="19" fillId="9" borderId="25" xfId="0" applyNumberFormat="1" applyFont="1" applyFill="1" applyBorder="1" applyAlignment="1">
      <alignment horizontal="center" vertical="center"/>
    </xf>
    <xf numFmtId="0" fontId="13" fillId="0" borderId="0" xfId="0" applyFont="1" applyAlignment="1">
      <alignment wrapText="1"/>
    </xf>
    <xf numFmtId="0" fontId="31" fillId="0" borderId="0" xfId="0" applyFont="1" applyBorder="1" applyAlignment="1">
      <alignment wrapText="1"/>
    </xf>
    <xf numFmtId="0" fontId="31" fillId="0" borderId="3" xfId="0" applyFont="1" applyBorder="1" applyAlignment="1">
      <alignment wrapText="1"/>
    </xf>
    <xf numFmtId="0" fontId="31" fillId="0" borderId="0" xfId="0" applyFont="1" applyBorder="1"/>
    <xf numFmtId="0" fontId="29" fillId="7" borderId="3" xfId="0" applyFont="1" applyFill="1" applyBorder="1" applyAlignment="1">
      <alignment horizontal="center" vertical="center" wrapText="1"/>
    </xf>
    <xf numFmtId="0" fontId="30" fillId="8" borderId="27" xfId="0" applyFont="1" applyFill="1" applyBorder="1" applyAlignment="1">
      <alignment horizontal="center" vertical="center" wrapText="1"/>
    </xf>
    <xf numFmtId="0" fontId="30" fillId="8" borderId="28" xfId="0" applyFont="1" applyFill="1" applyBorder="1" applyAlignment="1">
      <alignment horizontal="center" vertical="center" wrapText="1"/>
    </xf>
    <xf numFmtId="0" fontId="30" fillId="8" borderId="29" xfId="0" applyFont="1" applyFill="1" applyBorder="1" applyAlignment="1">
      <alignment horizontal="center" vertical="center" wrapText="1"/>
    </xf>
    <xf numFmtId="0" fontId="31" fillId="0" borderId="13" xfId="0" applyFont="1" applyBorder="1" applyAlignment="1">
      <alignment wrapText="1"/>
    </xf>
    <xf numFmtId="0" fontId="31" fillId="0" borderId="24" xfId="0" applyFont="1" applyBorder="1" applyAlignment="1">
      <alignment wrapText="1"/>
    </xf>
    <xf numFmtId="0" fontId="31" fillId="0" borderId="14" xfId="0" applyFont="1" applyBorder="1" applyAlignment="1">
      <alignment wrapText="1"/>
    </xf>
    <xf numFmtId="0" fontId="31" fillId="0" borderId="21" xfId="0" applyFont="1" applyBorder="1" applyAlignment="1">
      <alignment wrapText="1"/>
    </xf>
    <xf numFmtId="0" fontId="31" fillId="0" borderId="25" xfId="0" applyFont="1" applyBorder="1" applyAlignment="1">
      <alignment wrapText="1"/>
    </xf>
    <xf numFmtId="0" fontId="31" fillId="0" borderId="27" xfId="0" applyFont="1" applyBorder="1" applyAlignment="1">
      <alignment wrapText="1"/>
    </xf>
    <xf numFmtId="0" fontId="31" fillId="0" borderId="28" xfId="0" applyFont="1" applyBorder="1" applyAlignment="1">
      <alignment wrapText="1"/>
    </xf>
    <xf numFmtId="0" fontId="31" fillId="0" borderId="29" xfId="0" applyFont="1" applyBorder="1" applyAlignment="1">
      <alignment wrapText="1"/>
    </xf>
    <xf numFmtId="0" fontId="37" fillId="0" borderId="1" xfId="0" applyFont="1" applyBorder="1" applyAlignment="1">
      <alignment horizontal="center" vertical="center" wrapText="1"/>
    </xf>
    <xf numFmtId="0" fontId="15" fillId="11" borderId="11" xfId="0" applyFont="1" applyFill="1" applyBorder="1" applyAlignment="1">
      <alignment horizontal="center" vertical="center" wrapText="1"/>
    </xf>
    <xf numFmtId="3" fontId="16" fillId="11" borderId="11" xfId="0" applyNumberFormat="1" applyFont="1" applyFill="1" applyBorder="1" applyAlignment="1">
      <alignment horizontal="center" vertical="center" wrapText="1"/>
    </xf>
    <xf numFmtId="0" fontId="43" fillId="0" borderId="1" xfId="0" applyFont="1" applyBorder="1" applyAlignment="1">
      <alignment horizontal="center" vertical="center" wrapText="1"/>
    </xf>
    <xf numFmtId="0" fontId="37" fillId="0" borderId="1" xfId="0" applyFont="1" applyBorder="1" applyAlignment="1">
      <alignment wrapText="1"/>
    </xf>
    <xf numFmtId="0" fontId="44" fillId="0" borderId="1" xfId="0" applyFont="1" applyBorder="1" applyAlignment="1">
      <alignment wrapText="1"/>
    </xf>
    <xf numFmtId="0" fontId="44" fillId="17" borderId="1" xfId="0" applyFont="1" applyFill="1" applyBorder="1" applyAlignment="1">
      <alignment wrapText="1"/>
    </xf>
    <xf numFmtId="0" fontId="44" fillId="17" borderId="24" xfId="0" applyFont="1" applyFill="1" applyBorder="1" applyAlignment="1">
      <alignment wrapText="1"/>
    </xf>
    <xf numFmtId="0" fontId="44" fillId="17" borderId="13" xfId="0" applyFont="1" applyFill="1" applyBorder="1" applyAlignment="1">
      <alignment wrapText="1"/>
    </xf>
    <xf numFmtId="0" fontId="45" fillId="0" borderId="1" xfId="0" applyFont="1" applyBorder="1" applyAlignment="1">
      <alignment wrapText="1"/>
    </xf>
    <xf numFmtId="0" fontId="45" fillId="0" borderId="24" xfId="0" applyFont="1" applyBorder="1" applyAlignment="1">
      <alignment wrapText="1"/>
    </xf>
    <xf numFmtId="0" fontId="31" fillId="0" borderId="8" xfId="0" applyFont="1" applyBorder="1" applyAlignment="1">
      <alignment wrapText="1"/>
    </xf>
    <xf numFmtId="0" fontId="46" fillId="0" borderId="1" xfId="0" applyFont="1" applyBorder="1" applyAlignment="1">
      <alignment wrapText="1"/>
    </xf>
    <xf numFmtId="0" fontId="29" fillId="18" borderId="30" xfId="0" applyFont="1" applyFill="1" applyBorder="1" applyAlignment="1">
      <alignment horizontal="center" vertical="center" wrapText="1"/>
    </xf>
    <xf numFmtId="0" fontId="42" fillId="13" borderId="12" xfId="0" applyFont="1" applyFill="1" applyBorder="1" applyAlignment="1">
      <alignment horizontal="center" vertical="center" wrapText="1"/>
    </xf>
    <xf numFmtId="0" fontId="15" fillId="11" borderId="13" xfId="0" applyFont="1" applyFill="1" applyBorder="1" applyAlignment="1">
      <alignment vertical="center" wrapText="1"/>
    </xf>
    <xf numFmtId="3" fontId="13" fillId="9" borderId="38" xfId="0" applyNumberFormat="1" applyFont="1" applyFill="1" applyBorder="1" applyAlignment="1">
      <alignment horizontal="right" vertical="center"/>
    </xf>
    <xf numFmtId="0" fontId="12" fillId="11" borderId="1" xfId="0" applyFont="1" applyFill="1" applyBorder="1" applyAlignment="1">
      <alignment horizontal="left" vertical="center" wrapText="1"/>
    </xf>
    <xf numFmtId="0" fontId="42" fillId="18" borderId="2" xfId="0" applyFont="1" applyFill="1" applyBorder="1" applyAlignment="1">
      <alignment horizontal="center" vertical="center" wrapText="1"/>
    </xf>
    <xf numFmtId="3" fontId="12" fillId="11" borderId="1" xfId="0" applyNumberFormat="1" applyFont="1" applyFill="1" applyBorder="1" applyAlignment="1">
      <alignment horizontal="right" vertical="center" wrapText="1"/>
    </xf>
    <xf numFmtId="3" fontId="13" fillId="2" borderId="1" xfId="0" applyNumberFormat="1" applyFont="1" applyFill="1" applyBorder="1"/>
    <xf numFmtId="165" fontId="11" fillId="9" borderId="1" xfId="0" applyNumberFormat="1" applyFont="1" applyFill="1" applyBorder="1"/>
    <xf numFmtId="165" fontId="11" fillId="9" borderId="7" xfId="0" applyNumberFormat="1" applyFont="1" applyFill="1" applyBorder="1"/>
    <xf numFmtId="165" fontId="11" fillId="9" borderId="11" xfId="0" applyNumberFormat="1" applyFont="1" applyFill="1" applyBorder="1"/>
    <xf numFmtId="0" fontId="42" fillId="18" borderId="12" xfId="0" applyFont="1" applyFill="1" applyBorder="1" applyAlignment="1">
      <alignment horizontal="center" vertical="center" wrapText="1"/>
    </xf>
    <xf numFmtId="0" fontId="52" fillId="11" borderId="1" xfId="0" applyFont="1" applyFill="1" applyBorder="1" applyAlignment="1">
      <alignment horizontal="center" vertical="center" wrapText="1"/>
    </xf>
    <xf numFmtId="3" fontId="51" fillId="11" borderId="1" xfId="0" applyNumberFormat="1" applyFont="1" applyFill="1" applyBorder="1" applyAlignment="1">
      <alignment horizontal="center" vertical="center" wrapText="1"/>
    </xf>
    <xf numFmtId="0" fontId="14" fillId="19" borderId="1" xfId="0" applyFont="1" applyFill="1" applyBorder="1" applyAlignment="1">
      <alignment horizontal="center" vertical="center" wrapText="1"/>
    </xf>
    <xf numFmtId="0" fontId="27" fillId="19" borderId="1" xfId="0" applyFont="1" applyFill="1" applyBorder="1" applyAlignment="1">
      <alignment horizontal="center" vertical="center" wrapText="1"/>
    </xf>
    <xf numFmtId="165" fontId="11" fillId="9" borderId="7" xfId="0" applyNumberFormat="1" applyFont="1" applyFill="1" applyBorder="1" applyAlignment="1">
      <alignment horizontal="right"/>
    </xf>
    <xf numFmtId="3" fontId="13" fillId="11" borderId="3" xfId="0" applyNumberFormat="1" applyFont="1" applyFill="1" applyBorder="1" applyAlignment="1">
      <alignment vertical="center" wrapText="1"/>
    </xf>
    <xf numFmtId="3" fontId="13" fillId="11" borderId="5" xfId="0" applyNumberFormat="1" applyFont="1" applyFill="1" applyBorder="1" applyAlignment="1">
      <alignment vertical="center" wrapText="1"/>
    </xf>
    <xf numFmtId="0" fontId="49" fillId="10" borderId="37" xfId="0" applyFont="1" applyFill="1" applyBorder="1" applyAlignment="1">
      <alignment horizontal="center" vertical="center" wrapText="1"/>
    </xf>
    <xf numFmtId="0" fontId="57" fillId="9" borderId="11" xfId="0" applyFont="1" applyFill="1" applyBorder="1" applyAlignment="1">
      <alignment horizontal="left" vertical="center"/>
    </xf>
    <xf numFmtId="0" fontId="57" fillId="9" borderId="11" xfId="0" applyFont="1" applyFill="1" applyBorder="1" applyAlignment="1">
      <alignment horizontal="left"/>
    </xf>
    <xf numFmtId="0" fontId="58" fillId="11" borderId="39" xfId="0" applyFont="1" applyFill="1" applyBorder="1" applyAlignment="1">
      <alignment horizontal="center" vertical="center" wrapText="1"/>
    </xf>
    <xf numFmtId="167" fontId="59" fillId="3" borderId="40" xfId="1" applyNumberFormat="1" applyFont="1" applyFill="1" applyBorder="1" applyAlignment="1">
      <alignment horizontal="center" vertical="center" wrapText="1"/>
    </xf>
    <xf numFmtId="0" fontId="13" fillId="10" borderId="47" xfId="0" applyFont="1" applyFill="1" applyBorder="1" applyAlignment="1">
      <alignment horizontal="left" vertical="center" wrapText="1"/>
    </xf>
    <xf numFmtId="0" fontId="13" fillId="10" borderId="48" xfId="0" applyFont="1" applyFill="1" applyBorder="1" applyAlignment="1">
      <alignment horizontal="left" vertical="center" wrapText="1"/>
    </xf>
    <xf numFmtId="3" fontId="11" fillId="10" borderId="3" xfId="0" applyNumberFormat="1" applyFont="1" applyFill="1" applyBorder="1" applyAlignment="1">
      <alignment horizontal="left" vertical="center" wrapText="1"/>
    </xf>
    <xf numFmtId="0" fontId="11" fillId="0" borderId="0" xfId="0" applyFont="1" applyAlignment="1">
      <alignment horizontal="left"/>
    </xf>
    <xf numFmtId="0" fontId="42" fillId="13" borderId="30" xfId="0" applyFont="1" applyFill="1" applyBorder="1" applyAlignment="1">
      <alignment vertical="center" wrapText="1"/>
    </xf>
    <xf numFmtId="0" fontId="69" fillId="0" borderId="0" xfId="5" applyFont="1" applyAlignment="1">
      <alignment vertical="center"/>
    </xf>
    <xf numFmtId="0" fontId="49" fillId="13" borderId="12" xfId="0" applyFont="1" applyFill="1" applyBorder="1" applyAlignment="1">
      <alignment horizontal="center" vertical="center" wrapText="1"/>
    </xf>
    <xf numFmtId="3" fontId="16" fillId="11" borderId="11" xfId="4" applyNumberFormat="1" applyFont="1" applyFill="1" applyBorder="1" applyAlignment="1">
      <alignment horizontal="center" vertical="center" wrapText="1"/>
    </xf>
    <xf numFmtId="165" fontId="11" fillId="9" borderId="11" xfId="4" applyNumberFormat="1" applyFont="1" applyFill="1" applyBorder="1"/>
    <xf numFmtId="165" fontId="11" fillId="9" borderId="1" xfId="4" applyNumberFormat="1" applyFont="1" applyFill="1" applyBorder="1" applyAlignment="1">
      <alignment horizontal="left"/>
    </xf>
    <xf numFmtId="3" fontId="16" fillId="11" borderId="12" xfId="4" applyNumberFormat="1" applyFont="1" applyFill="1" applyBorder="1" applyAlignment="1">
      <alignment horizontal="center" vertical="center" wrapText="1"/>
    </xf>
    <xf numFmtId="165" fontId="63" fillId="9" borderId="1" xfId="4" applyNumberFormat="1" applyFont="1" applyFill="1" applyBorder="1" applyAlignment="1">
      <alignment horizontal="left"/>
    </xf>
    <xf numFmtId="0" fontId="42" fillId="10" borderId="11" xfId="0" applyFont="1" applyFill="1" applyBorder="1" applyAlignment="1">
      <alignment horizontal="center" vertical="center" wrapText="1"/>
    </xf>
    <xf numFmtId="3" fontId="13" fillId="9" borderId="51" xfId="0" applyNumberFormat="1" applyFont="1" applyFill="1" applyBorder="1" applyAlignment="1">
      <alignment horizontal="right" vertical="center"/>
    </xf>
    <xf numFmtId="0" fontId="27" fillId="24" borderId="1" xfId="0" applyFont="1" applyFill="1" applyBorder="1" applyAlignment="1">
      <alignment horizontal="center" vertical="center" wrapText="1"/>
    </xf>
    <xf numFmtId="0" fontId="14" fillId="24" borderId="1" xfId="0" applyFont="1" applyFill="1" applyBorder="1" applyAlignment="1">
      <alignment horizontal="center" vertical="center" wrapText="1"/>
    </xf>
    <xf numFmtId="0" fontId="12" fillId="0" borderId="0" xfId="0" applyFont="1" applyAlignment="1">
      <alignment horizontal="center" vertical="center"/>
    </xf>
    <xf numFmtId="0" fontId="15" fillId="0" borderId="0" xfId="0" applyFont="1" applyAlignment="1">
      <alignment horizontal="center" vertical="center" wrapText="1"/>
    </xf>
    <xf numFmtId="9" fontId="71" fillId="26" borderId="13" xfId="2" applyFont="1" applyFill="1" applyBorder="1" applyAlignment="1">
      <alignment horizontal="center" vertical="center" wrapText="1"/>
    </xf>
    <xf numFmtId="0" fontId="13" fillId="16" borderId="13" xfId="0" applyFont="1" applyFill="1" applyBorder="1" applyAlignment="1">
      <alignment horizontal="right" vertical="center"/>
    </xf>
    <xf numFmtId="165" fontId="19" fillId="9" borderId="11" xfId="0" applyNumberFormat="1" applyFont="1" applyFill="1" applyBorder="1"/>
    <xf numFmtId="165" fontId="19" fillId="9" borderId="7" xfId="0" applyNumberFormat="1" applyFont="1" applyFill="1" applyBorder="1"/>
    <xf numFmtId="0" fontId="49" fillId="16" borderId="2" xfId="4" applyFont="1" applyFill="1" applyBorder="1" applyAlignment="1">
      <alignment horizontal="center" vertical="center" wrapText="1"/>
    </xf>
    <xf numFmtId="0" fontId="13" fillId="19" borderId="13" xfId="0" applyFont="1" applyFill="1" applyBorder="1" applyAlignment="1">
      <alignment horizontal="center" vertical="center" wrapText="1"/>
    </xf>
    <xf numFmtId="0" fontId="13" fillId="24" borderId="13" xfId="0" applyFont="1" applyFill="1" applyBorder="1" applyAlignment="1">
      <alignment horizontal="center" vertical="center" wrapText="1"/>
    </xf>
    <xf numFmtId="0" fontId="13" fillId="25" borderId="13" xfId="0" applyFont="1" applyFill="1" applyBorder="1" applyAlignment="1">
      <alignment horizontal="center" vertical="center" wrapText="1"/>
    </xf>
    <xf numFmtId="0" fontId="27" fillId="4" borderId="73" xfId="0" applyFont="1" applyFill="1" applyBorder="1" applyAlignment="1">
      <alignment horizontal="center" vertical="center" wrapText="1"/>
    </xf>
    <xf numFmtId="0" fontId="11" fillId="0" borderId="0" xfId="8" applyFont="1"/>
    <xf numFmtId="0" fontId="7" fillId="0" borderId="0" xfId="8"/>
    <xf numFmtId="0" fontId="41" fillId="16" borderId="0" xfId="8" applyFont="1" applyFill="1" applyAlignment="1">
      <alignment horizontal="center" vertical="center" wrapText="1"/>
    </xf>
    <xf numFmtId="0" fontId="66" fillId="20" borderId="64" xfId="8" applyFont="1" applyFill="1" applyBorder="1" applyAlignment="1">
      <alignment horizontal="center" vertical="center" wrapText="1"/>
    </xf>
    <xf numFmtId="0" fontId="64" fillId="21" borderId="65" xfId="8" applyFont="1" applyFill="1" applyBorder="1" applyAlignment="1">
      <alignment horizontal="center" vertical="center" wrapText="1"/>
    </xf>
    <xf numFmtId="0" fontId="64" fillId="22" borderId="65" xfId="8" applyFont="1" applyFill="1" applyBorder="1" applyAlignment="1">
      <alignment horizontal="center" vertical="center" wrapText="1"/>
    </xf>
    <xf numFmtId="0" fontId="65" fillId="23" borderId="65" xfId="8" applyFont="1" applyFill="1" applyBorder="1" applyAlignment="1">
      <alignment horizontal="center" vertical="center" wrapText="1"/>
    </xf>
    <xf numFmtId="0" fontId="65" fillId="14" borderId="20" xfId="8" applyFont="1" applyFill="1" applyBorder="1" applyAlignment="1">
      <alignment horizontal="center" vertical="center" wrapText="1"/>
    </xf>
    <xf numFmtId="0" fontId="41" fillId="16" borderId="27" xfId="8" applyFont="1" applyFill="1" applyBorder="1" applyAlignment="1">
      <alignment horizontal="center" vertical="center" wrapText="1"/>
    </xf>
    <xf numFmtId="0" fontId="41" fillId="16" borderId="28" xfId="8" applyFont="1" applyFill="1" applyBorder="1" applyAlignment="1">
      <alignment vertical="center" wrapText="1"/>
    </xf>
    <xf numFmtId="0" fontId="64" fillId="20" borderId="58" xfId="8" applyFont="1" applyFill="1" applyBorder="1" applyAlignment="1">
      <alignment horizontal="center" vertical="center" wrapText="1"/>
    </xf>
    <xf numFmtId="0" fontId="64" fillId="21" borderId="66" xfId="8" applyFont="1" applyFill="1" applyBorder="1" applyAlignment="1">
      <alignment horizontal="center" vertical="center" wrapText="1"/>
    </xf>
    <xf numFmtId="0" fontId="64" fillId="22" borderId="66" xfId="8" applyFont="1" applyFill="1" applyBorder="1" applyAlignment="1">
      <alignment horizontal="center" vertical="center" wrapText="1"/>
    </xf>
    <xf numFmtId="0" fontId="65" fillId="23" borderId="66" xfId="8" applyFont="1" applyFill="1" applyBorder="1" applyAlignment="1">
      <alignment horizontal="center" vertical="center" wrapText="1"/>
    </xf>
    <xf numFmtId="0" fontId="65" fillId="14" borderId="67" xfId="8" applyFont="1" applyFill="1" applyBorder="1" applyAlignment="1">
      <alignment horizontal="center" vertical="center" wrapText="1"/>
    </xf>
    <xf numFmtId="0" fontId="38" fillId="0" borderId="1" xfId="8" applyFont="1" applyBorder="1" applyAlignment="1">
      <alignment wrapText="1"/>
    </xf>
    <xf numFmtId="0" fontId="40" fillId="0" borderId="42" xfId="8" applyFont="1" applyBorder="1" applyAlignment="1">
      <alignment horizontal="center" vertical="center" wrapText="1"/>
    </xf>
    <xf numFmtId="0" fontId="40" fillId="0" borderId="43" xfId="8" applyFont="1" applyBorder="1" applyAlignment="1">
      <alignment horizontal="center" vertical="center" wrapText="1"/>
    </xf>
    <xf numFmtId="0" fontId="40" fillId="0" borderId="44" xfId="8" applyFont="1" applyBorder="1" applyAlignment="1">
      <alignment horizontal="center" vertical="center" wrapText="1"/>
    </xf>
    <xf numFmtId="0" fontId="38" fillId="0" borderId="56" xfId="8" applyFont="1" applyBorder="1" applyAlignment="1">
      <alignment horizontal="left" vertical="center" wrapText="1"/>
    </xf>
    <xf numFmtId="0" fontId="53" fillId="15" borderId="33" xfId="8" applyFont="1" applyFill="1" applyBorder="1" applyAlignment="1">
      <alignment horizontal="center" vertical="center" wrapText="1"/>
    </xf>
    <xf numFmtId="0" fontId="53" fillId="15" borderId="45" xfId="8" applyFont="1" applyFill="1" applyBorder="1" applyAlignment="1">
      <alignment horizontal="center" vertical="center" wrapText="1"/>
    </xf>
    <xf numFmtId="0" fontId="53" fillId="15" borderId="41" xfId="8" applyFont="1" applyFill="1" applyBorder="1" applyAlignment="1">
      <alignment horizontal="center" vertical="center" wrapText="1"/>
    </xf>
    <xf numFmtId="0" fontId="40" fillId="0" borderId="41" xfId="8" applyFont="1" applyBorder="1" applyAlignment="1">
      <alignment horizontal="center" vertical="center" wrapText="1"/>
    </xf>
    <xf numFmtId="0" fontId="40" fillId="0" borderId="33" xfId="8" applyFont="1" applyBorder="1" applyAlignment="1">
      <alignment horizontal="center" vertical="center" wrapText="1"/>
    </xf>
    <xf numFmtId="0" fontId="38" fillId="0" borderId="47" xfId="8" applyFont="1" applyBorder="1" applyAlignment="1">
      <alignment horizontal="left" vertical="center" wrapText="1"/>
    </xf>
    <xf numFmtId="0" fontId="40" fillId="0" borderId="45" xfId="8" applyFont="1" applyBorder="1" applyAlignment="1">
      <alignment horizontal="center" vertical="center" wrapText="1"/>
    </xf>
    <xf numFmtId="0" fontId="40" fillId="0" borderId="66" xfId="8" applyFont="1" applyBorder="1" applyAlignment="1">
      <alignment horizontal="center" vertical="center" wrapText="1"/>
    </xf>
    <xf numFmtId="0" fontId="40" fillId="0" borderId="78" xfId="8" applyFont="1" applyBorder="1" applyAlignment="1">
      <alignment horizontal="center" vertical="center" wrapText="1"/>
    </xf>
    <xf numFmtId="0" fontId="72" fillId="0" borderId="79" xfId="0" applyFont="1" applyBorder="1" applyAlignment="1">
      <alignment vertical="center" wrapText="1"/>
    </xf>
    <xf numFmtId="0" fontId="32" fillId="0" borderId="0" xfId="0" applyFont="1" applyAlignment="1">
      <alignment vertical="center"/>
    </xf>
    <xf numFmtId="0" fontId="66" fillId="20" borderId="64" xfId="9" applyFont="1" applyFill="1" applyBorder="1" applyAlignment="1">
      <alignment horizontal="center" vertical="center" wrapText="1"/>
    </xf>
    <xf numFmtId="0" fontId="64" fillId="21" borderId="65" xfId="9" applyFont="1" applyFill="1" applyBorder="1" applyAlignment="1">
      <alignment horizontal="center" vertical="center" wrapText="1"/>
    </xf>
    <xf numFmtId="0" fontId="64" fillId="22" borderId="65" xfId="9" applyFont="1" applyFill="1" applyBorder="1" applyAlignment="1">
      <alignment horizontal="center" vertical="center" wrapText="1"/>
    </xf>
    <xf numFmtId="0" fontId="65" fillId="23" borderId="65" xfId="9" applyFont="1" applyFill="1" applyBorder="1" applyAlignment="1">
      <alignment horizontal="center" vertical="center" wrapText="1"/>
    </xf>
    <xf numFmtId="0" fontId="65" fillId="14" borderId="20" xfId="9" applyFont="1" applyFill="1" applyBorder="1" applyAlignment="1">
      <alignment horizontal="center" vertical="center" wrapText="1"/>
    </xf>
    <xf numFmtId="0" fontId="64" fillId="20" borderId="58" xfId="9" applyFont="1" applyFill="1" applyBorder="1" applyAlignment="1">
      <alignment horizontal="center" vertical="center" wrapText="1"/>
    </xf>
    <xf numFmtId="0" fontId="64" fillId="21" borderId="66" xfId="9" applyFont="1" applyFill="1" applyBorder="1" applyAlignment="1">
      <alignment horizontal="center" vertical="center" wrapText="1"/>
    </xf>
    <xf numFmtId="0" fontId="64" fillId="22" borderId="66" xfId="9" applyFont="1" applyFill="1" applyBorder="1" applyAlignment="1">
      <alignment horizontal="center" vertical="center" wrapText="1"/>
    </xf>
    <xf numFmtId="0" fontId="65" fillId="23" borderId="66" xfId="9" applyFont="1" applyFill="1" applyBorder="1" applyAlignment="1">
      <alignment horizontal="center" vertical="center" wrapText="1"/>
    </xf>
    <xf numFmtId="0" fontId="65" fillId="14" borderId="67" xfId="9" applyFont="1" applyFill="1" applyBorder="1" applyAlignment="1">
      <alignment horizontal="center" vertical="center" wrapText="1"/>
    </xf>
    <xf numFmtId="2" fontId="71" fillId="11" borderId="13" xfId="2" applyNumberFormat="1" applyFont="1" applyFill="1" applyBorder="1" applyAlignment="1">
      <alignment vertical="center" wrapText="1"/>
    </xf>
    <xf numFmtId="2" fontId="71" fillId="16" borderId="13" xfId="2" applyNumberFormat="1" applyFont="1" applyFill="1" applyBorder="1" applyAlignment="1">
      <alignment horizontal="center" vertical="center" wrapText="1"/>
    </xf>
    <xf numFmtId="2" fontId="71" fillId="11" borderId="13" xfId="2" applyNumberFormat="1" applyFont="1" applyFill="1" applyBorder="1" applyAlignment="1">
      <alignment horizontal="center" vertical="center" wrapText="1"/>
    </xf>
    <xf numFmtId="2" fontId="57" fillId="9" borderId="11" xfId="2" applyNumberFormat="1" applyFont="1" applyFill="1" applyBorder="1" applyAlignment="1">
      <alignment horizontal="center" vertical="center"/>
    </xf>
    <xf numFmtId="9" fontId="71" fillId="13" borderId="13" xfId="2" applyFont="1" applyFill="1" applyBorder="1" applyAlignment="1">
      <alignment horizontal="center" vertical="center" wrapText="1"/>
    </xf>
    <xf numFmtId="9" fontId="71" fillId="27" borderId="47" xfId="2" applyFont="1" applyFill="1" applyBorder="1" applyAlignment="1">
      <alignment vertical="center" wrapText="1"/>
    </xf>
    <xf numFmtId="0" fontId="64" fillId="9" borderId="66" xfId="9" applyFont="1" applyFill="1" applyBorder="1" applyAlignment="1">
      <alignment horizontal="center" vertical="center" wrapText="1"/>
    </xf>
    <xf numFmtId="2" fontId="11" fillId="9" borderId="11" xfId="0" applyNumberFormat="1" applyFont="1" applyFill="1" applyBorder="1"/>
    <xf numFmtId="0" fontId="13" fillId="24" borderId="13" xfId="0" applyFont="1" applyFill="1" applyBorder="1" applyAlignment="1">
      <alignment vertical="center" wrapText="1"/>
    </xf>
    <xf numFmtId="2" fontId="75" fillId="16" borderId="13" xfId="2" applyNumberFormat="1" applyFont="1" applyFill="1" applyBorder="1" applyAlignment="1">
      <alignment horizontal="center" vertical="center" wrapText="1"/>
    </xf>
    <xf numFmtId="0" fontId="74" fillId="16" borderId="0" xfId="0" applyFont="1" applyFill="1" applyAlignment="1">
      <alignment horizontal="center" vertical="center"/>
    </xf>
    <xf numFmtId="2" fontId="57" fillId="9" borderId="11" xfId="0" applyNumberFormat="1" applyFont="1" applyFill="1" applyBorder="1" applyAlignment="1">
      <alignment horizontal="center"/>
    </xf>
    <xf numFmtId="0" fontId="40" fillId="29" borderId="41" xfId="8" applyFont="1" applyFill="1" applyBorder="1" applyAlignment="1">
      <alignment horizontal="center" vertical="center" wrapText="1"/>
    </xf>
    <xf numFmtId="0" fontId="40" fillId="29" borderId="33" xfId="8" applyFont="1" applyFill="1" applyBorder="1" applyAlignment="1">
      <alignment horizontal="center" vertical="center" wrapText="1"/>
    </xf>
    <xf numFmtId="0" fontId="40" fillId="29" borderId="45" xfId="8" applyFont="1" applyFill="1" applyBorder="1" applyAlignment="1">
      <alignment horizontal="center" vertical="center" wrapText="1"/>
    </xf>
    <xf numFmtId="0" fontId="56" fillId="29" borderId="1" xfId="8" applyFont="1" applyFill="1" applyBorder="1" applyAlignment="1">
      <alignment horizontal="left" vertical="center" wrapText="1"/>
    </xf>
    <xf numFmtId="0" fontId="40" fillId="29" borderId="40" xfId="8" applyFont="1" applyFill="1" applyBorder="1" applyAlignment="1">
      <alignment horizontal="center" vertical="center" wrapText="1"/>
    </xf>
    <xf numFmtId="0" fontId="56" fillId="29" borderId="1" xfId="8" applyFont="1" applyFill="1" applyBorder="1" applyAlignment="1">
      <alignment horizontal="left" wrapText="1"/>
    </xf>
    <xf numFmtId="0" fontId="40" fillId="29" borderId="76" xfId="8" applyFont="1" applyFill="1" applyBorder="1" applyAlignment="1">
      <alignment horizontal="center" vertical="center" wrapText="1"/>
    </xf>
    <xf numFmtId="0" fontId="40" fillId="29" borderId="77" xfId="8" applyFont="1" applyFill="1" applyBorder="1" applyAlignment="1">
      <alignment horizontal="center" vertical="center" wrapText="1"/>
    </xf>
    <xf numFmtId="0" fontId="56" fillId="29" borderId="7" xfId="8" applyFont="1" applyFill="1" applyBorder="1" applyAlignment="1">
      <alignment horizontal="left" wrapText="1"/>
    </xf>
    <xf numFmtId="0" fontId="40" fillId="29" borderId="73" xfId="8" applyFont="1" applyFill="1" applyBorder="1" applyAlignment="1">
      <alignment horizontal="center" vertical="center" wrapText="1"/>
    </xf>
    <xf numFmtId="0" fontId="56" fillId="29" borderId="7" xfId="8" applyFont="1" applyFill="1" applyBorder="1" applyAlignment="1">
      <alignment vertical="center" wrapText="1"/>
    </xf>
    <xf numFmtId="0" fontId="38" fillId="29" borderId="47" xfId="8" applyFont="1" applyFill="1" applyBorder="1" applyAlignment="1">
      <alignment horizontal="left" vertical="center" wrapText="1"/>
    </xf>
    <xf numFmtId="0" fontId="38" fillId="29" borderId="56" xfId="8" applyFont="1" applyFill="1" applyBorder="1" applyAlignment="1">
      <alignment horizontal="left" vertical="center" wrapText="1"/>
    </xf>
    <xf numFmtId="0" fontId="73" fillId="29" borderId="79" xfId="0" applyFont="1" applyFill="1" applyBorder="1" applyAlignment="1">
      <alignment vertical="center" wrapText="1"/>
    </xf>
    <xf numFmtId="0" fontId="38" fillId="0" borderId="7" xfId="8" applyFont="1" applyBorder="1" applyAlignment="1">
      <alignment horizontal="left" vertical="center" wrapText="1"/>
    </xf>
    <xf numFmtId="0" fontId="12" fillId="0" borderId="0" xfId="0" applyFont="1" applyAlignment="1">
      <alignment horizontal="right" vertical="center"/>
    </xf>
    <xf numFmtId="0" fontId="13" fillId="0" borderId="0" xfId="0" applyFont="1" applyAlignment="1">
      <alignment horizontal="right"/>
    </xf>
    <xf numFmtId="3" fontId="16" fillId="11" borderId="12" xfId="0" applyNumberFormat="1" applyFont="1" applyFill="1" applyBorder="1" applyAlignment="1">
      <alignment horizontal="center" vertical="center" wrapText="1"/>
    </xf>
    <xf numFmtId="0" fontId="42" fillId="18" borderId="9" xfId="0" applyFont="1" applyFill="1" applyBorder="1" applyAlignment="1">
      <alignment horizontal="center" vertical="center" wrapText="1"/>
    </xf>
    <xf numFmtId="0" fontId="13" fillId="12" borderId="85" xfId="0" applyFont="1" applyFill="1" applyBorder="1" applyAlignment="1">
      <alignment horizontal="center" vertical="center" wrapText="1"/>
    </xf>
    <xf numFmtId="0" fontId="13" fillId="12" borderId="82" xfId="0" applyFont="1" applyFill="1" applyBorder="1" applyAlignment="1">
      <alignment horizontal="center" vertical="center" wrapText="1"/>
    </xf>
    <xf numFmtId="0" fontId="77" fillId="29" borderId="83" xfId="0" applyFont="1" applyFill="1" applyBorder="1" applyAlignment="1">
      <alignment vertical="center" wrapText="1"/>
    </xf>
    <xf numFmtId="0" fontId="78" fillId="29" borderId="84" xfId="0" applyFont="1" applyFill="1" applyBorder="1" applyAlignment="1">
      <alignment vertical="center" wrapText="1"/>
    </xf>
    <xf numFmtId="0" fontId="78" fillId="29" borderId="86" xfId="0" applyFont="1" applyFill="1" applyBorder="1" applyAlignment="1">
      <alignment vertical="center" wrapText="1"/>
    </xf>
    <xf numFmtId="0" fontId="72" fillId="12" borderId="84" xfId="0" applyFont="1" applyFill="1" applyBorder="1" applyAlignment="1">
      <alignment vertical="center" wrapText="1"/>
    </xf>
    <xf numFmtId="3" fontId="16" fillId="11" borderId="0" xfId="0" applyNumberFormat="1" applyFont="1" applyFill="1" applyBorder="1" applyAlignment="1">
      <alignment horizontal="center" vertical="center" wrapText="1"/>
    </xf>
    <xf numFmtId="2" fontId="11" fillId="9" borderId="52" xfId="0" applyNumberFormat="1" applyFont="1" applyFill="1" applyBorder="1"/>
    <xf numFmtId="3" fontId="16" fillId="11" borderId="51" xfId="0" applyNumberFormat="1" applyFont="1" applyFill="1" applyBorder="1" applyAlignment="1">
      <alignment horizontal="center" vertical="center" wrapText="1"/>
    </xf>
    <xf numFmtId="3" fontId="16" fillId="11" borderId="88" xfId="0" applyNumberFormat="1" applyFont="1" applyFill="1" applyBorder="1" applyAlignment="1">
      <alignment horizontal="center" vertical="center" wrapText="1"/>
    </xf>
    <xf numFmtId="0" fontId="12" fillId="0" borderId="51" xfId="0" applyFont="1" applyBorder="1" applyAlignment="1">
      <alignment horizontal="right" vertical="center"/>
    </xf>
    <xf numFmtId="0" fontId="12" fillId="0" borderId="0" xfId="0" applyFont="1" applyBorder="1" applyAlignment="1">
      <alignment horizontal="right" vertical="center"/>
    </xf>
    <xf numFmtId="0" fontId="12" fillId="0" borderId="36" xfId="0" applyFont="1" applyBorder="1" applyAlignment="1">
      <alignment horizontal="right" vertical="center"/>
    </xf>
    <xf numFmtId="0" fontId="13" fillId="0" borderId="51" xfId="0" applyFont="1" applyBorder="1" applyAlignment="1">
      <alignment horizontal="right"/>
    </xf>
    <xf numFmtId="0" fontId="13" fillId="0" borderId="0" xfId="0" applyFont="1" applyBorder="1" applyAlignment="1">
      <alignment horizontal="right"/>
    </xf>
    <xf numFmtId="0" fontId="13" fillId="0" borderId="36" xfId="0" applyFont="1" applyBorder="1" applyAlignment="1">
      <alignment horizontal="right"/>
    </xf>
    <xf numFmtId="2" fontId="11" fillId="9" borderId="54" xfId="0" applyNumberFormat="1" applyFont="1" applyFill="1" applyBorder="1"/>
    <xf numFmtId="2" fontId="11" fillId="9" borderId="89" xfId="0" applyNumberFormat="1" applyFont="1" applyFill="1" applyBorder="1"/>
    <xf numFmtId="2" fontId="11" fillId="9" borderId="48" xfId="0" applyNumberFormat="1" applyFont="1" applyFill="1" applyBorder="1"/>
    <xf numFmtId="2" fontId="11" fillId="9" borderId="19" xfId="0" applyNumberFormat="1" applyFont="1" applyFill="1" applyBorder="1"/>
    <xf numFmtId="2" fontId="11" fillId="9" borderId="25" xfId="0" applyNumberFormat="1" applyFont="1" applyFill="1" applyBorder="1"/>
    <xf numFmtId="165" fontId="11" fillId="9" borderId="3" xfId="0" applyNumberFormat="1" applyFont="1" applyFill="1" applyBorder="1"/>
    <xf numFmtId="0" fontId="66" fillId="20" borderId="91" xfId="8" applyFont="1" applyFill="1" applyBorder="1" applyAlignment="1">
      <alignment horizontal="center" vertical="center" wrapText="1"/>
    </xf>
    <xf numFmtId="0" fontId="64" fillId="21" borderId="92" xfId="8" applyFont="1" applyFill="1" applyBorder="1" applyAlignment="1">
      <alignment horizontal="center" vertical="center" wrapText="1"/>
    </xf>
    <xf numFmtId="0" fontId="65" fillId="23" borderId="92" xfId="8" applyFont="1" applyFill="1" applyBorder="1" applyAlignment="1">
      <alignment horizontal="center" vertical="center" wrapText="1"/>
    </xf>
    <xf numFmtId="0" fontId="41" fillId="0" borderId="0" xfId="8" applyFont="1" applyFill="1" applyAlignment="1">
      <alignment horizontal="center" vertical="center" wrapText="1"/>
    </xf>
    <xf numFmtId="0" fontId="66" fillId="20" borderId="40" xfId="8" applyFont="1" applyFill="1" applyBorder="1" applyAlignment="1">
      <alignment horizontal="center" vertical="center" wrapText="1"/>
    </xf>
    <xf numFmtId="0" fontId="41" fillId="16" borderId="95" xfId="8" applyFont="1" applyFill="1" applyBorder="1" applyAlignment="1">
      <alignment vertical="center" wrapText="1"/>
    </xf>
    <xf numFmtId="0" fontId="64" fillId="20" borderId="91" xfId="8" applyFont="1" applyFill="1" applyBorder="1" applyAlignment="1">
      <alignment horizontal="center" vertical="center" wrapText="1"/>
    </xf>
    <xf numFmtId="0" fontId="38" fillId="0" borderId="28" xfId="8" applyFont="1" applyBorder="1" applyAlignment="1">
      <alignment wrapText="1"/>
    </xf>
    <xf numFmtId="0" fontId="38" fillId="0" borderId="97" xfId="8" applyFont="1" applyBorder="1" applyAlignment="1">
      <alignment horizontal="left" vertical="center" wrapText="1"/>
    </xf>
    <xf numFmtId="0" fontId="38" fillId="0" borderId="98" xfId="8" applyFont="1" applyBorder="1" applyAlignment="1">
      <alignment horizontal="left" vertical="center" wrapText="1"/>
    </xf>
    <xf numFmtId="0" fontId="38" fillId="0" borderId="99" xfId="8" applyFont="1" applyBorder="1" applyAlignment="1">
      <alignment horizontal="left" vertical="center" wrapText="1"/>
    </xf>
    <xf numFmtId="0" fontId="38" fillId="0" borderId="100" xfId="8" applyFont="1" applyBorder="1" applyAlignment="1">
      <alignment horizontal="left" vertical="center" wrapText="1"/>
    </xf>
    <xf numFmtId="0" fontId="80" fillId="25" borderId="13" xfId="0" applyFont="1" applyFill="1" applyBorder="1" applyAlignment="1">
      <alignment horizontal="left" vertical="center" wrapText="1"/>
    </xf>
    <xf numFmtId="0" fontId="80" fillId="24" borderId="13" xfId="0" applyFont="1" applyFill="1" applyBorder="1" applyAlignment="1">
      <alignment horizontal="left" vertical="center" wrapText="1"/>
    </xf>
    <xf numFmtId="0" fontId="80" fillId="19" borderId="13" xfId="0" applyFont="1" applyFill="1" applyBorder="1" applyAlignment="1">
      <alignment horizontal="left" vertical="center" wrapText="1"/>
    </xf>
    <xf numFmtId="0" fontId="51" fillId="11" borderId="1" xfId="0" applyFont="1" applyFill="1" applyBorder="1" applyAlignment="1">
      <alignment horizontal="center" vertical="center" wrapText="1"/>
    </xf>
    <xf numFmtId="167" fontId="57" fillId="9" borderId="11" xfId="1" applyNumberFormat="1" applyFont="1" applyFill="1" applyBorder="1" applyAlignment="1">
      <alignment horizontal="left" vertical="center"/>
    </xf>
    <xf numFmtId="2" fontId="71" fillId="16" borderId="1" xfId="2" applyNumberFormat="1" applyFont="1" applyFill="1" applyBorder="1" applyAlignment="1">
      <alignment horizontal="center" vertical="center" wrapText="1"/>
    </xf>
    <xf numFmtId="2" fontId="57" fillId="9" borderId="11" xfId="2" applyNumberFormat="1" applyFont="1" applyFill="1" applyBorder="1" applyAlignment="1">
      <alignment horizontal="center"/>
    </xf>
    <xf numFmtId="0" fontId="57" fillId="9" borderId="11" xfId="0" applyFont="1" applyFill="1" applyBorder="1" applyAlignment="1">
      <alignment horizontal="center"/>
    </xf>
    <xf numFmtId="3" fontId="15" fillId="11" borderId="11" xfId="4" applyNumberFormat="1" applyFont="1" applyFill="1" applyBorder="1" applyAlignment="1">
      <alignment horizontal="center" vertical="center" wrapText="1"/>
    </xf>
    <xf numFmtId="0" fontId="57" fillId="31" borderId="11" xfId="0" applyFont="1" applyFill="1" applyBorder="1" applyAlignment="1">
      <alignment horizontal="left" vertical="center"/>
    </xf>
    <xf numFmtId="0" fontId="57" fillId="31" borderId="11" xfId="0" applyFont="1" applyFill="1" applyBorder="1" applyAlignment="1">
      <alignment horizontal="left"/>
    </xf>
    <xf numFmtId="9" fontId="80" fillId="9" borderId="11" xfId="2" applyFont="1" applyFill="1" applyBorder="1" applyAlignment="1">
      <alignment horizontal="center" vertical="center"/>
    </xf>
    <xf numFmtId="0" fontId="16" fillId="9" borderId="11" xfId="0" applyFont="1" applyFill="1" applyBorder="1" applyAlignment="1">
      <alignment horizontal="center" vertical="center" wrapText="1"/>
    </xf>
    <xf numFmtId="0" fontId="69" fillId="0" borderId="0" xfId="11" applyFont="1" applyAlignment="1">
      <alignment horizontal="center" vertical="center"/>
    </xf>
    <xf numFmtId="0" fontId="69" fillId="0" borderId="36" xfId="11" applyFont="1" applyBorder="1" applyAlignment="1">
      <alignment horizontal="center" vertical="center"/>
    </xf>
    <xf numFmtId="0" fontId="66" fillId="20" borderId="64" xfId="11" applyFont="1" applyFill="1" applyBorder="1" applyAlignment="1">
      <alignment horizontal="center" vertical="center" wrapText="1"/>
    </xf>
    <xf numFmtId="0" fontId="64" fillId="21" borderId="65" xfId="11" applyFont="1" applyFill="1" applyBorder="1" applyAlignment="1">
      <alignment horizontal="center" vertical="center" wrapText="1"/>
    </xf>
    <xf numFmtId="0" fontId="64" fillId="22" borderId="65" xfId="11" applyFont="1" applyFill="1" applyBorder="1" applyAlignment="1">
      <alignment horizontal="center" vertical="center" wrapText="1"/>
    </xf>
    <xf numFmtId="0" fontId="65" fillId="23" borderId="65" xfId="11" applyFont="1" applyFill="1" applyBorder="1" applyAlignment="1">
      <alignment horizontal="center" vertical="center" wrapText="1"/>
    </xf>
    <xf numFmtId="0" fontId="65" fillId="14" borderId="71" xfId="11" applyFont="1" applyFill="1" applyBorder="1" applyAlignment="1">
      <alignment horizontal="center" vertical="center" wrapText="1"/>
    </xf>
    <xf numFmtId="0" fontId="64" fillId="20" borderId="58" xfId="11" applyFont="1" applyFill="1" applyBorder="1" applyAlignment="1">
      <alignment horizontal="center" vertical="center" wrapText="1"/>
    </xf>
    <xf numFmtId="0" fontId="64" fillId="21" borderId="66" xfId="11" applyFont="1" applyFill="1" applyBorder="1" applyAlignment="1">
      <alignment horizontal="center" vertical="center" wrapText="1"/>
    </xf>
    <xf numFmtId="0" fontId="64" fillId="22" borderId="66" xfId="11" applyFont="1" applyFill="1" applyBorder="1" applyAlignment="1">
      <alignment horizontal="center" vertical="center" wrapText="1"/>
    </xf>
    <xf numFmtId="0" fontId="65" fillId="23" borderId="66" xfId="11" applyFont="1" applyFill="1" applyBorder="1" applyAlignment="1">
      <alignment horizontal="center" vertical="center" wrapText="1"/>
    </xf>
    <xf numFmtId="0" fontId="65" fillId="14" borderId="103" xfId="11" applyFont="1" applyFill="1" applyBorder="1" applyAlignment="1">
      <alignment horizontal="center" vertical="center" wrapText="1"/>
    </xf>
    <xf numFmtId="0" fontId="65" fillId="14" borderId="20" xfId="11" applyFont="1" applyFill="1" applyBorder="1" applyAlignment="1">
      <alignment horizontal="center" vertical="center" wrapText="1"/>
    </xf>
    <xf numFmtId="0" fontId="65" fillId="14" borderId="67" xfId="11" applyFont="1" applyFill="1" applyBorder="1" applyAlignment="1">
      <alignment horizontal="center" vertical="center" wrapText="1"/>
    </xf>
    <xf numFmtId="9" fontId="57" fillId="9" borderId="11" xfId="2" applyFont="1" applyFill="1" applyBorder="1" applyAlignment="1">
      <alignment horizontal="left" vertical="center"/>
    </xf>
    <xf numFmtId="165" fontId="57" fillId="9" borderId="11" xfId="2" applyNumberFormat="1" applyFont="1" applyFill="1" applyBorder="1" applyAlignment="1">
      <alignment horizontal="left" vertical="center"/>
    </xf>
    <xf numFmtId="0" fontId="32" fillId="0" borderId="0" xfId="0" applyFont="1" applyBorder="1" applyAlignment="1">
      <alignment horizontal="center" vertical="center"/>
    </xf>
    <xf numFmtId="0" fontId="50" fillId="4" borderId="73" xfId="0" applyFont="1" applyFill="1" applyBorder="1" applyAlignment="1">
      <alignment horizontal="center" vertical="center" wrapText="1"/>
    </xf>
    <xf numFmtId="0" fontId="83" fillId="29" borderId="41" xfId="8" applyFont="1" applyFill="1" applyBorder="1" applyAlignment="1">
      <alignment horizontal="center" vertical="center" wrapText="1"/>
    </xf>
    <xf numFmtId="0" fontId="83" fillId="29" borderId="33" xfId="8" applyFont="1" applyFill="1" applyBorder="1" applyAlignment="1">
      <alignment horizontal="center" vertical="center" wrapText="1"/>
    </xf>
    <xf numFmtId="0" fontId="83" fillId="29" borderId="45" xfId="8" applyFont="1" applyFill="1" applyBorder="1" applyAlignment="1">
      <alignment horizontal="center" vertical="center" wrapText="1"/>
    </xf>
    <xf numFmtId="0" fontId="4" fillId="0" borderId="0" xfId="12"/>
    <xf numFmtId="0" fontId="69" fillId="0" borderId="0" xfId="8" applyFont="1" applyBorder="1" applyAlignment="1">
      <alignment horizontal="center" vertical="center"/>
    </xf>
    <xf numFmtId="0" fontId="12" fillId="13" borderId="12" xfId="0" applyFont="1" applyFill="1" applyBorder="1" applyAlignment="1">
      <alignment horizontal="center" vertical="center" wrapText="1"/>
    </xf>
    <xf numFmtId="0" fontId="49" fillId="13" borderId="39" xfId="0" applyFont="1" applyFill="1" applyBorder="1" applyAlignment="1">
      <alignment horizontal="center" vertical="center" wrapText="1"/>
    </xf>
    <xf numFmtId="0" fontId="49" fillId="13" borderId="18" xfId="0" applyFont="1" applyFill="1" applyBorder="1" applyAlignment="1">
      <alignment horizontal="center" vertical="center" wrapText="1"/>
    </xf>
    <xf numFmtId="0" fontId="49" fillId="13" borderId="107" xfId="0" applyFont="1" applyFill="1" applyBorder="1" applyAlignment="1">
      <alignment horizontal="center" vertical="center" wrapText="1"/>
    </xf>
    <xf numFmtId="0" fontId="53" fillId="0" borderId="0" xfId="0" applyFont="1" applyAlignment="1">
      <alignment vertical="center"/>
    </xf>
    <xf numFmtId="0" fontId="78" fillId="0" borderId="70" xfId="0" applyFont="1" applyBorder="1" applyAlignment="1">
      <alignment vertical="center" wrapText="1"/>
    </xf>
    <xf numFmtId="0" fontId="78" fillId="0" borderId="0" xfId="0" applyFont="1" applyAlignment="1">
      <alignment vertical="center"/>
    </xf>
    <xf numFmtId="0" fontId="0" fillId="0" borderId="0" xfId="0" applyAlignment="1">
      <alignment vertical="top"/>
    </xf>
    <xf numFmtId="0" fontId="49" fillId="13" borderId="73" xfId="0" applyFont="1" applyFill="1" applyBorder="1" applyAlignment="1">
      <alignment horizontal="center" vertical="center" wrapText="1"/>
    </xf>
    <xf numFmtId="0" fontId="49" fillId="13" borderId="50" xfId="0" applyFont="1" applyFill="1" applyBorder="1" applyAlignment="1">
      <alignment horizontal="center" vertical="center" wrapText="1"/>
    </xf>
    <xf numFmtId="0" fontId="49" fillId="13" borderId="40" xfId="0" applyFont="1" applyFill="1" applyBorder="1" applyAlignment="1">
      <alignment horizontal="center" vertical="center" wrapText="1"/>
    </xf>
    <xf numFmtId="0" fontId="86" fillId="13" borderId="20" xfId="0" applyFont="1" applyFill="1" applyBorder="1" applyAlignment="1">
      <alignment horizontal="center" vertical="center" wrapText="1"/>
    </xf>
    <xf numFmtId="0" fontId="86" fillId="13" borderId="70" xfId="0" applyFont="1" applyFill="1" applyBorder="1" applyAlignment="1">
      <alignment horizontal="center" vertical="center" wrapText="1"/>
    </xf>
    <xf numFmtId="0" fontId="73" fillId="30" borderId="87" xfId="0" applyFont="1" applyFill="1" applyBorder="1" applyAlignment="1">
      <alignment horizontal="center" vertical="center" wrapText="1"/>
    </xf>
    <xf numFmtId="0" fontId="88" fillId="29" borderId="83" xfId="0" applyFont="1" applyFill="1" applyBorder="1" applyAlignment="1">
      <alignment vertical="center" wrapText="1"/>
    </xf>
    <xf numFmtId="0" fontId="11" fillId="29" borderId="84" xfId="0" applyFont="1" applyFill="1" applyBorder="1" applyAlignment="1">
      <alignment vertical="center" wrapText="1"/>
    </xf>
    <xf numFmtId="0" fontId="11" fillId="29" borderId="86" xfId="0" applyFont="1" applyFill="1" applyBorder="1" applyAlignment="1">
      <alignment vertical="center" wrapText="1"/>
    </xf>
    <xf numFmtId="0" fontId="41" fillId="16" borderId="28" xfId="8" applyFont="1" applyFill="1" applyBorder="1" applyAlignment="1">
      <alignment horizontal="center" vertical="center" wrapText="1"/>
    </xf>
    <xf numFmtId="0" fontId="69" fillId="0" borderId="30" xfId="11" applyFont="1" applyBorder="1" applyAlignment="1">
      <alignment vertical="center"/>
    </xf>
    <xf numFmtId="0" fontId="27" fillId="5" borderId="2" xfId="0" applyFont="1" applyFill="1" applyBorder="1" applyAlignment="1">
      <alignment horizontal="center" vertical="center" wrapText="1"/>
    </xf>
    <xf numFmtId="0" fontId="52" fillId="11" borderId="3" xfId="0" applyFont="1" applyFill="1" applyBorder="1" applyAlignment="1">
      <alignment horizontal="center" vertical="center" wrapText="1"/>
    </xf>
    <xf numFmtId="3" fontId="12" fillId="11" borderId="3" xfId="0" applyNumberFormat="1" applyFont="1" applyFill="1" applyBorder="1" applyAlignment="1">
      <alignment horizontal="right" vertical="center" wrapText="1"/>
    </xf>
    <xf numFmtId="0" fontId="27" fillId="5" borderId="13" xfId="0" applyFont="1" applyFill="1" applyBorder="1" applyAlignment="1">
      <alignment horizontal="center" vertical="center" wrapText="1"/>
    </xf>
    <xf numFmtId="0" fontId="27" fillId="5" borderId="24" xfId="0" applyFont="1" applyFill="1" applyBorder="1" applyAlignment="1">
      <alignment horizontal="center" vertical="center" wrapText="1"/>
    </xf>
    <xf numFmtId="3" fontId="16" fillId="3" borderId="13" xfId="0" applyNumberFormat="1" applyFont="1" applyFill="1" applyBorder="1" applyAlignment="1">
      <alignment horizontal="center" vertical="center" wrapText="1"/>
    </xf>
    <xf numFmtId="3" fontId="13" fillId="2" borderId="13" xfId="0" applyNumberFormat="1" applyFont="1" applyFill="1" applyBorder="1"/>
    <xf numFmtId="3" fontId="13" fillId="2" borderId="14" xfId="0" applyNumberFormat="1" applyFont="1" applyFill="1" applyBorder="1"/>
    <xf numFmtId="3" fontId="13" fillId="2" borderId="21" xfId="0" applyNumberFormat="1" applyFont="1" applyFill="1" applyBorder="1"/>
    <xf numFmtId="0" fontId="27" fillId="5" borderId="15" xfId="0" applyFont="1" applyFill="1" applyBorder="1" applyAlignment="1">
      <alignment horizontal="center" vertical="center" wrapText="1"/>
    </xf>
    <xf numFmtId="0" fontId="27" fillId="5" borderId="112" xfId="0" applyFont="1" applyFill="1" applyBorder="1" applyAlignment="1">
      <alignment horizontal="center" vertical="center" wrapText="1"/>
    </xf>
    <xf numFmtId="0" fontId="64" fillId="16" borderId="51" xfId="9" applyFont="1" applyFill="1" applyBorder="1" applyAlignment="1">
      <alignment horizontal="center" vertical="center" wrapText="1"/>
    </xf>
    <xf numFmtId="0" fontId="64" fillId="16" borderId="90" xfId="9" applyFont="1" applyFill="1" applyBorder="1" applyAlignment="1">
      <alignment horizontal="center" vertical="center" wrapText="1"/>
    </xf>
    <xf numFmtId="9" fontId="71" fillId="28" borderId="80" xfId="2" applyFont="1" applyFill="1" applyBorder="1" applyAlignment="1">
      <alignment horizontal="center" vertical="center" wrapText="1"/>
    </xf>
    <xf numFmtId="9" fontId="71" fillId="28" borderId="81" xfId="2" applyFont="1" applyFill="1" applyBorder="1" applyAlignment="1">
      <alignment horizontal="center" vertical="center" wrapText="1"/>
    </xf>
    <xf numFmtId="0" fontId="40" fillId="0" borderId="7" xfId="8" applyFont="1" applyBorder="1" applyAlignment="1">
      <alignment horizontal="center" vertical="center" wrapText="1"/>
    </xf>
    <xf numFmtId="0" fontId="38" fillId="0" borderId="7" xfId="8" applyFont="1" applyBorder="1" applyAlignment="1">
      <alignment horizontal="left" vertical="center" wrapText="1"/>
    </xf>
    <xf numFmtId="0" fontId="54" fillId="0" borderId="59" xfId="8" applyFont="1" applyBorder="1" applyAlignment="1">
      <alignment horizontal="center" vertical="center" wrapText="1"/>
    </xf>
    <xf numFmtId="0" fontId="38" fillId="0" borderId="54" xfId="8" applyFont="1" applyBorder="1" applyAlignment="1">
      <alignment horizontal="left" vertical="center" wrapText="1"/>
    </xf>
    <xf numFmtId="0" fontId="38" fillId="29" borderId="7" xfId="8" applyFont="1" applyFill="1" applyBorder="1" applyAlignment="1">
      <alignment horizontal="left" vertical="center" wrapText="1"/>
    </xf>
    <xf numFmtId="0" fontId="40" fillId="29" borderId="57" xfId="8" applyFont="1" applyFill="1" applyBorder="1" applyAlignment="1">
      <alignment horizontal="center" vertical="center" wrapText="1"/>
    </xf>
    <xf numFmtId="0" fontId="40" fillId="29" borderId="59" xfId="8" applyFont="1" applyFill="1" applyBorder="1" applyAlignment="1">
      <alignment horizontal="center" vertical="center" wrapText="1"/>
    </xf>
    <xf numFmtId="0" fontId="40" fillId="29" borderId="60" xfId="8" applyFont="1" applyFill="1" applyBorder="1" applyAlignment="1">
      <alignment horizontal="center" vertical="center" wrapText="1"/>
    </xf>
    <xf numFmtId="0" fontId="40" fillId="29" borderId="73" xfId="8" applyFont="1" applyFill="1" applyBorder="1" applyAlignment="1">
      <alignment horizontal="center" vertical="center" wrapText="1"/>
    </xf>
    <xf numFmtId="0" fontId="40" fillId="29" borderId="50" xfId="8" applyFont="1" applyFill="1" applyBorder="1" applyAlignment="1">
      <alignment horizontal="center" vertical="center" wrapText="1"/>
    </xf>
    <xf numFmtId="0" fontId="38" fillId="29" borderId="54" xfId="8" applyFont="1" applyFill="1" applyBorder="1" applyAlignment="1">
      <alignment horizontal="left" vertical="center" wrapText="1"/>
    </xf>
    <xf numFmtId="0" fontId="38" fillId="29" borderId="56" xfId="8" applyFont="1" applyFill="1" applyBorder="1" applyAlignment="1">
      <alignment horizontal="left" vertical="center" wrapText="1"/>
    </xf>
    <xf numFmtId="0" fontId="12" fillId="24" borderId="1" xfId="0" applyFont="1" applyFill="1" applyBorder="1" applyAlignment="1">
      <alignment horizontal="center" vertical="center" wrapText="1"/>
    </xf>
    <xf numFmtId="0" fontId="38" fillId="0" borderId="79" xfId="0" applyFont="1" applyBorder="1" applyAlignment="1">
      <alignment wrapText="1"/>
    </xf>
    <xf numFmtId="0" fontId="41" fillId="16" borderId="1" xfId="8" applyFont="1" applyFill="1" applyBorder="1" applyAlignment="1">
      <alignment horizontal="center" vertical="center" wrapText="1"/>
    </xf>
    <xf numFmtId="0" fontId="48" fillId="29" borderId="11" xfId="8" applyFont="1" applyFill="1" applyBorder="1" applyAlignment="1">
      <alignment horizontal="center" vertical="center" wrapText="1"/>
    </xf>
    <xf numFmtId="0" fontId="48" fillId="29" borderId="89" xfId="8" applyFont="1" applyFill="1" applyBorder="1" applyAlignment="1">
      <alignment horizontal="center" vertical="center" wrapText="1"/>
    </xf>
    <xf numFmtId="0" fontId="56" fillId="29" borderId="2" xfId="8" applyFont="1" applyFill="1" applyBorder="1" applyAlignment="1">
      <alignment horizontal="left" vertical="center" wrapText="1"/>
    </xf>
    <xf numFmtId="0" fontId="40" fillId="29" borderId="66" xfId="8" applyFont="1" applyFill="1" applyBorder="1" applyAlignment="1">
      <alignment horizontal="center" vertical="center" wrapText="1"/>
    </xf>
    <xf numFmtId="0" fontId="40" fillId="29" borderId="78" xfId="8" applyFont="1" applyFill="1" applyBorder="1" applyAlignment="1">
      <alignment horizontal="center" vertical="center" wrapText="1"/>
    </xf>
    <xf numFmtId="0" fontId="40" fillId="29" borderId="115" xfId="8" applyFont="1" applyFill="1" applyBorder="1" applyAlignment="1">
      <alignment horizontal="center" vertical="center" wrapText="1"/>
    </xf>
    <xf numFmtId="0" fontId="40" fillId="29" borderId="67" xfId="8" applyFont="1" applyFill="1" applyBorder="1" applyAlignment="1">
      <alignment horizontal="center" vertical="center" wrapText="1"/>
    </xf>
    <xf numFmtId="0" fontId="38" fillId="29" borderId="8" xfId="8" applyFont="1" applyFill="1" applyBorder="1" applyAlignment="1">
      <alignment horizontal="left" vertical="center" wrapText="1"/>
    </xf>
    <xf numFmtId="0" fontId="40" fillId="29" borderId="116" xfId="8" applyFont="1" applyFill="1" applyBorder="1" applyAlignment="1">
      <alignment horizontal="center" vertical="center" wrapText="1"/>
    </xf>
    <xf numFmtId="0" fontId="40" fillId="29" borderId="117" xfId="8" applyFont="1" applyFill="1" applyBorder="1" applyAlignment="1">
      <alignment horizontal="center" vertical="center" wrapText="1"/>
    </xf>
    <xf numFmtId="0" fontId="40" fillId="29" borderId="118" xfId="8" applyFont="1" applyFill="1" applyBorder="1" applyAlignment="1">
      <alignment horizontal="center" vertical="center" wrapText="1"/>
    </xf>
    <xf numFmtId="0" fontId="38" fillId="0" borderId="7" xfId="8" applyFont="1" applyBorder="1" applyAlignment="1">
      <alignment wrapText="1"/>
    </xf>
    <xf numFmtId="0" fontId="77" fillId="29" borderId="1" xfId="0" applyFont="1" applyFill="1" applyBorder="1" applyAlignment="1">
      <alignment vertical="center" wrapText="1"/>
    </xf>
    <xf numFmtId="0" fontId="38" fillId="29" borderId="1" xfId="0" applyFont="1" applyFill="1" applyBorder="1" applyAlignment="1">
      <alignment vertical="center" wrapText="1"/>
    </xf>
    <xf numFmtId="0" fontId="38" fillId="0" borderId="1" xfId="0" applyFont="1" applyBorder="1" applyAlignment="1">
      <alignment vertical="center" wrapText="1"/>
    </xf>
    <xf numFmtId="0" fontId="1" fillId="25" borderId="13" xfId="0" applyFont="1" applyFill="1" applyBorder="1" applyAlignment="1">
      <alignment horizontal="left" vertical="center" wrapText="1"/>
    </xf>
    <xf numFmtId="3" fontId="11" fillId="11" borderId="3" xfId="0" applyNumberFormat="1" applyFont="1" applyFill="1" applyBorder="1" applyAlignment="1">
      <alignment vertical="center" wrapText="1"/>
    </xf>
    <xf numFmtId="3" fontId="11" fillId="11" borderId="46" xfId="0" applyNumberFormat="1" applyFont="1" applyFill="1" applyBorder="1" applyAlignment="1">
      <alignment vertical="center" wrapText="1"/>
    </xf>
    <xf numFmtId="9" fontId="57" fillId="9" borderId="11" xfId="2" applyFont="1" applyFill="1" applyBorder="1" applyAlignment="1">
      <alignment horizontal="center" vertical="center"/>
    </xf>
    <xf numFmtId="165" fontId="57" fillId="9" borderId="11" xfId="2" applyNumberFormat="1" applyFont="1" applyFill="1" applyBorder="1" applyAlignment="1">
      <alignment horizontal="center" vertical="center"/>
    </xf>
    <xf numFmtId="0" fontId="67" fillId="0" borderId="0" xfId="0" applyFont="1" applyBorder="1" applyAlignment="1">
      <alignment horizontal="center" vertical="center"/>
    </xf>
    <xf numFmtId="0" fontId="32" fillId="0" borderId="0" xfId="0" applyFont="1" applyBorder="1" applyAlignment="1">
      <alignment horizontal="center" vertical="center"/>
    </xf>
    <xf numFmtId="2" fontId="23" fillId="9" borderId="1" xfId="0" applyNumberFormat="1" applyFont="1" applyFill="1" applyBorder="1" applyAlignment="1">
      <alignment horizontal="center" vertical="center"/>
    </xf>
    <xf numFmtId="0" fontId="69" fillId="0" borderId="0" xfId="5" applyFont="1" applyBorder="1" applyAlignment="1">
      <alignment horizontal="center" vertical="center"/>
    </xf>
    <xf numFmtId="0" fontId="24" fillId="13" borderId="31" xfId="0" applyFont="1" applyFill="1" applyBorder="1" applyAlignment="1">
      <alignment horizontal="center" vertical="center" wrapText="1"/>
    </xf>
    <xf numFmtId="3" fontId="16" fillId="3" borderId="47" xfId="0" applyNumberFormat="1" applyFont="1" applyFill="1" applyBorder="1" applyAlignment="1">
      <alignment horizontal="center" vertical="center" wrapText="1"/>
    </xf>
    <xf numFmtId="3" fontId="13" fillId="2" borderId="1" xfId="0" applyNumberFormat="1" applyFont="1" applyFill="1" applyBorder="1" applyAlignment="1">
      <alignment horizontal="center"/>
    </xf>
    <xf numFmtId="0" fontId="49" fillId="29" borderId="1" xfId="0" applyFont="1" applyFill="1" applyBorder="1" applyAlignment="1">
      <alignment horizontal="center" vertical="center" wrapText="1"/>
    </xf>
    <xf numFmtId="3" fontId="13" fillId="2" borderId="8" xfId="0" applyNumberFormat="1" applyFont="1" applyFill="1" applyBorder="1" applyAlignment="1">
      <alignment horizontal="center"/>
    </xf>
    <xf numFmtId="3" fontId="13" fillId="2" borderId="3" xfId="0" applyNumberFormat="1" applyFont="1" applyFill="1" applyBorder="1" applyAlignment="1">
      <alignment horizontal="center"/>
    </xf>
    <xf numFmtId="0" fontId="40" fillId="0" borderId="122" xfId="8" applyFont="1" applyBorder="1" applyAlignment="1">
      <alignment horizontal="center" vertical="center" wrapText="1"/>
    </xf>
    <xf numFmtId="0" fontId="48" fillId="0" borderId="1" xfId="8" applyFont="1" applyBorder="1" applyAlignment="1">
      <alignment horizontal="center" vertical="center" wrapText="1"/>
    </xf>
    <xf numFmtId="0" fontId="62" fillId="0" borderId="1" xfId="8" applyFont="1" applyFill="1" applyBorder="1" applyAlignment="1">
      <alignment horizontal="center" vertical="center" wrapText="1"/>
    </xf>
    <xf numFmtId="0" fontId="49" fillId="16" borderId="12" xfId="4" applyFont="1" applyFill="1" applyBorder="1" applyAlignment="1">
      <alignment horizontal="center" vertical="center" wrapText="1"/>
    </xf>
    <xf numFmtId="3" fontId="51" fillId="11" borderId="11" xfId="4" applyNumberFormat="1" applyFont="1" applyFill="1" applyBorder="1" applyAlignment="1">
      <alignment horizontal="center" vertical="center" wrapText="1"/>
    </xf>
    <xf numFmtId="3" fontId="13" fillId="2" borderId="3" xfId="0" applyNumberFormat="1" applyFont="1" applyFill="1" applyBorder="1"/>
    <xf numFmtId="3" fontId="13" fillId="2" borderId="19" xfId="0" applyNumberFormat="1" applyFont="1" applyFill="1" applyBorder="1"/>
    <xf numFmtId="3" fontId="13" fillId="2" borderId="8" xfId="0" applyNumberFormat="1" applyFont="1" applyFill="1" applyBorder="1"/>
    <xf numFmtId="3" fontId="13" fillId="2" borderId="123" xfId="0" applyNumberFormat="1" applyFont="1" applyFill="1" applyBorder="1"/>
    <xf numFmtId="0" fontId="27" fillId="7" borderId="1" xfId="0" applyFont="1" applyFill="1" applyBorder="1" applyAlignment="1">
      <alignment horizontal="center" vertical="center" wrapText="1"/>
    </xf>
    <xf numFmtId="3" fontId="16" fillId="3" borderId="1" xfId="0" applyNumberFormat="1" applyFont="1" applyFill="1" applyBorder="1" applyAlignment="1">
      <alignment horizontal="center" vertical="center" wrapText="1"/>
    </xf>
    <xf numFmtId="0" fontId="27" fillId="7" borderId="2" xfId="0" applyFont="1" applyFill="1" applyBorder="1" applyAlignment="1">
      <alignment horizontal="center" vertical="center" wrapText="1"/>
    </xf>
    <xf numFmtId="0" fontId="27" fillId="35" borderId="1" xfId="0" applyFont="1" applyFill="1" applyBorder="1" applyAlignment="1">
      <alignment horizontal="center" vertical="center" wrapText="1"/>
    </xf>
    <xf numFmtId="0" fontId="14" fillId="35" borderId="1" xfId="0" applyFont="1" applyFill="1" applyBorder="1" applyAlignment="1">
      <alignment horizontal="center" vertical="center" wrapText="1"/>
    </xf>
    <xf numFmtId="0" fontId="49" fillId="24" borderId="1" xfId="0" applyFont="1" applyFill="1" applyBorder="1" applyAlignment="1">
      <alignment horizontal="center" vertical="center" wrapText="1"/>
    </xf>
    <xf numFmtId="0" fontId="49" fillId="34" borderId="1" xfId="0" applyFont="1" applyFill="1" applyBorder="1" applyAlignment="1">
      <alignment horizontal="center" vertical="center" wrapText="1"/>
    </xf>
    <xf numFmtId="0" fontId="49" fillId="30" borderId="1" xfId="0" applyFont="1" applyFill="1" applyBorder="1" applyAlignment="1">
      <alignment horizontal="center" vertical="center" wrapText="1"/>
    </xf>
    <xf numFmtId="0" fontId="49" fillId="19" borderId="1" xfId="0" applyFont="1" applyFill="1" applyBorder="1" applyAlignment="1">
      <alignment horizontal="center" vertical="center" wrapText="1"/>
    </xf>
    <xf numFmtId="0" fontId="12" fillId="29" borderId="1" xfId="0" applyFont="1" applyFill="1" applyBorder="1" applyAlignment="1">
      <alignment horizontal="center" vertical="center" wrapText="1"/>
    </xf>
    <xf numFmtId="0" fontId="34" fillId="12" borderId="12" xfId="0" applyFont="1" applyFill="1" applyBorder="1" applyAlignment="1">
      <alignment horizontal="center" vertical="center" wrapText="1"/>
    </xf>
    <xf numFmtId="0" fontId="34" fillId="12" borderId="0" xfId="0" applyFont="1" applyFill="1" applyBorder="1" applyAlignment="1">
      <alignment horizontal="center" vertical="center" wrapText="1"/>
    </xf>
    <xf numFmtId="0" fontId="34" fillId="12" borderId="36" xfId="0" applyFont="1" applyFill="1" applyBorder="1" applyAlignment="1">
      <alignment horizontal="center" vertical="center" wrapText="1"/>
    </xf>
    <xf numFmtId="0" fontId="40" fillId="0" borderId="35" xfId="8" applyFont="1" applyBorder="1" applyAlignment="1">
      <alignment horizontal="left" vertical="center" wrapText="1"/>
    </xf>
    <xf numFmtId="0" fontId="40" fillId="0" borderId="109" xfId="8" applyFont="1" applyBorder="1" applyAlignment="1">
      <alignment horizontal="left" vertical="center" wrapText="1"/>
    </xf>
    <xf numFmtId="0" fontId="90" fillId="29" borderId="104" xfId="0" applyFont="1" applyFill="1" applyBorder="1" applyAlignment="1">
      <alignment horizontal="left" vertical="center" wrapText="1"/>
    </xf>
    <xf numFmtId="0" fontId="90" fillId="29" borderId="105" xfId="0" applyFont="1" applyFill="1" applyBorder="1" applyAlignment="1">
      <alignment horizontal="left" vertical="center" wrapText="1"/>
    </xf>
    <xf numFmtId="0" fontId="90" fillId="29" borderId="106" xfId="0" applyFont="1" applyFill="1" applyBorder="1" applyAlignment="1">
      <alignment horizontal="left" vertical="center" wrapText="1"/>
    </xf>
    <xf numFmtId="0" fontId="40" fillId="0" borderId="10" xfId="8" applyFont="1" applyBorder="1" applyAlignment="1">
      <alignment horizontal="center" vertical="center" wrapText="1"/>
    </xf>
    <xf numFmtId="0" fontId="40" fillId="0" borderId="2" xfId="8" applyFont="1" applyBorder="1" applyAlignment="1">
      <alignment horizontal="center" vertical="center" wrapText="1"/>
    </xf>
    <xf numFmtId="0" fontId="72" fillId="0" borderId="119" xfId="0" applyFont="1" applyBorder="1" applyAlignment="1">
      <alignment horizontal="center" vertical="center" wrapText="1"/>
    </xf>
    <xf numFmtId="0" fontId="72" fillId="0" borderId="62" xfId="0" applyFont="1" applyBorder="1" applyAlignment="1">
      <alignment horizontal="center" vertical="center" wrapText="1"/>
    </xf>
    <xf numFmtId="0" fontId="48" fillId="0" borderId="3" xfId="8" applyFont="1" applyBorder="1" applyAlignment="1">
      <alignment horizontal="center" wrapText="1"/>
    </xf>
    <xf numFmtId="0" fontId="48" fillId="0" borderId="114" xfId="8" applyFont="1" applyBorder="1" applyAlignment="1">
      <alignment horizontal="center" wrapText="1"/>
    </xf>
    <xf numFmtId="0" fontId="48" fillId="0" borderId="3" xfId="8" applyFont="1" applyBorder="1" applyAlignment="1">
      <alignment horizontal="center" vertical="center" wrapText="1"/>
    </xf>
    <xf numFmtId="0" fontId="48" fillId="0" borderId="114" xfId="8" applyFont="1" applyBorder="1" applyAlignment="1">
      <alignment horizontal="center" vertical="center" wrapText="1"/>
    </xf>
    <xf numFmtId="0" fontId="73" fillId="0" borderId="111" xfId="0" applyFont="1" applyBorder="1" applyAlignment="1">
      <alignment horizontal="center" vertical="center" wrapText="1"/>
    </xf>
    <xf numFmtId="0" fontId="73" fillId="0" borderId="0" xfId="0" applyFont="1" applyBorder="1" applyAlignment="1">
      <alignment horizontal="center" vertical="center" wrapText="1"/>
    </xf>
    <xf numFmtId="0" fontId="73" fillId="0" borderId="121" xfId="0" applyFont="1" applyBorder="1" applyAlignment="1">
      <alignment horizontal="center" vertical="center" wrapText="1"/>
    </xf>
    <xf numFmtId="0" fontId="60" fillId="18" borderId="31" xfId="8" applyFont="1" applyFill="1" applyBorder="1" applyAlignment="1">
      <alignment horizontal="center" vertical="center" wrapText="1"/>
    </xf>
    <xf numFmtId="0" fontId="60" fillId="18" borderId="0" xfId="8" applyFont="1" applyFill="1" applyBorder="1" applyAlignment="1">
      <alignment horizontal="center" vertical="center" wrapText="1"/>
    </xf>
    <xf numFmtId="0" fontId="72" fillId="0" borderId="120" xfId="0" applyFont="1" applyBorder="1" applyAlignment="1">
      <alignment horizontal="center" vertical="center" wrapText="1"/>
    </xf>
    <xf numFmtId="0" fontId="38" fillId="0" borderId="7" xfId="8" applyFont="1" applyBorder="1" applyAlignment="1">
      <alignment horizontal="center" vertical="center" wrapText="1"/>
    </xf>
    <xf numFmtId="0" fontId="38" fillId="0" borderId="110" xfId="8" applyFont="1" applyBorder="1" applyAlignment="1">
      <alignment horizontal="center" vertical="center" wrapText="1"/>
    </xf>
    <xf numFmtId="0" fontId="38" fillId="0" borderId="10" xfId="8" applyFont="1" applyBorder="1" applyAlignment="1">
      <alignment horizontal="center" vertical="center" wrapText="1"/>
    </xf>
    <xf numFmtId="0" fontId="38" fillId="0" borderId="2" xfId="8" applyFont="1" applyBorder="1" applyAlignment="1">
      <alignment horizontal="center" vertical="center" wrapText="1"/>
    </xf>
    <xf numFmtId="0" fontId="39" fillId="12" borderId="53" xfId="8" applyFont="1" applyFill="1" applyBorder="1" applyAlignment="1">
      <alignment horizontal="center" vertical="center" wrapText="1"/>
    </xf>
    <xf numFmtId="0" fontId="39" fillId="12" borderId="55" xfId="8" applyFont="1" applyFill="1" applyBorder="1" applyAlignment="1">
      <alignment horizontal="center" vertical="center" wrapText="1"/>
    </xf>
    <xf numFmtId="0" fontId="39" fillId="12" borderId="72" xfId="8" applyFont="1" applyFill="1" applyBorder="1" applyAlignment="1">
      <alignment horizontal="center" vertical="center" wrapText="1"/>
    </xf>
    <xf numFmtId="0" fontId="40" fillId="29" borderId="17" xfId="8" applyFont="1" applyFill="1" applyBorder="1" applyAlignment="1">
      <alignment horizontal="center" vertical="center" wrapText="1"/>
    </xf>
    <xf numFmtId="0" fontId="40" fillId="29" borderId="107" xfId="8" applyFont="1" applyFill="1" applyBorder="1" applyAlignment="1">
      <alignment horizontal="center" vertical="center" wrapText="1"/>
    </xf>
    <xf numFmtId="0" fontId="40" fillId="29" borderId="61" xfId="8" applyFont="1" applyFill="1" applyBorder="1" applyAlignment="1">
      <alignment horizontal="center" vertical="center" wrapText="1"/>
    </xf>
    <xf numFmtId="0" fontId="40" fillId="29" borderId="35" xfId="8" applyFont="1" applyFill="1" applyBorder="1" applyAlignment="1">
      <alignment horizontal="center" vertical="center" wrapText="1"/>
    </xf>
    <xf numFmtId="0" fontId="40" fillId="29" borderId="34" xfId="8" applyFont="1" applyFill="1" applyBorder="1" applyAlignment="1">
      <alignment horizontal="center" vertical="center" wrapText="1"/>
    </xf>
    <xf numFmtId="0" fontId="40" fillId="29" borderId="39" xfId="8" applyFont="1" applyFill="1" applyBorder="1" applyAlignment="1">
      <alignment horizontal="center" vertical="center" wrapText="1"/>
    </xf>
    <xf numFmtId="0" fontId="40" fillId="29" borderId="69" xfId="8" applyFont="1" applyFill="1" applyBorder="1" applyAlignment="1">
      <alignment horizontal="center" vertical="center" wrapText="1"/>
    </xf>
    <xf numFmtId="0" fontId="62" fillId="29" borderId="1" xfId="8" applyFont="1" applyFill="1" applyBorder="1" applyAlignment="1">
      <alignment horizontal="center" vertical="center" wrapText="1"/>
    </xf>
    <xf numFmtId="0" fontId="62" fillId="29" borderId="3" xfId="8" applyFont="1" applyFill="1" applyBorder="1" applyAlignment="1">
      <alignment horizontal="center" vertical="center" wrapText="1"/>
    </xf>
    <xf numFmtId="0" fontId="62" fillId="29" borderId="9" xfId="8" applyFont="1" applyFill="1" applyBorder="1" applyAlignment="1">
      <alignment horizontal="center" vertical="center" wrapText="1"/>
    </xf>
    <xf numFmtId="0" fontId="62" fillId="29" borderId="113" xfId="8" applyFont="1" applyFill="1" applyBorder="1" applyAlignment="1">
      <alignment horizontal="center" vertical="center" wrapText="1"/>
    </xf>
    <xf numFmtId="0" fontId="62" fillId="29" borderId="114" xfId="8" applyFont="1" applyFill="1" applyBorder="1" applyAlignment="1">
      <alignment horizontal="center" vertical="center" wrapText="1"/>
    </xf>
    <xf numFmtId="0" fontId="41" fillId="16" borderId="39" xfId="8" applyFont="1" applyFill="1" applyBorder="1" applyAlignment="1">
      <alignment horizontal="center" vertical="center" wrapText="1"/>
    </xf>
    <xf numFmtId="0" fontId="41" fillId="16" borderId="68" xfId="8" applyFont="1" applyFill="1" applyBorder="1" applyAlignment="1">
      <alignment horizontal="center" vertical="center" wrapText="1"/>
    </xf>
    <xf numFmtId="0" fontId="41" fillId="16" borderId="37" xfId="8" applyFont="1" applyFill="1" applyBorder="1" applyAlignment="1">
      <alignment horizontal="center" vertical="center" wrapText="1"/>
    </xf>
    <xf numFmtId="0" fontId="41" fillId="16" borderId="38" xfId="8" applyFont="1" applyFill="1" applyBorder="1" applyAlignment="1">
      <alignment horizontal="center" vertical="center" wrapText="1"/>
    </xf>
    <xf numFmtId="0" fontId="60" fillId="18" borderId="54" xfId="8" applyFont="1" applyFill="1" applyBorder="1" applyAlignment="1">
      <alignment horizontal="center" vertical="center" wrapText="1"/>
    </xf>
    <xf numFmtId="0" fontId="60" fillId="18" borderId="51" xfId="8" applyFont="1" applyFill="1" applyBorder="1" applyAlignment="1">
      <alignment horizontal="center" vertical="center" wrapText="1"/>
    </xf>
    <xf numFmtId="0" fontId="40" fillId="0" borderId="7" xfId="8" applyFont="1" applyBorder="1" applyAlignment="1">
      <alignment horizontal="center" vertical="center" wrapText="1"/>
    </xf>
    <xf numFmtId="0" fontId="38" fillId="0" borderId="7" xfId="8" applyFont="1" applyBorder="1" applyAlignment="1">
      <alignment horizontal="left" vertical="center" wrapText="1"/>
    </xf>
    <xf numFmtId="0" fontId="38" fillId="0" borderId="10" xfId="8" applyFont="1" applyBorder="1" applyAlignment="1">
      <alignment horizontal="left" vertical="center" wrapText="1"/>
    </xf>
    <xf numFmtId="0" fontId="38" fillId="0" borderId="2" xfId="8" applyFont="1" applyBorder="1" applyAlignment="1">
      <alignment horizontal="left" vertical="center" wrapText="1"/>
    </xf>
    <xf numFmtId="0" fontId="40" fillId="0" borderId="35" xfId="8" applyFont="1" applyBorder="1" applyAlignment="1">
      <alignment horizontal="center" vertical="center" wrapText="1"/>
    </xf>
    <xf numFmtId="0" fontId="40" fillId="0" borderId="32" xfId="8" applyFont="1" applyBorder="1" applyAlignment="1">
      <alignment horizontal="center" vertical="center" wrapText="1"/>
    </xf>
    <xf numFmtId="0" fontId="38" fillId="0" borderId="52" xfId="8" applyFont="1" applyBorder="1" applyAlignment="1">
      <alignment horizontal="left" vertical="center" wrapText="1"/>
    </xf>
    <xf numFmtId="0" fontId="38" fillId="0" borderId="0" xfId="8" applyFont="1" applyAlignment="1">
      <alignment horizontal="left" vertical="center" wrapText="1"/>
    </xf>
    <xf numFmtId="0" fontId="38" fillId="0" borderId="30" xfId="8" applyFont="1" applyBorder="1" applyAlignment="1">
      <alignment horizontal="left" vertical="center" wrapText="1"/>
    </xf>
    <xf numFmtId="0" fontId="40" fillId="0" borderId="34" xfId="8" applyFont="1" applyBorder="1" applyAlignment="1">
      <alignment horizontal="center" vertical="center" wrapText="1"/>
    </xf>
    <xf numFmtId="0" fontId="40" fillId="0" borderId="74" xfId="8" applyFont="1" applyBorder="1" applyAlignment="1">
      <alignment horizontal="center" vertical="center" wrapText="1"/>
    </xf>
    <xf numFmtId="0" fontId="40" fillId="0" borderId="75" xfId="8" applyFont="1" applyBorder="1" applyAlignment="1">
      <alignment horizontal="center" vertical="center" wrapText="1"/>
    </xf>
    <xf numFmtId="0" fontId="54" fillId="0" borderId="60" xfId="8" applyFont="1" applyBorder="1" applyAlignment="1">
      <alignment horizontal="center" vertical="center" wrapText="1"/>
    </xf>
    <xf numFmtId="0" fontId="54" fillId="0" borderId="63" xfId="8" applyFont="1" applyBorder="1" applyAlignment="1">
      <alignment horizontal="center" vertical="center" wrapText="1"/>
    </xf>
    <xf numFmtId="0" fontId="41" fillId="16" borderId="0" xfId="8" applyFont="1" applyFill="1" applyBorder="1" applyAlignment="1">
      <alignment horizontal="center" vertical="center" wrapText="1"/>
    </xf>
    <xf numFmtId="0" fontId="41" fillId="16" borderId="70" xfId="8" applyFont="1" applyFill="1" applyBorder="1" applyAlignment="1">
      <alignment horizontal="center" vertical="center" wrapText="1"/>
    </xf>
    <xf numFmtId="0" fontId="48" fillId="0" borderId="11" xfId="8" applyFont="1" applyBorder="1" applyAlignment="1">
      <alignment horizontal="center" vertical="center" wrapText="1"/>
    </xf>
    <xf numFmtId="0" fontId="48" fillId="0" borderId="98" xfId="8" applyFont="1" applyBorder="1" applyAlignment="1">
      <alignment horizontal="center" vertical="center" wrapText="1"/>
    </xf>
    <xf numFmtId="0" fontId="48" fillId="0" borderId="12" xfId="8" applyFont="1" applyBorder="1" applyAlignment="1">
      <alignment horizontal="center" vertical="center" wrapText="1"/>
    </xf>
    <xf numFmtId="0" fontId="48" fillId="0" borderId="36" xfId="8" applyFont="1" applyBorder="1" applyAlignment="1">
      <alignment horizontal="center" vertical="center" wrapText="1"/>
    </xf>
    <xf numFmtId="0" fontId="48" fillId="0" borderId="9" xfId="8" applyFont="1" applyBorder="1" applyAlignment="1">
      <alignment horizontal="center" vertical="center" wrapText="1"/>
    </xf>
    <xf numFmtId="0" fontId="48" fillId="0" borderId="113" xfId="8" applyFont="1" applyBorder="1" applyAlignment="1">
      <alignment horizontal="center" vertical="center" wrapText="1"/>
    </xf>
    <xf numFmtId="0" fontId="69" fillId="0" borderId="0" xfId="8" applyFont="1" applyAlignment="1">
      <alignment horizontal="center" vertical="center"/>
    </xf>
    <xf numFmtId="0" fontId="69" fillId="0" borderId="36" xfId="8" applyFont="1" applyBorder="1" applyAlignment="1">
      <alignment horizontal="center" vertical="center"/>
    </xf>
    <xf numFmtId="0" fontId="48" fillId="0" borderId="8" xfId="8" applyFont="1" applyBorder="1" applyAlignment="1">
      <alignment horizontal="center" vertical="center" wrapText="1"/>
    </xf>
    <xf numFmtId="0" fontId="48" fillId="29" borderId="1" xfId="8" applyFont="1" applyFill="1" applyBorder="1" applyAlignment="1">
      <alignment horizontal="center" vertical="center" wrapText="1"/>
    </xf>
    <xf numFmtId="0" fontId="48" fillId="29" borderId="3" xfId="8" applyFont="1" applyFill="1" applyBorder="1" applyAlignment="1">
      <alignment horizontal="center" vertical="center" wrapText="1"/>
    </xf>
    <xf numFmtId="0" fontId="48" fillId="29" borderId="8" xfId="8" applyFont="1" applyFill="1" applyBorder="1" applyAlignment="1">
      <alignment horizontal="center" vertical="center" wrapText="1"/>
    </xf>
    <xf numFmtId="0" fontId="3" fillId="0" borderId="55" xfId="8" applyFont="1" applyBorder="1" applyAlignment="1">
      <alignment horizontal="center" vertical="center"/>
    </xf>
    <xf numFmtId="0" fontId="7" fillId="0" borderId="55" xfId="8" applyBorder="1" applyAlignment="1">
      <alignment horizontal="center" vertical="center"/>
    </xf>
    <xf numFmtId="0" fontId="72" fillId="0" borderId="111" xfId="0" applyFont="1" applyBorder="1" applyAlignment="1">
      <alignment horizontal="center" vertical="center" wrapText="1"/>
    </xf>
    <xf numFmtId="0" fontId="72" fillId="0" borderId="0" xfId="0" applyFont="1" applyBorder="1" applyAlignment="1">
      <alignment horizontal="center" vertical="center" wrapText="1"/>
    </xf>
    <xf numFmtId="0" fontId="27" fillId="32" borderId="73" xfId="12" applyFont="1" applyFill="1" applyBorder="1" applyAlignment="1">
      <alignment horizontal="center" vertical="top" wrapText="1"/>
    </xf>
    <xf numFmtId="0" fontId="27" fillId="32" borderId="50" xfId="12" applyFont="1" applyFill="1" applyBorder="1" applyAlignment="1">
      <alignment horizontal="center" vertical="top" wrapText="1"/>
    </xf>
    <xf numFmtId="0" fontId="38" fillId="0" borderId="96" xfId="8" applyFont="1" applyBorder="1" applyAlignment="1">
      <alignment horizontal="center" vertical="center" wrapText="1"/>
    </xf>
    <xf numFmtId="0" fontId="38" fillId="0" borderId="94" xfId="8" applyFont="1" applyBorder="1" applyAlignment="1">
      <alignment horizontal="center" vertical="center" wrapText="1"/>
    </xf>
    <xf numFmtId="0" fontId="38" fillId="0" borderId="15" xfId="8" applyFont="1" applyBorder="1" applyAlignment="1">
      <alignment horizontal="center" vertical="center" wrapText="1"/>
    </xf>
    <xf numFmtId="0" fontId="38" fillId="0" borderId="93" xfId="8" applyFont="1" applyBorder="1" applyAlignment="1">
      <alignment horizontal="center" vertical="center" wrapText="1"/>
    </xf>
    <xf numFmtId="0" fontId="72" fillId="0" borderId="101" xfId="0" applyFont="1" applyBorder="1" applyAlignment="1">
      <alignment horizontal="center" vertical="center" wrapText="1"/>
    </xf>
    <xf numFmtId="0" fontId="72" fillId="0" borderId="102" xfId="0" applyFont="1" applyBorder="1" applyAlignment="1">
      <alignment horizontal="center" vertical="center" wrapText="1"/>
    </xf>
    <xf numFmtId="0" fontId="85" fillId="13" borderId="31" xfId="0" applyFont="1" applyFill="1" applyBorder="1" applyAlignment="1">
      <alignment horizontal="center" vertical="center" textRotation="90" wrapText="1"/>
    </xf>
    <xf numFmtId="0" fontId="85" fillId="13" borderId="0" xfId="0" applyFont="1" applyFill="1" applyBorder="1" applyAlignment="1">
      <alignment horizontal="center" vertical="center" textRotation="90" wrapText="1"/>
    </xf>
    <xf numFmtId="0" fontId="85" fillId="13" borderId="26" xfId="0" applyFont="1" applyFill="1" applyBorder="1" applyAlignment="1">
      <alignment horizontal="center" vertical="center" textRotation="90" wrapText="1"/>
    </xf>
    <xf numFmtId="0" fontId="86" fillId="13" borderId="73" xfId="0" applyFont="1" applyFill="1" applyBorder="1" applyAlignment="1">
      <alignment horizontal="center" vertical="center" wrapText="1"/>
    </xf>
    <xf numFmtId="0" fontId="86" fillId="13" borderId="108" xfId="0" applyFont="1" applyFill="1" applyBorder="1" applyAlignment="1">
      <alignment horizontal="center" vertical="center" wrapText="1"/>
    </xf>
    <xf numFmtId="0" fontId="86" fillId="13" borderId="50" xfId="0" applyFont="1" applyFill="1" applyBorder="1" applyAlignment="1">
      <alignment horizontal="center" vertical="center" wrapText="1"/>
    </xf>
    <xf numFmtId="0" fontId="69" fillId="0" borderId="0" xfId="9" applyFont="1" applyBorder="1" applyAlignment="1">
      <alignment horizontal="center" vertical="center" wrapText="1"/>
    </xf>
    <xf numFmtId="0" fontId="69" fillId="0" borderId="36" xfId="9" applyFont="1" applyBorder="1" applyAlignment="1">
      <alignment horizontal="center" vertical="center" wrapText="1"/>
    </xf>
    <xf numFmtId="0" fontId="85" fillId="13" borderId="39" xfId="0" applyFont="1" applyFill="1" applyBorder="1" applyAlignment="1">
      <alignment horizontal="center" vertical="center" wrapText="1"/>
    </xf>
    <xf numFmtId="0" fontId="85" fillId="13" borderId="68" xfId="0" applyFont="1" applyFill="1" applyBorder="1" applyAlignment="1">
      <alignment horizontal="center" vertical="center" wrapText="1"/>
    </xf>
    <xf numFmtId="0" fontId="85" fillId="13" borderId="69" xfId="0" applyFont="1" applyFill="1" applyBorder="1" applyAlignment="1">
      <alignment horizontal="center" vertical="center" wrapText="1"/>
    </xf>
    <xf numFmtId="0" fontId="53" fillId="0" borderId="37" xfId="0" applyFont="1" applyBorder="1" applyAlignment="1">
      <alignment vertical="center" wrapText="1"/>
    </xf>
    <xf numFmtId="0" fontId="53" fillId="0" borderId="20" xfId="0" applyFont="1" applyBorder="1" applyAlignment="1">
      <alignment vertical="center" wrapText="1"/>
    </xf>
    <xf numFmtId="0" fontId="53" fillId="0" borderId="51" xfId="0" applyFont="1" applyBorder="1" applyAlignment="1">
      <alignment vertical="center" wrapText="1"/>
    </xf>
    <xf numFmtId="0" fontId="53" fillId="0" borderId="36" xfId="0" applyFont="1" applyBorder="1" applyAlignment="1">
      <alignment vertical="center" wrapText="1"/>
    </xf>
    <xf numFmtId="0" fontId="0" fillId="0" borderId="51" xfId="0" applyBorder="1" applyAlignment="1">
      <alignment vertical="top" wrapText="1"/>
    </xf>
    <xf numFmtId="0" fontId="0" fillId="0" borderId="36" xfId="0" applyBorder="1" applyAlignment="1">
      <alignment vertical="top" wrapText="1"/>
    </xf>
    <xf numFmtId="0" fontId="0" fillId="0" borderId="38" xfId="0" applyBorder="1" applyAlignment="1">
      <alignment vertical="top" wrapText="1"/>
    </xf>
    <xf numFmtId="0" fontId="0" fillId="0" borderId="70" xfId="0" applyBorder="1" applyAlignment="1">
      <alignment vertical="top" wrapText="1"/>
    </xf>
    <xf numFmtId="0" fontId="86" fillId="13" borderId="39" xfId="0" applyFont="1" applyFill="1" applyBorder="1" applyAlignment="1">
      <alignment horizontal="center" vertical="center" wrapText="1"/>
    </xf>
    <xf numFmtId="0" fontId="86" fillId="13" borderId="68" xfId="0" applyFont="1" applyFill="1" applyBorder="1" applyAlignment="1">
      <alignment horizontal="center" vertical="center" wrapText="1"/>
    </xf>
    <xf numFmtId="0" fontId="86" fillId="13" borderId="69" xfId="0" applyFont="1" applyFill="1" applyBorder="1" applyAlignment="1">
      <alignment horizontal="center" vertical="center" wrapText="1"/>
    </xf>
    <xf numFmtId="0" fontId="69" fillId="0" borderId="26" xfId="9" applyFont="1" applyBorder="1" applyAlignment="1">
      <alignment horizontal="center" vertical="center"/>
    </xf>
    <xf numFmtId="0" fontId="69" fillId="0" borderId="70" xfId="9" applyFont="1" applyBorder="1" applyAlignment="1">
      <alignment horizontal="center" vertical="center"/>
    </xf>
    <xf numFmtId="0" fontId="70" fillId="13" borderId="30" xfId="0" applyFont="1" applyFill="1" applyBorder="1" applyAlignment="1">
      <alignment horizontal="center" vertical="center" wrapText="1"/>
    </xf>
    <xf numFmtId="0" fontId="69" fillId="0" borderId="0" xfId="9" applyFont="1" applyBorder="1" applyAlignment="1">
      <alignment horizontal="center" vertical="center"/>
    </xf>
    <xf numFmtId="0" fontId="69" fillId="0" borderId="36" xfId="9" applyFont="1" applyBorder="1" applyAlignment="1">
      <alignment horizontal="center" vertical="center"/>
    </xf>
    <xf numFmtId="0" fontId="42" fillId="13" borderId="30" xfId="0" applyFont="1" applyFill="1" applyBorder="1" applyAlignment="1">
      <alignment horizontal="center" vertical="center" wrapText="1"/>
    </xf>
    <xf numFmtId="0" fontId="42" fillId="13" borderId="113" xfId="0" applyFont="1" applyFill="1" applyBorder="1" applyAlignment="1">
      <alignment horizontal="center" vertical="center" wrapText="1"/>
    </xf>
    <xf numFmtId="0" fontId="49" fillId="29" borderId="39" xfId="0" applyFont="1" applyFill="1" applyBorder="1" applyAlignment="1">
      <alignment horizontal="center" vertical="center" wrapText="1"/>
    </xf>
    <xf numFmtId="0" fontId="49" fillId="29" borderId="68" xfId="0" applyFont="1" applyFill="1" applyBorder="1" applyAlignment="1">
      <alignment horizontal="center" vertical="center" wrapText="1"/>
    </xf>
    <xf numFmtId="0" fontId="49" fillId="29" borderId="69" xfId="0" applyFont="1" applyFill="1" applyBorder="1" applyAlignment="1">
      <alignment horizontal="center" vertical="center" wrapText="1"/>
    </xf>
    <xf numFmtId="0" fontId="49" fillId="12" borderId="68" xfId="0" applyFont="1" applyFill="1" applyBorder="1" applyAlignment="1">
      <alignment horizontal="center" vertical="center" wrapText="1"/>
    </xf>
    <xf numFmtId="0" fontId="24" fillId="13" borderId="0" xfId="0" applyFont="1" applyFill="1" applyAlignment="1">
      <alignment horizontal="center" vertical="center" wrapText="1"/>
    </xf>
    <xf numFmtId="0" fontId="13" fillId="12" borderId="39" xfId="0" applyFont="1" applyFill="1" applyBorder="1" applyAlignment="1">
      <alignment horizontal="center" vertical="center" wrapText="1"/>
    </xf>
    <xf numFmtId="0" fontId="13" fillId="12" borderId="69" xfId="0" applyFont="1" applyFill="1" applyBorder="1" applyAlignment="1">
      <alignment horizontal="center" vertical="center" wrapText="1"/>
    </xf>
    <xf numFmtId="0" fontId="49" fillId="30" borderId="39" xfId="0" applyFont="1" applyFill="1" applyBorder="1" applyAlignment="1">
      <alignment horizontal="center" vertical="center" wrapText="1"/>
    </xf>
    <xf numFmtId="0" fontId="49" fillId="30" borderId="68" xfId="0" applyFont="1" applyFill="1" applyBorder="1" applyAlignment="1">
      <alignment horizontal="center" vertical="center" wrapText="1"/>
    </xf>
    <xf numFmtId="0" fontId="49" fillId="30" borderId="69" xfId="0" applyFont="1" applyFill="1" applyBorder="1" applyAlignment="1">
      <alignment horizontal="center" vertical="center" wrapText="1"/>
    </xf>
    <xf numFmtId="0" fontId="69" fillId="0" borderId="30" xfId="11" applyFont="1" applyBorder="1" applyAlignment="1">
      <alignment horizontal="center" vertical="center"/>
    </xf>
    <xf numFmtId="2" fontId="71" fillId="11" borderId="47" xfId="2" applyNumberFormat="1" applyFont="1" applyFill="1" applyBorder="1" applyAlignment="1">
      <alignment horizontal="center" vertical="center" wrapText="1"/>
    </xf>
    <xf numFmtId="2" fontId="71" fillId="11" borderId="8" xfId="2" applyNumberFormat="1" applyFont="1" applyFill="1" applyBorder="1" applyAlignment="1">
      <alignment horizontal="center" vertical="center" wrapText="1"/>
    </xf>
    <xf numFmtId="9" fontId="11" fillId="0" borderId="10" xfId="0" applyNumberFormat="1" applyFont="1" applyBorder="1" applyAlignment="1">
      <alignment horizontal="center" vertical="center"/>
    </xf>
    <xf numFmtId="0" fontId="13" fillId="12" borderId="68" xfId="0" applyFont="1" applyFill="1" applyBorder="1" applyAlignment="1">
      <alignment horizontal="center" vertical="center" wrapText="1"/>
    </xf>
    <xf numFmtId="0" fontId="64" fillId="16" borderId="51" xfId="9" applyFont="1" applyFill="1" applyBorder="1" applyAlignment="1">
      <alignment horizontal="center" vertical="center" wrapText="1"/>
    </xf>
    <xf numFmtId="0" fontId="64" fillId="16" borderId="90" xfId="9" applyFont="1" applyFill="1" applyBorder="1" applyAlignment="1">
      <alignment horizontal="center" vertical="center" wrapText="1"/>
    </xf>
    <xf numFmtId="0" fontId="13" fillId="16" borderId="52" xfId="0" applyFont="1" applyFill="1" applyBorder="1" applyAlignment="1">
      <alignment horizontal="center" vertical="center"/>
    </xf>
    <xf numFmtId="0" fontId="13" fillId="16" borderId="98" xfId="0" applyFont="1" applyFill="1" applyBorder="1" applyAlignment="1">
      <alignment horizontal="center" vertical="center"/>
    </xf>
    <xf numFmtId="9" fontId="71" fillId="28" borderId="80" xfId="2" applyFont="1" applyFill="1" applyBorder="1" applyAlignment="1">
      <alignment horizontal="center" vertical="center" wrapText="1"/>
    </xf>
    <xf numFmtId="9" fontId="71" fillId="28" borderId="81" xfId="2" applyFont="1" applyFill="1" applyBorder="1" applyAlignment="1">
      <alignment horizontal="center" vertical="center" wrapText="1"/>
    </xf>
    <xf numFmtId="0" fontId="49" fillId="12" borderId="39" xfId="0" applyFont="1" applyFill="1" applyBorder="1" applyAlignment="1">
      <alignment horizontal="center" vertical="center" wrapText="1"/>
    </xf>
    <xf numFmtId="0" fontId="49" fillId="12" borderId="69" xfId="0" applyFont="1" applyFill="1" applyBorder="1" applyAlignment="1">
      <alignment horizontal="center" vertical="center" wrapText="1"/>
    </xf>
    <xf numFmtId="0" fontId="69" fillId="0" borderId="26" xfId="5" applyFont="1" applyBorder="1" applyAlignment="1">
      <alignment horizontal="center" vertical="center"/>
    </xf>
    <xf numFmtId="0" fontId="69" fillId="0" borderId="70" xfId="5" applyFont="1" applyBorder="1" applyAlignment="1">
      <alignment horizontal="center" vertical="center"/>
    </xf>
    <xf numFmtId="0" fontId="68" fillId="0" borderId="37" xfId="0" applyFont="1" applyBorder="1" applyAlignment="1">
      <alignment horizontal="center" vertical="center"/>
    </xf>
    <xf numFmtId="0" fontId="68" fillId="0" borderId="31" xfId="0" applyFont="1" applyBorder="1" applyAlignment="1">
      <alignment horizontal="center" vertical="center"/>
    </xf>
    <xf numFmtId="0" fontId="68" fillId="0" borderId="20" xfId="0" applyFont="1" applyBorder="1" applyAlignment="1">
      <alignment horizontal="center" vertical="center"/>
    </xf>
    <xf numFmtId="0" fontId="68" fillId="0" borderId="22" xfId="0" applyFont="1" applyBorder="1" applyAlignment="1">
      <alignment horizontal="center" vertical="center"/>
    </xf>
    <xf numFmtId="0" fontId="68" fillId="0" borderId="23" xfId="0" applyFont="1" applyBorder="1" applyAlignment="1">
      <alignment horizontal="center" vertical="center"/>
    </xf>
    <xf numFmtId="0" fontId="68" fillId="0" borderId="49" xfId="0" applyFont="1" applyBorder="1" applyAlignment="1">
      <alignment horizontal="center" vertical="center"/>
    </xf>
    <xf numFmtId="0" fontId="68" fillId="0" borderId="39" xfId="0" applyFont="1" applyBorder="1" applyAlignment="1">
      <alignment horizontal="center" vertical="center"/>
    </xf>
    <xf numFmtId="0" fontId="68" fillId="0" borderId="68" xfId="0" applyFont="1" applyBorder="1" applyAlignment="1">
      <alignment horizontal="center" vertical="center"/>
    </xf>
    <xf numFmtId="0" fontId="68" fillId="0" borderId="69" xfId="0" applyFont="1" applyBorder="1" applyAlignment="1">
      <alignment horizontal="center" vertical="center"/>
    </xf>
    <xf numFmtId="0" fontId="68" fillId="0" borderId="39" xfId="0" applyFont="1" applyBorder="1" applyAlignment="1">
      <alignment horizontal="center" vertical="center" wrapText="1"/>
    </xf>
    <xf numFmtId="0" fontId="68" fillId="0" borderId="69" xfId="0" applyFont="1" applyBorder="1" applyAlignment="1">
      <alignment horizontal="center" vertical="center" wrapText="1"/>
    </xf>
    <xf numFmtId="0" fontId="32" fillId="0" borderId="26" xfId="0" applyFont="1" applyBorder="1" applyAlignment="1">
      <alignment horizontal="center" vertical="center"/>
    </xf>
    <xf numFmtId="0" fontId="49" fillId="35" borderId="30" xfId="0" applyFont="1" applyFill="1" applyBorder="1" applyAlignment="1">
      <alignment horizontal="center" vertical="center" wrapText="1"/>
    </xf>
    <xf numFmtId="0" fontId="27" fillId="19" borderId="30" xfId="0" applyFont="1" applyFill="1" applyBorder="1" applyAlignment="1">
      <alignment horizontal="center" vertical="center" wrapText="1"/>
    </xf>
    <xf numFmtId="0" fontId="67" fillId="0" borderId="0" xfId="0" applyFont="1" applyBorder="1" applyAlignment="1">
      <alignment horizontal="center" vertical="center"/>
    </xf>
    <xf numFmtId="0" fontId="32" fillId="0" borderId="0" xfId="0" applyFont="1" applyBorder="1" applyAlignment="1">
      <alignment horizontal="center" vertical="center"/>
    </xf>
    <xf numFmtId="3" fontId="50" fillId="24" borderId="30" xfId="0" applyNumberFormat="1" applyFont="1" applyFill="1" applyBorder="1" applyAlignment="1">
      <alignment horizontal="center"/>
    </xf>
    <xf numFmtId="0" fontId="16" fillId="9" borderId="3" xfId="0" applyFont="1" applyFill="1" applyBorder="1" applyAlignment="1">
      <alignment horizontal="center" vertical="center" wrapText="1"/>
    </xf>
    <xf numFmtId="0" fontId="16" fillId="9" borderId="5" xfId="0" applyFont="1" applyFill="1" applyBorder="1" applyAlignment="1">
      <alignment horizontal="center" vertical="center" wrapText="1"/>
    </xf>
    <xf numFmtId="0" fontId="16" fillId="9" borderId="8" xfId="0" applyFont="1" applyFill="1" applyBorder="1" applyAlignment="1">
      <alignment horizontal="center" vertical="center" wrapText="1"/>
    </xf>
    <xf numFmtId="3" fontId="51" fillId="11" borderId="3" xfId="0" applyNumberFormat="1" applyFont="1" applyFill="1" applyBorder="1" applyAlignment="1">
      <alignment horizontal="center" vertical="center" wrapText="1"/>
    </xf>
    <xf numFmtId="3" fontId="51" fillId="11" borderId="5" xfId="0" applyNumberFormat="1" applyFont="1" applyFill="1" applyBorder="1" applyAlignment="1">
      <alignment horizontal="center" vertical="center" wrapText="1"/>
    </xf>
    <xf numFmtId="3" fontId="51" fillId="11" borderId="8" xfId="0" applyNumberFormat="1" applyFont="1" applyFill="1" applyBorder="1" applyAlignment="1">
      <alignment horizontal="center" vertical="center" wrapText="1"/>
    </xf>
    <xf numFmtId="0" fontId="27" fillId="4" borderId="39" xfId="0" applyFont="1" applyFill="1" applyBorder="1" applyAlignment="1">
      <alignment horizontal="center" vertical="center" wrapText="1"/>
    </xf>
    <xf numFmtId="0" fontId="27" fillId="4" borderId="68" xfId="0" applyFont="1" applyFill="1" applyBorder="1" applyAlignment="1">
      <alignment horizontal="center" vertical="center" wrapText="1"/>
    </xf>
    <xf numFmtId="0" fontId="27" fillId="4" borderId="69" xfId="0" applyFont="1" applyFill="1" applyBorder="1" applyAlignment="1">
      <alignment horizontal="center" vertical="center" wrapText="1"/>
    </xf>
    <xf numFmtId="0" fontId="24" fillId="13" borderId="22" xfId="0" applyFont="1" applyFill="1" applyBorder="1" applyAlignment="1">
      <alignment horizontal="center" vertical="center" wrapText="1"/>
    </xf>
    <xf numFmtId="0" fontId="24" fillId="13" borderId="23" xfId="0" applyFont="1" applyFill="1" applyBorder="1" applyAlignment="1">
      <alignment horizontal="center" vertical="center" wrapText="1"/>
    </xf>
    <xf numFmtId="0" fontId="24" fillId="13" borderId="49" xfId="0" applyFont="1" applyFill="1" applyBorder="1" applyAlignment="1">
      <alignment horizontal="center" vertical="center" wrapText="1"/>
    </xf>
    <xf numFmtId="0" fontId="24" fillId="33" borderId="39" xfId="0" applyFont="1" applyFill="1" applyBorder="1" applyAlignment="1">
      <alignment horizontal="center" vertical="center" wrapText="1"/>
    </xf>
    <xf numFmtId="0" fontId="24" fillId="33" borderId="68" xfId="0" applyFont="1" applyFill="1" applyBorder="1" applyAlignment="1">
      <alignment horizontal="center" vertical="center" wrapText="1"/>
    </xf>
    <xf numFmtId="0" fontId="24" fillId="33" borderId="69" xfId="0" applyFont="1" applyFill="1" applyBorder="1" applyAlignment="1">
      <alignment horizontal="center" vertical="center" wrapText="1"/>
    </xf>
    <xf numFmtId="0" fontId="27" fillId="19" borderId="56" xfId="0" applyFont="1" applyFill="1" applyBorder="1" applyAlignment="1">
      <alignment horizontal="center" vertical="center" wrapText="1"/>
    </xf>
  </cellXfs>
  <cellStyles count="14">
    <cellStyle name="Comma" xfId="1" builtinId="3"/>
    <cellStyle name="Millares 2" xfId="3"/>
    <cellStyle name="Normal" xfId="0" builtinId="0"/>
    <cellStyle name="Normal 2" xfId="4"/>
    <cellStyle name="Normal 3" xfId="5"/>
    <cellStyle name="Normal 3 2" xfId="6"/>
    <cellStyle name="Normal 3 2 2" xfId="9"/>
    <cellStyle name="Normal 3 2 2 2" xfId="10"/>
    <cellStyle name="Normal 3 2 2 2 2" xfId="11"/>
    <cellStyle name="Normal 3 3" xfId="7"/>
    <cellStyle name="Normal 3 4" xfId="8"/>
    <cellStyle name="Normal 3 5" xfId="13"/>
    <cellStyle name="Normal 4" xfId="12"/>
    <cellStyle name="Percent" xfId="2" builtinId="5"/>
  </cellStyles>
  <dxfs count="233">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CC0000"/>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theme="3" tint="0.39994506668294322"/>
        </patternFill>
      </fill>
    </dxf>
    <dxf>
      <fill>
        <patternFill>
          <bgColor theme="8" tint="-0.24994659260841701"/>
        </patternFill>
      </fill>
    </dxf>
    <dxf>
      <fill>
        <patternFill>
          <bgColor rgb="FFFF0000"/>
        </patternFill>
      </fill>
    </dxf>
    <dxf>
      <fill>
        <patternFill>
          <bgColor theme="4" tint="0.7999816888943144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F0000"/>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theme="4" tint="0.79998168889431442"/>
        </patternFill>
      </fill>
    </dxf>
    <dxf>
      <fill>
        <patternFill>
          <bgColor rgb="FF85200C"/>
        </patternFill>
      </fill>
    </dxf>
    <dxf>
      <fill>
        <patternFill>
          <bgColor rgb="FFF00000"/>
        </patternFill>
      </fill>
    </dxf>
    <dxf>
      <fill>
        <patternFill>
          <bgColor theme="9"/>
        </patternFill>
      </fill>
    </dxf>
    <dxf>
      <fill>
        <patternFill>
          <bgColor rgb="FFFFFF00"/>
        </patternFill>
      </fill>
    </dxf>
    <dxf>
      <fill>
        <patternFill>
          <bgColor rgb="FF8BE7B7"/>
        </patternFill>
      </fill>
    </dxf>
    <dxf>
      <fill>
        <patternFill>
          <bgColor theme="4" tint="0.79998168889431442"/>
        </patternFill>
      </fill>
    </dxf>
    <dxf>
      <fill>
        <patternFill>
          <bgColor rgb="FF85200C"/>
        </patternFill>
      </fill>
    </dxf>
    <dxf>
      <fill>
        <patternFill>
          <bgColor rgb="FFF00000"/>
        </patternFill>
      </fill>
    </dxf>
    <dxf>
      <fill>
        <patternFill>
          <bgColor theme="9"/>
        </patternFill>
      </fill>
    </dxf>
    <dxf>
      <fill>
        <patternFill>
          <bgColor rgb="FFFFFF00"/>
        </patternFill>
      </fill>
    </dxf>
    <dxf>
      <fill>
        <patternFill>
          <bgColor rgb="FF8BE7B7"/>
        </patternFill>
      </fill>
    </dxf>
    <dxf>
      <fill>
        <patternFill>
          <bgColor theme="4" tint="0.79998168889431442"/>
        </patternFill>
      </fill>
    </dxf>
    <dxf>
      <fill>
        <patternFill>
          <bgColor rgb="FF85200C"/>
        </patternFill>
      </fill>
    </dxf>
    <dxf>
      <fill>
        <patternFill>
          <bgColor rgb="FFF00000"/>
        </patternFill>
      </fill>
    </dxf>
    <dxf>
      <fill>
        <patternFill>
          <bgColor theme="9"/>
        </patternFill>
      </fill>
    </dxf>
    <dxf>
      <fill>
        <patternFill>
          <bgColor rgb="FFFFFF00"/>
        </patternFill>
      </fill>
    </dxf>
    <dxf>
      <fill>
        <patternFill>
          <bgColor rgb="FF8BE7B7"/>
        </patternFill>
      </fill>
    </dxf>
    <dxf>
      <fill>
        <patternFill>
          <bgColor theme="4" tint="0.79998168889431442"/>
        </patternFill>
      </fill>
    </dxf>
    <dxf>
      <fill>
        <patternFill>
          <bgColor rgb="FF85200C"/>
        </patternFill>
      </fill>
    </dxf>
    <dxf>
      <fill>
        <patternFill>
          <bgColor rgb="FFF00000"/>
        </patternFill>
      </fill>
    </dxf>
    <dxf>
      <fill>
        <patternFill>
          <bgColor theme="9"/>
        </patternFill>
      </fill>
    </dxf>
    <dxf>
      <fill>
        <patternFill>
          <bgColor rgb="FFFFFF00"/>
        </patternFill>
      </fill>
    </dxf>
    <dxf>
      <fill>
        <patternFill>
          <bgColor rgb="FF8BE7B7"/>
        </patternFill>
      </fill>
    </dxf>
    <dxf>
      <fill>
        <patternFill>
          <bgColor theme="4" tint="0.79998168889431442"/>
        </patternFill>
      </fill>
    </dxf>
    <dxf>
      <fill>
        <patternFill>
          <bgColor rgb="FF85200C"/>
        </patternFill>
      </fill>
    </dxf>
    <dxf>
      <fill>
        <patternFill>
          <bgColor rgb="FFF00000"/>
        </patternFill>
      </fill>
    </dxf>
    <dxf>
      <fill>
        <patternFill>
          <bgColor theme="9"/>
        </patternFill>
      </fill>
    </dxf>
    <dxf>
      <fill>
        <patternFill>
          <bgColor rgb="FFFFFF00"/>
        </patternFill>
      </fill>
    </dxf>
    <dxf>
      <fill>
        <patternFill>
          <bgColor rgb="FF8BE7B7"/>
        </patternFill>
      </fill>
    </dxf>
    <dxf>
      <fill>
        <patternFill>
          <bgColor theme="4" tint="0.79998168889431442"/>
        </patternFill>
      </fill>
    </dxf>
    <dxf>
      <fill>
        <patternFill>
          <bgColor rgb="FFF00000"/>
        </patternFill>
      </fill>
    </dxf>
    <dxf>
      <fill>
        <patternFill>
          <bgColor theme="9"/>
        </patternFill>
      </fill>
    </dxf>
    <dxf>
      <fill>
        <patternFill>
          <bgColor rgb="FFFFFF00"/>
        </patternFill>
      </fill>
    </dxf>
    <dxf>
      <fill>
        <patternFill>
          <bgColor rgb="FF8BE7B7"/>
        </patternFill>
      </fill>
    </dxf>
    <dxf>
      <fill>
        <patternFill>
          <bgColor rgb="FF85200C"/>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theme="4" tint="0.79998168889431442"/>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8BE7B7"/>
        </patternFill>
      </fill>
    </dxf>
    <dxf>
      <fill>
        <patternFill>
          <bgColor theme="3" tint="0.39994506668294322"/>
        </patternFill>
      </fill>
    </dxf>
    <dxf>
      <fill>
        <patternFill>
          <bgColor theme="8" tint="-0.24994659260841701"/>
        </patternFill>
      </fill>
    </dxf>
    <dxf>
      <fill>
        <patternFill>
          <bgColor rgb="FFFF0000"/>
        </patternFill>
      </fill>
    </dxf>
    <dxf>
      <fill>
        <patternFill>
          <bgColor theme="4" tint="0.79998168889431442"/>
        </patternFill>
      </fill>
    </dxf>
    <dxf>
      <fill>
        <patternFill>
          <bgColor rgb="FF8BE7B7"/>
        </patternFill>
      </fill>
    </dxf>
    <dxf>
      <fill>
        <patternFill>
          <bgColor theme="3" tint="0.39994506668294322"/>
        </patternFill>
      </fill>
    </dxf>
    <dxf>
      <fill>
        <patternFill>
          <bgColor theme="8" tint="-0.24994659260841701"/>
        </patternFill>
      </fill>
    </dxf>
    <dxf>
      <fill>
        <patternFill>
          <bgColor rgb="FFFF0000"/>
        </patternFill>
      </fill>
    </dxf>
    <dxf>
      <fill>
        <patternFill>
          <bgColor theme="4" tint="0.79998168889431442"/>
        </patternFill>
      </fill>
    </dxf>
    <dxf>
      <fill>
        <patternFill>
          <bgColor rgb="FF8BE7B7"/>
        </patternFill>
      </fill>
    </dxf>
    <dxf>
      <fill>
        <patternFill>
          <bgColor theme="3" tint="0.39994506668294322"/>
        </patternFill>
      </fill>
    </dxf>
    <dxf>
      <fill>
        <patternFill>
          <bgColor theme="8" tint="-0.24994659260841701"/>
        </patternFill>
      </fill>
    </dxf>
    <dxf>
      <fill>
        <patternFill>
          <bgColor rgb="FFF00000"/>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theme="4" tint="0.79998168889431442"/>
        </patternFill>
      </fill>
    </dxf>
    <dxf>
      <fill>
        <patternFill>
          <bgColor rgb="FF8BE7B7"/>
        </patternFill>
      </fill>
    </dxf>
    <dxf>
      <fill>
        <patternFill>
          <bgColor theme="3" tint="0.39994506668294322"/>
        </patternFill>
      </fill>
    </dxf>
    <dxf>
      <fill>
        <patternFill>
          <bgColor theme="8" tint="-0.24994659260841701"/>
        </patternFill>
      </fill>
    </dxf>
    <dxf>
      <fill>
        <patternFill>
          <bgColor rgb="FFF00000"/>
        </patternFill>
      </fill>
    </dxf>
    <dxf>
      <fill>
        <patternFill>
          <bgColor theme="4" tint="0.79998168889431442"/>
        </patternFill>
      </fill>
    </dxf>
    <dxf>
      <fill>
        <patternFill>
          <bgColor rgb="FF8BE7B7"/>
        </patternFill>
      </fill>
    </dxf>
    <dxf>
      <fill>
        <patternFill>
          <bgColor theme="3" tint="0.39994506668294322"/>
        </patternFill>
      </fill>
    </dxf>
    <dxf>
      <fill>
        <patternFill>
          <bgColor theme="8" tint="-0.24994659260841701"/>
        </patternFill>
      </fill>
    </dxf>
    <dxf>
      <fill>
        <patternFill>
          <bgColor rgb="FFF00000"/>
        </patternFill>
      </fill>
    </dxf>
    <dxf>
      <fill>
        <patternFill>
          <bgColor theme="4" tint="0.79998168889431442"/>
        </patternFill>
      </fill>
    </dxf>
    <dxf>
      <fill>
        <patternFill>
          <bgColor rgb="FF8BE7B7"/>
        </patternFill>
      </fill>
    </dxf>
    <dxf>
      <fill>
        <patternFill>
          <bgColor theme="3" tint="0.59996337778862885"/>
        </patternFill>
      </fill>
    </dxf>
    <dxf>
      <fill>
        <patternFill>
          <bgColor theme="8" tint="-0.24994659260841701"/>
        </patternFill>
      </fill>
    </dxf>
    <dxf>
      <fill>
        <patternFill>
          <bgColor rgb="FFF00000"/>
        </patternFill>
      </fill>
    </dxf>
    <dxf>
      <fill>
        <patternFill>
          <bgColor theme="4" tint="0.79998168889431442"/>
        </patternFill>
      </fill>
    </dxf>
    <dxf>
      <fill>
        <patternFill>
          <bgColor rgb="FFFF0000"/>
        </patternFill>
      </fill>
    </dxf>
    <dxf>
      <fill>
        <patternFill>
          <bgColor theme="8" tint="-0.24994659260841701"/>
        </patternFill>
      </fill>
    </dxf>
    <dxf>
      <fill>
        <patternFill>
          <bgColor theme="3" tint="0.39994506668294322"/>
        </patternFill>
      </fill>
    </dxf>
    <dxf>
      <fill>
        <patternFill>
          <bgColor rgb="FF8BE7B7"/>
        </patternFill>
      </fill>
    </dxf>
    <dxf>
      <fill>
        <patternFill>
          <bgColor theme="4" tint="0.79998168889431442"/>
        </patternFill>
      </fill>
    </dxf>
    <dxf>
      <fill>
        <patternFill>
          <bgColor rgb="FFFF0000"/>
        </patternFill>
      </fill>
    </dxf>
    <dxf>
      <fill>
        <patternFill>
          <bgColor theme="8" tint="-0.24994659260841701"/>
        </patternFill>
      </fill>
    </dxf>
    <dxf>
      <fill>
        <patternFill>
          <bgColor theme="3" tint="0.39994506668294322"/>
        </patternFill>
      </fill>
    </dxf>
    <dxf>
      <fill>
        <patternFill>
          <bgColor rgb="FF8BE7B7"/>
        </patternFill>
      </fill>
    </dxf>
    <dxf>
      <fill>
        <patternFill>
          <bgColor theme="4" tint="0.79998168889431442"/>
        </patternFill>
      </fill>
    </dxf>
    <dxf>
      <fill>
        <patternFill>
          <bgColor rgb="FFFF0000"/>
        </patternFill>
      </fill>
    </dxf>
    <dxf>
      <fill>
        <patternFill>
          <bgColor theme="8" tint="-0.24994659260841701"/>
        </patternFill>
      </fill>
    </dxf>
    <dxf>
      <fill>
        <patternFill>
          <bgColor theme="3" tint="0.39994506668294322"/>
        </patternFill>
      </fill>
    </dxf>
    <dxf>
      <fill>
        <patternFill>
          <bgColor rgb="FF8BE7B7"/>
        </patternFill>
      </fill>
    </dxf>
    <dxf>
      <fill>
        <patternFill>
          <bgColor theme="4" tint="0.79998168889431442"/>
        </patternFill>
      </fill>
    </dxf>
    <dxf>
      <fill>
        <patternFill>
          <bgColor theme="8" tint="-0.24994659260841701"/>
        </patternFill>
      </fill>
    </dxf>
    <dxf>
      <fill>
        <patternFill>
          <bgColor theme="3" tint="0.39994506668294322"/>
        </patternFill>
      </fill>
    </dxf>
    <dxf>
      <fill>
        <patternFill>
          <bgColor rgb="FF8BE7B7"/>
        </patternFill>
      </fill>
    </dxf>
    <dxf>
      <fill>
        <patternFill>
          <bgColor rgb="FFFF0000"/>
        </patternFill>
      </fill>
    </dxf>
    <dxf>
      <fill>
        <patternFill>
          <bgColor theme="4" tint="0.79998168889431442"/>
        </patternFill>
      </fill>
    </dxf>
    <dxf>
      <fill>
        <patternFill>
          <bgColor rgb="FFFF0000"/>
        </patternFill>
      </fill>
    </dxf>
    <dxf>
      <fill>
        <patternFill>
          <bgColor theme="8" tint="-0.24994659260841701"/>
        </patternFill>
      </fill>
    </dxf>
    <dxf>
      <fill>
        <patternFill>
          <bgColor theme="3" tint="0.39994506668294322"/>
        </patternFill>
      </fill>
    </dxf>
    <dxf>
      <fill>
        <patternFill>
          <bgColor rgb="FF8BE7B7"/>
        </patternFill>
      </fill>
    </dxf>
    <dxf>
      <fill>
        <patternFill>
          <bgColor theme="4" tint="0.79998168889431442"/>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rgb="FFCC0000"/>
        </patternFill>
      </fill>
    </dxf>
    <dxf>
      <fill>
        <patternFill>
          <bgColor rgb="FFCC0000"/>
        </patternFill>
      </fill>
    </dxf>
    <dxf>
      <fill>
        <patternFill>
          <bgColor theme="8" tint="-0.24994659260841701"/>
        </patternFill>
      </fill>
    </dxf>
    <dxf>
      <fill>
        <patternFill>
          <bgColor rgb="FFCCFFCC"/>
        </patternFill>
      </fill>
    </dxf>
    <dxf>
      <fill>
        <patternFill>
          <bgColor theme="4" tint="0.39994506668294322"/>
        </patternFill>
      </fill>
    </dxf>
    <dxf>
      <fill>
        <patternFill>
          <bgColor theme="3" tint="0.39994506668294322"/>
        </patternFill>
      </fill>
    </dxf>
    <dxf>
      <fill>
        <patternFill>
          <bgColor theme="8" tint="-0.24994659260841701"/>
        </patternFill>
      </fill>
    </dxf>
    <dxf>
      <fill>
        <patternFill>
          <bgColor rgb="FFFF0000"/>
        </patternFill>
      </fill>
    </dxf>
    <dxf>
      <fill>
        <patternFill>
          <bgColor theme="4" tint="0.79998168889431442"/>
        </patternFill>
      </fill>
    </dxf>
    <dxf>
      <fill>
        <patternFill>
          <bgColor rgb="FF8BE7B7"/>
        </patternFill>
      </fill>
    </dxf>
    <dxf>
      <fill>
        <patternFill>
          <bgColor theme="4" tint="0.39994506668294322"/>
        </patternFill>
      </fill>
    </dxf>
    <dxf>
      <fill>
        <patternFill>
          <bgColor theme="8" tint="-0.24994659260841701"/>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theme="4" tint="0.79998168889431442"/>
        </patternFill>
      </fill>
    </dxf>
    <dxf>
      <fill>
        <patternFill>
          <bgColor theme="4" tint="0.79998168889431442"/>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theme="4" tint="0.79998168889431442"/>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theme="4" tint="0.79998168889431442"/>
        </patternFill>
      </fill>
    </dxf>
    <dxf>
      <fill>
        <patternFill>
          <bgColor rgb="FF8BE7B7"/>
        </patternFill>
      </fill>
    </dxf>
    <dxf>
      <fill>
        <patternFill>
          <bgColor rgb="FFFFFF00"/>
        </patternFill>
      </fill>
    </dxf>
    <dxf>
      <fill>
        <patternFill>
          <bgColor theme="9"/>
        </patternFill>
      </fill>
    </dxf>
    <dxf>
      <fill>
        <patternFill>
          <bgColor rgb="FFF00000"/>
        </patternFill>
      </fill>
    </dxf>
    <dxf>
      <fill>
        <patternFill>
          <bgColor rgb="FF85200C"/>
        </patternFill>
      </fill>
    </dxf>
    <dxf>
      <fill>
        <patternFill>
          <bgColor theme="4" tint="0.79998168889431442"/>
        </patternFill>
      </fill>
    </dxf>
    <dxf>
      <fill>
        <patternFill>
          <bgColor rgb="FF8BE7B7"/>
        </patternFill>
      </fill>
    </dxf>
  </dxfs>
  <tableStyles count="0" defaultTableStyle="TableStyleMedium2" defaultPivotStyle="PivotStyleLight16"/>
  <colors>
    <mruColors>
      <color rgb="FFCC0000"/>
      <color rgb="FFCCFFCC"/>
      <color rgb="FFF20000"/>
      <color rgb="FF85200C"/>
      <color rgb="FFF00000"/>
      <color rgb="FF8BE7B7"/>
      <color rgb="FFFFFFFF"/>
      <color rgb="FFFBA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247650</xdr:colOff>
      <xdr:row>2</xdr:row>
      <xdr:rowOff>95250</xdr:rowOff>
    </xdr:from>
    <xdr:to>
      <xdr:col>24</xdr:col>
      <xdr:colOff>495300</xdr:colOff>
      <xdr:row>41</xdr:row>
      <xdr:rowOff>7620</xdr:rowOff>
    </xdr:to>
    <xdr:sp macro="" textlink="">
      <xdr:nvSpPr>
        <xdr:cNvPr id="2" name="TextBox 1">
          <a:extLst>
            <a:ext uri="{FF2B5EF4-FFF2-40B4-BE49-F238E27FC236}">
              <a16:creationId xmlns:a16="http://schemas.microsoft.com/office/drawing/2014/main" xmlns="" id="{00000000-0008-0000-0000-000002000000}"/>
            </a:ext>
          </a:extLst>
        </xdr:cNvPr>
        <xdr:cNvSpPr txBox="1"/>
      </xdr:nvSpPr>
      <xdr:spPr>
        <a:xfrm>
          <a:off x="247650" y="491490"/>
          <a:ext cx="16706850" cy="76390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2400" b="1">
            <a:solidFill>
              <a:srgbClr val="0070C0"/>
            </a:solidFill>
            <a:effectLst/>
            <a:latin typeface="+mn-lt"/>
            <a:ea typeface="+mn-ea"/>
            <a:cs typeface="+mn-cs"/>
          </a:endParaRPr>
        </a:p>
        <a:p>
          <a:pPr algn="ctr"/>
          <a:endParaRPr lang="en-GB" sz="2400" b="1">
            <a:solidFill>
              <a:srgbClr val="0070C0"/>
            </a:solidFill>
            <a:effectLst/>
            <a:latin typeface="+mn-lt"/>
            <a:ea typeface="+mn-ea"/>
            <a:cs typeface="+mn-cs"/>
          </a:endParaRPr>
        </a:p>
        <a:p>
          <a:pPr algn="ctr"/>
          <a:endParaRPr lang="en-GB" sz="2400" b="1">
            <a:solidFill>
              <a:srgbClr val="0070C0"/>
            </a:solidFill>
            <a:effectLst/>
            <a:latin typeface="+mn-lt"/>
            <a:ea typeface="+mn-ea"/>
            <a:cs typeface="+mn-cs"/>
          </a:endParaRPr>
        </a:p>
        <a:p>
          <a:pPr algn="ctr"/>
          <a:r>
            <a:rPr lang="en-GB" sz="2400" b="1">
              <a:solidFill>
                <a:srgbClr val="92D050"/>
              </a:solidFill>
              <a:effectLst/>
              <a:latin typeface="+mn-lt"/>
              <a:ea typeface="+mn-ea"/>
              <a:cs typeface="+mn-cs"/>
            </a:rPr>
            <a:t>Nutrition Humanitarian Needs Analysis Calculation tool, v1.0</a:t>
          </a:r>
        </a:p>
        <a:p>
          <a:endParaRPr lang="en-US" sz="2400" b="1">
            <a:solidFill>
              <a:schemeClr val="accent3">
                <a:lumMod val="50000"/>
              </a:schemeClr>
            </a:solidFill>
            <a:effectLst/>
            <a:latin typeface="+mn-lt"/>
            <a:ea typeface="+mn-ea"/>
            <a:cs typeface="+mn-cs"/>
          </a:endParaRPr>
        </a:p>
        <a:p>
          <a:r>
            <a:rPr lang="en-GB" sz="1100">
              <a:solidFill>
                <a:schemeClr val="dk1"/>
              </a:solidFill>
              <a:effectLst/>
              <a:latin typeface="+mn-lt"/>
              <a:ea typeface="+mn-ea"/>
              <a:cs typeface="+mn-cs"/>
            </a:rPr>
            <a:t>There are twelve important sheets in the tool:</a:t>
          </a:r>
        </a:p>
        <a:p>
          <a:endParaRPr lang="en-US"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Indicator Registry</a:t>
          </a:r>
          <a:r>
            <a:rPr lang="en-GB" sz="1100">
              <a:solidFill>
                <a:schemeClr val="dk1"/>
              </a:solidFill>
              <a:effectLst/>
              <a:latin typeface="+mn-lt"/>
              <a:ea typeface="+mn-ea"/>
              <a:cs typeface="+mn-cs"/>
            </a:rPr>
            <a:t>– The list of all nutrition-related in</a:t>
          </a:r>
          <a:r>
            <a:rPr lang="en-GB" sz="1100" baseline="0">
              <a:solidFill>
                <a:schemeClr val="dk1"/>
              </a:solidFill>
              <a:effectLst/>
              <a:latin typeface="+mn-lt"/>
              <a:ea typeface="+mn-ea"/>
              <a:cs typeface="+mn-cs"/>
            </a:rPr>
            <a:t>dicators adapted from Nutrition Cluster's </a:t>
          </a:r>
          <a:r>
            <a:rPr lang="en-GB" sz="1100" i="1" u="sng" baseline="0">
              <a:solidFill>
                <a:schemeClr val="dk1"/>
              </a:solidFill>
              <a:effectLst/>
              <a:latin typeface="+mn-lt"/>
              <a:ea typeface="+mn-ea"/>
              <a:cs typeface="+mn-cs"/>
            </a:rPr>
            <a:t>Indicators registry and framework</a:t>
          </a:r>
          <a:r>
            <a:rPr lang="en-GB" sz="1100" i="0" baseline="0">
              <a:solidFill>
                <a:schemeClr val="dk1"/>
              </a:solidFill>
              <a:effectLst/>
              <a:latin typeface="+mn-lt"/>
              <a:ea typeface="+mn-ea"/>
              <a:cs typeface="+mn-cs"/>
            </a:rPr>
            <a:t>, separating those </a:t>
          </a:r>
          <a:r>
            <a:rPr lang="en-GB" sz="1100" baseline="0">
              <a:solidFill>
                <a:schemeClr val="dk1"/>
              </a:solidFill>
              <a:effectLst/>
              <a:latin typeface="+mn-lt"/>
              <a:ea typeface="+mn-ea"/>
              <a:cs typeface="+mn-cs"/>
            </a:rPr>
            <a:t>deemed "core" to guide the Nutrition Situation Analysis.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Classification Thresholds</a:t>
          </a:r>
          <a:r>
            <a:rPr lang="en-GB" sz="1100">
              <a:solidFill>
                <a:schemeClr val="dk1"/>
              </a:solidFill>
              <a:effectLst/>
              <a:latin typeface="+mn-lt"/>
              <a:ea typeface="+mn-ea"/>
              <a:cs typeface="+mn-cs"/>
            </a:rPr>
            <a:t>– The list of core nutrition-specific and nutrition-sensitive in</a:t>
          </a:r>
          <a:r>
            <a:rPr lang="en-GB" sz="1100" baseline="0">
              <a:solidFill>
                <a:schemeClr val="dk1"/>
              </a:solidFill>
              <a:effectLst/>
              <a:latin typeface="+mn-lt"/>
              <a:ea typeface="+mn-ea"/>
              <a:cs typeface="+mn-cs"/>
            </a:rPr>
            <a:t>dicators and their corresponding thresholds (i.e. severity scale) to guide the situation analysis of nutritional needs for response planning. </a:t>
          </a:r>
          <a:endParaRPr lang="fr-FR">
            <a:effectLst/>
          </a:endParaRPr>
        </a:p>
        <a:p>
          <a:pPr lvl="0"/>
          <a:endParaRPr lang="en-GB" sz="1100" b="1" i="1">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Evidence Repository,</a:t>
          </a:r>
          <a:r>
            <a:rPr lang="en-GB" sz="1100" b="1" i="1" baseline="0">
              <a:solidFill>
                <a:schemeClr val="dk1"/>
              </a:solidFill>
              <a:effectLst/>
              <a:latin typeface="+mn-lt"/>
              <a:ea typeface="+mn-ea"/>
              <a:cs typeface="+mn-cs"/>
            </a:rPr>
            <a:t> </a:t>
          </a:r>
          <a:r>
            <a:rPr lang="en-GB" sz="1100" b="1" i="1">
              <a:solidFill>
                <a:schemeClr val="dk1"/>
              </a:solidFill>
              <a:effectLst/>
              <a:latin typeface="+mn-lt"/>
              <a:ea typeface="+mn-ea"/>
              <a:cs typeface="+mn-cs"/>
            </a:rPr>
            <a:t>Reliability </a:t>
          </a:r>
          <a:r>
            <a:rPr lang="en-GB" sz="1100">
              <a:solidFill>
                <a:schemeClr val="dk1"/>
              </a:solidFill>
              <a:effectLst/>
              <a:latin typeface="+mn-lt"/>
              <a:ea typeface="+mn-ea"/>
              <a:cs typeface="+mn-cs"/>
            </a:rPr>
            <a:t>– Summary</a:t>
          </a:r>
          <a:r>
            <a:rPr lang="en-GB" sz="1100" baseline="0">
              <a:solidFill>
                <a:schemeClr val="dk1"/>
              </a:solidFill>
              <a:effectLst/>
              <a:latin typeface="+mn-lt"/>
              <a:ea typeface="+mn-ea"/>
              <a:cs typeface="+mn-cs"/>
            </a:rPr>
            <a:t> of the reliability scores for all evidence used for the Nutrition Situation A</a:t>
          </a:r>
          <a:r>
            <a:rPr lang="en-GB" sz="1100">
              <a:solidFill>
                <a:schemeClr val="dk1"/>
              </a:solidFill>
              <a:effectLst/>
              <a:latin typeface="+mn-lt"/>
              <a:ea typeface="+mn-ea"/>
              <a:cs typeface="+mn-cs"/>
            </a:rPr>
            <a:t>nalysis based on IPC</a:t>
          </a:r>
          <a:r>
            <a:rPr lang="en-GB" sz="1100" baseline="0">
              <a:solidFill>
                <a:schemeClr val="dk1"/>
              </a:solidFill>
              <a:effectLst/>
              <a:latin typeface="+mn-lt"/>
              <a:ea typeface="+mn-ea"/>
              <a:cs typeface="+mn-cs"/>
            </a:rPr>
            <a:t> Acute Malnutrition's Reliability Scale.  </a:t>
          </a:r>
          <a:endParaRPr lang="fr-FR">
            <a:effectLst/>
          </a:endParaRPr>
        </a:p>
        <a:p>
          <a:pPr lvl="0"/>
          <a:endParaRPr lang="en-GB" sz="1100" b="1" i="1">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Analysis</a:t>
          </a:r>
          <a:r>
            <a:rPr lang="en-GB" sz="1100" b="1" i="1" baseline="0">
              <a:solidFill>
                <a:schemeClr val="dk1"/>
              </a:solidFill>
              <a:effectLst/>
              <a:latin typeface="+mn-lt"/>
              <a:ea typeface="+mn-ea"/>
              <a:cs typeface="+mn-cs"/>
            </a:rPr>
            <a:t> Team Composition</a:t>
          </a:r>
          <a:r>
            <a:rPr lang="en-GB" sz="1100">
              <a:solidFill>
                <a:schemeClr val="dk1"/>
              </a:solidFill>
              <a:effectLst/>
              <a:latin typeface="+mn-lt"/>
              <a:ea typeface="+mn-ea"/>
              <a:cs typeface="+mn-cs"/>
            </a:rPr>
            <a:t>– Summary</a:t>
          </a:r>
          <a:r>
            <a:rPr lang="en-GB" sz="1100" baseline="0">
              <a:solidFill>
                <a:schemeClr val="dk1"/>
              </a:solidFill>
              <a:effectLst/>
              <a:latin typeface="+mn-lt"/>
              <a:ea typeface="+mn-ea"/>
              <a:cs typeface="+mn-cs"/>
            </a:rPr>
            <a:t> of all members involved in the anlalysis, adapted from I</a:t>
          </a:r>
          <a:r>
            <a:rPr lang="en-GB" sz="1100">
              <a:solidFill>
                <a:schemeClr val="dk1"/>
              </a:solidFill>
              <a:effectLst/>
              <a:latin typeface="+mn-lt"/>
              <a:ea typeface="+mn-ea"/>
              <a:cs typeface="+mn-cs"/>
            </a:rPr>
            <a:t>PC</a:t>
          </a:r>
          <a:r>
            <a:rPr lang="en-GB" sz="1100" baseline="0">
              <a:solidFill>
                <a:schemeClr val="dk1"/>
              </a:solidFill>
              <a:effectLst/>
              <a:latin typeface="+mn-lt"/>
              <a:ea typeface="+mn-ea"/>
              <a:cs typeface="+mn-cs"/>
            </a:rPr>
            <a:t> Acute Malnutrition's Team Composition Matrix.  </a:t>
          </a:r>
          <a:endParaRPr lang="fr-FR">
            <a:effectLst/>
          </a:endParaRPr>
        </a:p>
        <a:p>
          <a:pPr lvl="0"/>
          <a:endParaRPr lang="en-GB" sz="1100" b="1" i="1">
            <a:solidFill>
              <a:sysClr val="windowText" lastClr="000000"/>
            </a:solidFill>
            <a:effectLst/>
            <a:latin typeface="+mn-lt"/>
            <a:ea typeface="+mn-ea"/>
            <a:cs typeface="+mn-cs"/>
          </a:endParaRPr>
        </a:p>
        <a:p>
          <a:pPr lvl="0"/>
          <a:r>
            <a:rPr lang="en-GB" sz="1100" b="1" i="1">
              <a:solidFill>
                <a:sysClr val="windowText" lastClr="000000"/>
              </a:solidFill>
              <a:effectLst/>
              <a:latin typeface="+mn-lt"/>
              <a:ea typeface="+mn-ea"/>
              <a:cs typeface="+mn-cs"/>
            </a:rPr>
            <a:t>Scenario 2 - Nut. Analysis</a:t>
          </a:r>
          <a:r>
            <a:rPr lang="en-GB" sz="1100">
              <a:solidFill>
                <a:sysClr val="windowText" lastClr="000000"/>
              </a:solidFill>
              <a:effectLst/>
              <a:latin typeface="+mn-lt"/>
              <a:ea typeface="+mn-ea"/>
              <a:cs typeface="+mn-cs"/>
            </a:rPr>
            <a:t>– Humanitarian situations where an IPC Acute Malnutrition cannot be conducted</a:t>
          </a:r>
          <a:r>
            <a:rPr lang="en-GB" sz="1100" baseline="0">
              <a:solidFill>
                <a:sysClr val="windowText" lastClr="000000"/>
              </a:solidFill>
              <a:effectLst/>
              <a:latin typeface="+mn-lt"/>
              <a:ea typeface="+mn-ea"/>
              <a:cs typeface="+mn-cs"/>
            </a:rPr>
            <a:t> and the prevalence of GAM for children U5 is ≥5%.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Scenario</a:t>
          </a:r>
          <a:r>
            <a:rPr lang="en-GB" sz="1100" b="1" i="1" baseline="0">
              <a:solidFill>
                <a:schemeClr val="dk1"/>
              </a:solidFill>
              <a:effectLst/>
              <a:latin typeface="+mn-lt"/>
              <a:ea typeface="+mn-ea"/>
              <a:cs typeface="+mn-cs"/>
            </a:rPr>
            <a:t> 2 </a:t>
          </a:r>
          <a:r>
            <a:rPr lang="en-GB" sz="1100" b="1" i="1">
              <a:solidFill>
                <a:schemeClr val="dk1"/>
              </a:solidFill>
              <a:effectLst/>
              <a:latin typeface="+mn-lt"/>
              <a:ea typeface="+mn-ea"/>
              <a:cs typeface="+mn-cs"/>
            </a:rPr>
            <a:t>Contributing Fact.</a:t>
          </a:r>
          <a:r>
            <a:rPr lang="en-GB" sz="1100">
              <a:solidFill>
                <a:schemeClr val="dk1"/>
              </a:solidFill>
              <a:effectLst/>
              <a:latin typeface="+mn-lt"/>
              <a:ea typeface="+mn-ea"/>
              <a:cs typeface="+mn-cs"/>
            </a:rPr>
            <a:t>– Analysis of key contributing/contextual</a:t>
          </a:r>
          <a:r>
            <a:rPr lang="en-GB" sz="1100" baseline="0">
              <a:solidFill>
                <a:schemeClr val="dk1"/>
              </a:solidFill>
              <a:effectLst/>
              <a:latin typeface="+mn-lt"/>
              <a:ea typeface="+mn-ea"/>
              <a:cs typeface="+mn-cs"/>
            </a:rPr>
            <a:t> factors (often found in </a:t>
          </a:r>
          <a:r>
            <a:rPr lang="en-GB" sz="1100" i="1" baseline="0">
              <a:solidFill>
                <a:schemeClr val="dk1"/>
              </a:solidFill>
              <a:effectLst/>
              <a:latin typeface="+mn-lt"/>
              <a:ea typeface="+mn-ea"/>
              <a:cs typeface="+mn-cs"/>
            </a:rPr>
            <a:t>Living Standards</a:t>
          </a:r>
          <a:r>
            <a:rPr lang="en-GB" sz="1100" i="0" baseline="0">
              <a:solidFill>
                <a:schemeClr val="dk1"/>
              </a:solidFill>
              <a:effectLst/>
              <a:latin typeface="+mn-lt"/>
              <a:ea typeface="+mn-ea"/>
              <a:cs typeface="+mn-cs"/>
            </a:rPr>
            <a:t> pillar)</a:t>
          </a:r>
          <a:r>
            <a:rPr lang="en-GB" sz="1100" baseline="0">
              <a:solidFill>
                <a:schemeClr val="dk1"/>
              </a:solidFill>
              <a:effectLst/>
              <a:latin typeface="+mn-lt"/>
              <a:ea typeface="+mn-ea"/>
              <a:cs typeface="+mn-cs"/>
            </a:rPr>
            <a:t> to support the Nutrition Situation Analysis for Scenario 2 (U5 GAM ≥5%). </a:t>
          </a:r>
          <a:endParaRPr lang="fr-FR">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Scenario 3 - Nut. Analysis</a:t>
          </a:r>
          <a:r>
            <a:rPr lang="en-GB" sz="1100">
              <a:solidFill>
                <a:schemeClr val="dk1"/>
              </a:solidFill>
              <a:effectLst/>
              <a:latin typeface="+mn-lt"/>
              <a:ea typeface="+mn-ea"/>
              <a:cs typeface="+mn-cs"/>
            </a:rPr>
            <a:t>– Humanitarian situations where</a:t>
          </a:r>
          <a:r>
            <a:rPr lang="en-GB" sz="1100" baseline="0">
              <a:solidFill>
                <a:schemeClr val="dk1"/>
              </a:solidFill>
              <a:effectLst/>
              <a:latin typeface="+mn-lt"/>
              <a:ea typeface="+mn-ea"/>
              <a:cs typeface="+mn-cs"/>
            </a:rPr>
            <a:t> the prevalence of GAM for children U5 is &lt;5%. </a:t>
          </a:r>
          <a:endParaRPr lang="fr-FR">
            <a:effectLst/>
          </a:endParaRPr>
        </a:p>
        <a:p>
          <a:pPr lvl="0"/>
          <a:endParaRPr lang="en-GB" sz="1100" baseline="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Scenario</a:t>
          </a:r>
          <a:r>
            <a:rPr lang="en-GB" sz="1100" b="1" i="1" baseline="0">
              <a:solidFill>
                <a:schemeClr val="dk1"/>
              </a:solidFill>
              <a:effectLst/>
              <a:latin typeface="+mn-lt"/>
              <a:ea typeface="+mn-ea"/>
              <a:cs typeface="+mn-cs"/>
            </a:rPr>
            <a:t> 3 </a:t>
          </a:r>
          <a:r>
            <a:rPr lang="en-GB" sz="1100" b="1" i="1">
              <a:solidFill>
                <a:schemeClr val="dk1"/>
              </a:solidFill>
              <a:effectLst/>
              <a:latin typeface="+mn-lt"/>
              <a:ea typeface="+mn-ea"/>
              <a:cs typeface="+mn-cs"/>
            </a:rPr>
            <a:t>Contributing Fact.</a:t>
          </a:r>
          <a:r>
            <a:rPr lang="en-GB" sz="1100">
              <a:solidFill>
                <a:schemeClr val="dk1"/>
              </a:solidFill>
              <a:effectLst/>
              <a:latin typeface="+mn-lt"/>
              <a:ea typeface="+mn-ea"/>
              <a:cs typeface="+mn-cs"/>
            </a:rPr>
            <a:t>– Analysis of key contributing/contextual</a:t>
          </a:r>
          <a:r>
            <a:rPr lang="en-GB" sz="1100" baseline="0">
              <a:solidFill>
                <a:schemeClr val="dk1"/>
              </a:solidFill>
              <a:effectLst/>
              <a:latin typeface="+mn-lt"/>
              <a:ea typeface="+mn-ea"/>
              <a:cs typeface="+mn-cs"/>
            </a:rPr>
            <a:t> factors (often found in </a:t>
          </a:r>
          <a:r>
            <a:rPr lang="en-GB" sz="1100" i="1" baseline="0">
              <a:solidFill>
                <a:schemeClr val="dk1"/>
              </a:solidFill>
              <a:effectLst/>
              <a:latin typeface="+mn-lt"/>
              <a:ea typeface="+mn-ea"/>
              <a:cs typeface="+mn-cs"/>
            </a:rPr>
            <a:t>Living Standards</a:t>
          </a:r>
          <a:r>
            <a:rPr lang="en-GB" sz="1100" i="0" baseline="0">
              <a:solidFill>
                <a:schemeClr val="dk1"/>
              </a:solidFill>
              <a:effectLst/>
              <a:latin typeface="+mn-lt"/>
              <a:ea typeface="+mn-ea"/>
              <a:cs typeface="+mn-cs"/>
            </a:rPr>
            <a:t> pillar)</a:t>
          </a:r>
          <a:r>
            <a:rPr lang="en-GB" sz="1100" baseline="0">
              <a:solidFill>
                <a:schemeClr val="dk1"/>
              </a:solidFill>
              <a:effectLst/>
              <a:latin typeface="+mn-lt"/>
              <a:ea typeface="+mn-ea"/>
              <a:cs typeface="+mn-cs"/>
            </a:rPr>
            <a:t> to support the Nutrition Situation Analysis. </a:t>
          </a:r>
          <a:endParaRPr lang="en-GB" sz="11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b="1" i="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Population figures</a:t>
          </a:r>
          <a:r>
            <a:rPr lang="en-GB" sz="1100">
              <a:solidFill>
                <a:schemeClr val="dk1"/>
              </a:solidFill>
              <a:effectLst/>
              <a:latin typeface="+mn-lt"/>
              <a:ea typeface="+mn-ea"/>
              <a:cs typeface="+mn-cs"/>
            </a:rPr>
            <a:t>– Key</a:t>
          </a:r>
          <a:r>
            <a:rPr lang="en-GB" sz="1100" baseline="0">
              <a:solidFill>
                <a:schemeClr val="dk1"/>
              </a:solidFill>
              <a:effectLst/>
              <a:latin typeface="+mn-lt"/>
              <a:ea typeface="+mn-ea"/>
              <a:cs typeface="+mn-cs"/>
            </a:rPr>
            <a:t> demographic information required for each of the "Affected" areas of interest in order to automatically calculate the subsequent number of "People in Need" </a:t>
          </a:r>
          <a:r>
            <a:rPr lang="en-US" sz="1100" baseline="0">
              <a:solidFill>
                <a:schemeClr val="dk1"/>
              </a:solidFill>
              <a:effectLst/>
              <a:latin typeface="+mn-lt"/>
              <a:ea typeface="+mn-ea"/>
              <a:cs typeface="+mn-cs"/>
            </a:rPr>
            <a:t>for "Physical and Mental Well-being" and "Living Standards".</a:t>
          </a:r>
          <a:endParaRPr lang="fr-FR">
            <a:effectLst/>
          </a:endParaRPr>
        </a:p>
        <a:p>
          <a:pPr lvl="0"/>
          <a:endParaRPr lang="en-GB" sz="1100" b="1" i="1">
            <a:solidFill>
              <a:sysClr val="windowText" lastClr="000000"/>
            </a:solidFill>
            <a:effectLst/>
            <a:latin typeface="+mn-lt"/>
            <a:ea typeface="+mn-ea"/>
            <a:cs typeface="+mn-cs"/>
          </a:endParaRPr>
        </a:p>
        <a:p>
          <a:pPr lvl="0"/>
          <a:r>
            <a:rPr lang="en-GB" sz="1100" b="1" i="1">
              <a:solidFill>
                <a:schemeClr val="dk1"/>
              </a:solidFill>
              <a:effectLst/>
              <a:latin typeface="+mn-lt"/>
              <a:ea typeface="+mn-ea"/>
              <a:cs typeface="+mn-cs"/>
            </a:rPr>
            <a:t>PiN </a:t>
          </a:r>
          <a:r>
            <a:rPr lang="en-GB" sz="1100" b="1" i="1">
              <a:solidFill>
                <a:sysClr val="windowText" lastClr="000000"/>
              </a:solidFill>
              <a:effectLst/>
              <a:latin typeface="+mn-lt"/>
              <a:ea typeface="+mn-ea"/>
              <a:cs typeface="+mn-cs"/>
            </a:rPr>
            <a:t>Physical and Mental WB </a:t>
          </a:r>
          <a:r>
            <a:rPr lang="en-GB" sz="1100">
              <a:solidFill>
                <a:sysClr val="windowText" lastClr="000000"/>
              </a:solidFill>
              <a:effectLst/>
              <a:latin typeface="+mn-lt"/>
              <a:ea typeface="+mn-ea"/>
              <a:cs typeface="+mn-cs"/>
            </a:rPr>
            <a:t>– The numbers of "People in Need" (PiN) for malnutrition </a:t>
          </a:r>
          <a:r>
            <a:rPr lang="en-GB" sz="1100" baseline="0">
              <a:solidFill>
                <a:schemeClr val="dk1"/>
              </a:solidFill>
              <a:effectLst/>
              <a:latin typeface="+mn-lt"/>
              <a:ea typeface="+mn-ea"/>
              <a:cs typeface="+mn-cs"/>
            </a:rPr>
            <a:t>for U5 children/PLW/Older People/Adolescents </a:t>
          </a:r>
          <a:r>
            <a:rPr lang="en-GB" sz="1100">
              <a:solidFill>
                <a:sysClr val="windowText" lastClr="000000"/>
              </a:solidFill>
              <a:effectLst/>
              <a:latin typeface="+mn-lt"/>
              <a:ea typeface="+mn-ea"/>
              <a:cs typeface="+mn-cs"/>
            </a:rPr>
            <a:t>are calculated automatically based on the insertion</a:t>
          </a:r>
          <a:r>
            <a:rPr lang="en-GB" sz="1100" baseline="0">
              <a:solidFill>
                <a:sysClr val="windowText" lastClr="000000"/>
              </a:solidFill>
              <a:effectLst/>
              <a:latin typeface="+mn-lt"/>
              <a:ea typeface="+mn-ea"/>
              <a:cs typeface="+mn-cs"/>
            </a:rPr>
            <a:t> of a few parameters such as incident correction factors, proportion of different age groups for eventual program targeting. A preference for cGAM/cSAM prevalences is noted. </a:t>
          </a:r>
          <a:endParaRPr lang="en-GB" sz="1100">
            <a:solidFill>
              <a:sysClr val="windowText" lastClr="000000"/>
            </a:solidFill>
            <a:effectLst/>
            <a:latin typeface="+mn-lt"/>
            <a:ea typeface="+mn-ea"/>
            <a:cs typeface="+mn-cs"/>
          </a:endParaRPr>
        </a:p>
        <a:p>
          <a:pPr lvl="0"/>
          <a:endParaRPr lang="en-GB"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PiN </a:t>
          </a:r>
          <a:r>
            <a:rPr lang="en-GB" sz="1100" b="1" i="1">
              <a:solidFill>
                <a:sysClr val="windowText" lastClr="000000"/>
              </a:solidFill>
              <a:effectLst/>
              <a:latin typeface="+mn-lt"/>
              <a:ea typeface="+mn-ea"/>
              <a:cs typeface="+mn-cs"/>
            </a:rPr>
            <a:t>Living Standards </a:t>
          </a:r>
          <a:r>
            <a:rPr lang="en-GB" sz="1100">
              <a:solidFill>
                <a:sysClr val="windowText" lastClr="000000"/>
              </a:solidFill>
              <a:effectLst/>
              <a:latin typeface="+mn-lt"/>
              <a:ea typeface="+mn-ea"/>
              <a:cs typeface="+mn-cs"/>
            </a:rPr>
            <a:t>– </a:t>
          </a:r>
          <a:r>
            <a:rPr lang="en-GB" sz="1100">
              <a:solidFill>
                <a:schemeClr val="dk1"/>
              </a:solidFill>
              <a:effectLst/>
              <a:latin typeface="+mn-lt"/>
              <a:ea typeface="+mn-ea"/>
              <a:cs typeface="+mn-cs"/>
            </a:rPr>
            <a:t>The numbers of "People in Need" (PiN) for IYCF practices (and</a:t>
          </a:r>
          <a:r>
            <a:rPr lang="en-GB" sz="1100" baseline="0">
              <a:solidFill>
                <a:schemeClr val="dk1"/>
              </a:solidFill>
              <a:effectLst/>
              <a:latin typeface="+mn-lt"/>
              <a:ea typeface="+mn-ea"/>
              <a:cs typeface="+mn-cs"/>
            </a:rPr>
            <a:t> Stunting and Overweight for </a:t>
          </a:r>
          <a:r>
            <a:rPr lang="en-GB" sz="1100" i="1" baseline="0">
              <a:solidFill>
                <a:schemeClr val="dk1"/>
              </a:solidFill>
              <a:effectLst/>
              <a:latin typeface="+mn-lt"/>
              <a:ea typeface="+mn-ea"/>
              <a:cs typeface="+mn-cs"/>
            </a:rPr>
            <a:t>Scenario 2</a:t>
          </a:r>
          <a:r>
            <a:rPr lang="en-GB" sz="1100" baseline="0">
              <a:solidFill>
                <a:schemeClr val="dk1"/>
              </a:solidFill>
              <a:effectLst/>
              <a:latin typeface="+mn-lt"/>
              <a:ea typeface="+mn-ea"/>
              <a:cs typeface="+mn-cs"/>
            </a:rPr>
            <a:t>) </a:t>
          </a:r>
          <a:r>
            <a:rPr lang="en-GB" sz="1100">
              <a:solidFill>
                <a:schemeClr val="dk1"/>
              </a:solidFill>
              <a:effectLst/>
              <a:latin typeface="+mn-lt"/>
              <a:ea typeface="+mn-ea"/>
              <a:cs typeface="+mn-cs"/>
            </a:rPr>
            <a:t>are calculated automatically based on the insertion</a:t>
          </a:r>
          <a:r>
            <a:rPr lang="en-GB" sz="1100" baseline="0">
              <a:solidFill>
                <a:schemeClr val="dk1"/>
              </a:solidFill>
              <a:effectLst/>
              <a:latin typeface="+mn-lt"/>
              <a:ea typeface="+mn-ea"/>
              <a:cs typeface="+mn-cs"/>
            </a:rPr>
            <a:t> of a few parameters such as proportion of different age groups for eventual program targeting. </a:t>
          </a:r>
          <a:endParaRPr lang="fr-FR">
            <a:effectLst/>
          </a:endParaRPr>
        </a:p>
        <a:p>
          <a:pPr lvl="0"/>
          <a:endParaRPr lang="en-GB"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1">
              <a:solidFill>
                <a:schemeClr val="dk1"/>
              </a:solidFill>
              <a:effectLst/>
              <a:latin typeface="+mn-lt"/>
              <a:ea typeface="+mn-ea"/>
              <a:cs typeface="+mn-cs"/>
            </a:rPr>
            <a:t>PiN Micronutrient Deficiency</a:t>
          </a:r>
          <a:r>
            <a:rPr lang="en-GB" sz="1100">
              <a:solidFill>
                <a:schemeClr val="dk1"/>
              </a:solidFill>
              <a:effectLst/>
              <a:latin typeface="+mn-lt"/>
              <a:ea typeface="+mn-ea"/>
              <a:cs typeface="+mn-cs"/>
            </a:rPr>
            <a:t>– The numbers of "People in Need" (PiN) for Micronutrient Deficiencies are calculated automatically based on the insertion</a:t>
          </a:r>
          <a:r>
            <a:rPr lang="en-GB" sz="1100" baseline="0">
              <a:solidFill>
                <a:schemeClr val="dk1"/>
              </a:solidFill>
              <a:effectLst/>
              <a:latin typeface="+mn-lt"/>
              <a:ea typeface="+mn-ea"/>
              <a:cs typeface="+mn-cs"/>
            </a:rPr>
            <a:t> of a few parameters such as proportion of different age groups for eventual program targeting. These calculations also feed into </a:t>
          </a:r>
          <a:r>
            <a:rPr lang="en-GB" sz="1100" b="1" i="1" baseline="0">
              <a:solidFill>
                <a:schemeClr val="dk1"/>
              </a:solidFill>
              <a:effectLst/>
              <a:latin typeface="+mn-lt"/>
              <a:ea typeface="+mn-ea"/>
              <a:cs typeface="+mn-cs"/>
            </a:rPr>
            <a:t>Physical and Mental Well-being Pillar</a:t>
          </a:r>
          <a:r>
            <a:rPr lang="en-GB" sz="1100" b="1" i="0" baseline="0">
              <a:solidFill>
                <a:schemeClr val="dk1"/>
              </a:solidFill>
              <a:effectLst/>
              <a:latin typeface="+mn-lt"/>
              <a:ea typeface="+mn-ea"/>
              <a:cs typeface="+mn-cs"/>
            </a:rPr>
            <a:t> </a:t>
          </a:r>
          <a:r>
            <a:rPr lang="en-GB" sz="1100" i="0" baseline="0">
              <a:solidFill>
                <a:schemeClr val="dk1"/>
              </a:solidFill>
              <a:effectLst/>
              <a:latin typeface="+mn-lt"/>
              <a:ea typeface="+mn-ea"/>
              <a:cs typeface="+mn-cs"/>
            </a:rPr>
            <a:t>when relevant.</a:t>
          </a:r>
          <a:r>
            <a:rPr lang="en-GB" sz="1100" baseline="0">
              <a:solidFill>
                <a:schemeClr val="dk1"/>
              </a:solidFill>
              <a:effectLst/>
              <a:latin typeface="+mn-lt"/>
              <a:ea typeface="+mn-ea"/>
              <a:cs typeface="+mn-cs"/>
            </a:rPr>
            <a:t> </a:t>
          </a:r>
          <a:endParaRPr lang="fr-FR">
            <a:effectLst/>
          </a:endParaRPr>
        </a:p>
        <a:p>
          <a:pPr lvl="0"/>
          <a:endParaRPr lang="en-GB" sz="1100">
            <a:solidFill>
              <a:sysClr val="windowText" lastClr="00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solidFill>
                <a:sysClr val="windowText" lastClr="000000"/>
              </a:solidFill>
              <a:effectLst/>
              <a:latin typeface="+mn-lt"/>
              <a:ea typeface="+mn-ea"/>
              <a:cs typeface="+mn-cs"/>
            </a:rPr>
            <a:t>Important: </a:t>
          </a:r>
          <a:r>
            <a:rPr lang="en-GB" sz="1100" b="0">
              <a:solidFill>
                <a:sysClr val="windowText" lastClr="000000"/>
              </a:solidFill>
              <a:effectLst/>
              <a:latin typeface="+mn-lt"/>
              <a:ea typeface="+mn-ea"/>
              <a:cs typeface="+mn-cs"/>
            </a:rPr>
            <a:t>You will need to fill in the data in cells with light blue shadow and </a:t>
          </a:r>
          <a:r>
            <a:rPr lang="en-GB" sz="1100" b="0" baseline="0">
              <a:solidFill>
                <a:schemeClr val="dk1"/>
              </a:solidFill>
              <a:effectLst/>
              <a:latin typeface="+mn-lt"/>
              <a:ea typeface="+mn-ea"/>
              <a:cs typeface="+mn-cs"/>
            </a:rPr>
            <a:t>adjust a few paramenters in certain sheets - </a:t>
          </a:r>
          <a:r>
            <a:rPr lang="en-GB" sz="1100" b="1" baseline="0">
              <a:solidFill>
                <a:schemeClr val="dk1"/>
              </a:solidFill>
              <a:effectLst/>
              <a:latin typeface="+mn-lt"/>
              <a:ea typeface="+mn-ea"/>
              <a:cs typeface="+mn-cs"/>
            </a:rPr>
            <a:t>all calculations </a:t>
          </a:r>
          <a:r>
            <a:rPr lang="en-GB" sz="1100" b="0">
              <a:solidFill>
                <a:sysClr val="windowText" lastClr="000000"/>
              </a:solidFill>
              <a:effectLst/>
              <a:latin typeface="+mn-lt"/>
              <a:ea typeface="+mn-ea"/>
              <a:cs typeface="+mn-cs"/>
            </a:rPr>
            <a:t>will be done automatically.</a:t>
          </a:r>
          <a:r>
            <a:rPr lang="en-GB" sz="1100" b="0" baseline="0">
              <a:solidFill>
                <a:sysClr val="windowText" lastClr="000000"/>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ysClr val="windowText" lastClr="000000"/>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endParaRPr lang="en-US" sz="1100" i="1">
            <a:solidFill>
              <a:schemeClr val="dk1"/>
            </a:solidFill>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This publication was made possible through support provided by the U.S. Agency for International Development under the terms of Award No 720FDZ20IO00019. The opinions expressed in this publication are those of the author(s) and do not necessarily reflect the views of the U.S. Agency for International Development.</a:t>
          </a:r>
          <a:endParaRPr lang="fr-FR">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a:solidFill>
              <a:sysClr val="windowText" lastClr="000000"/>
            </a:solidFill>
            <a:effectLst/>
            <a:latin typeface="+mn-lt"/>
            <a:ea typeface="+mn-ea"/>
            <a:cs typeface="+mn-cs"/>
          </a:endParaRPr>
        </a:p>
      </xdr:txBody>
    </xdr:sp>
    <xdr:clientData/>
  </xdr:twoCellAnchor>
  <xdr:twoCellAnchor editAs="oneCell">
    <xdr:from>
      <xdr:col>15</xdr:col>
      <xdr:colOff>0</xdr:colOff>
      <xdr:row>18</xdr:row>
      <xdr:rowOff>0</xdr:rowOff>
    </xdr:from>
    <xdr:to>
      <xdr:col>15</xdr:col>
      <xdr:colOff>304800</xdr:colOff>
      <xdr:row>19</xdr:row>
      <xdr:rowOff>93345</xdr:rowOff>
    </xdr:to>
    <xdr:sp macro="" textlink="">
      <xdr:nvSpPr>
        <xdr:cNvPr id="1025" name="AutoShape 1">
          <a:extLst>
            <a:ext uri="{FF2B5EF4-FFF2-40B4-BE49-F238E27FC236}">
              <a16:creationId xmlns:a16="http://schemas.microsoft.com/office/drawing/2014/main" xmlns="" id="{00000000-0008-0000-0000-000001040000}"/>
            </a:ext>
          </a:extLst>
        </xdr:cNvPr>
        <xdr:cNvSpPr>
          <a:spLocks noChangeAspect="1" noChangeArrowheads="1"/>
        </xdr:cNvSpPr>
      </xdr:nvSpPr>
      <xdr:spPr bwMode="auto">
        <a:xfrm>
          <a:off x="10287000" y="35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18</xdr:row>
      <xdr:rowOff>0</xdr:rowOff>
    </xdr:from>
    <xdr:to>
      <xdr:col>15</xdr:col>
      <xdr:colOff>304800</xdr:colOff>
      <xdr:row>19</xdr:row>
      <xdr:rowOff>93345</xdr:rowOff>
    </xdr:to>
    <xdr:sp macro="" textlink="">
      <xdr:nvSpPr>
        <xdr:cNvPr id="1026" name="AutoShape 2">
          <a:extLst>
            <a:ext uri="{FF2B5EF4-FFF2-40B4-BE49-F238E27FC236}">
              <a16:creationId xmlns:a16="http://schemas.microsoft.com/office/drawing/2014/main" xmlns="" id="{00000000-0008-0000-0000-000002040000}"/>
            </a:ext>
          </a:extLst>
        </xdr:cNvPr>
        <xdr:cNvSpPr>
          <a:spLocks noChangeAspect="1" noChangeArrowheads="1"/>
        </xdr:cNvSpPr>
      </xdr:nvSpPr>
      <xdr:spPr bwMode="auto">
        <a:xfrm>
          <a:off x="10287000" y="35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205740</xdr:colOff>
      <xdr:row>3</xdr:row>
      <xdr:rowOff>91440</xdr:rowOff>
    </xdr:from>
    <xdr:to>
      <xdr:col>7</xdr:col>
      <xdr:colOff>628650</xdr:colOff>
      <xdr:row>7</xdr:row>
      <xdr:rowOff>171450</xdr:rowOff>
    </xdr:to>
    <xdr:pic>
      <xdr:nvPicPr>
        <xdr:cNvPr id="6" name="Picture 5">
          <a:extLst>
            <a:ext uri="{FF2B5EF4-FFF2-40B4-BE49-F238E27FC236}">
              <a16:creationId xmlns:a16="http://schemas.microsoft.com/office/drawing/2014/main" xmlns=""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48940" y="685800"/>
          <a:ext cx="2476500" cy="876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0</xdr:colOff>
      <xdr:row>4</xdr:row>
      <xdr:rowOff>28575</xdr:rowOff>
    </xdr:from>
    <xdr:to>
      <xdr:col>16</xdr:col>
      <xdr:colOff>47625</xdr:colOff>
      <xdr:row>7</xdr:row>
      <xdr:rowOff>29788</xdr:rowOff>
    </xdr:to>
    <xdr:pic>
      <xdr:nvPicPr>
        <xdr:cNvPr id="7" name="Picture 6">
          <a:extLst>
            <a:ext uri="{FF2B5EF4-FFF2-40B4-BE49-F238E27FC236}">
              <a16:creationId xmlns:a16="http://schemas.microsoft.com/office/drawing/2014/main" xmlns=""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828675"/>
          <a:ext cx="2105025" cy="601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4</xdr:row>
      <xdr:rowOff>7620</xdr:rowOff>
    </xdr:from>
    <xdr:to>
      <xdr:col>23</xdr:col>
      <xdr:colOff>253365</xdr:colOff>
      <xdr:row>7</xdr:row>
      <xdr:rowOff>73603</xdr:rowOff>
    </xdr:to>
    <xdr:pic>
      <xdr:nvPicPr>
        <xdr:cNvPr id="8" name="Picture 7" descr="U.S. Agency for International Development">
          <a:extLst>
            <a:ext uri="{FF2B5EF4-FFF2-40B4-BE49-F238E27FC236}">
              <a16:creationId xmlns:a16="http://schemas.microsoft.com/office/drawing/2014/main" xmlns="" id="{00000000-0008-0000-00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716000" y="807720"/>
          <a:ext cx="2310765" cy="6660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2</xdr:row>
          <xdr:rowOff>57150</xdr:rowOff>
        </xdr:from>
        <xdr:to>
          <xdr:col>11</xdr:col>
          <xdr:colOff>1123950</xdr:colOff>
          <xdr:row>2</xdr:row>
          <xdr:rowOff>552450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xmlns=""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Times New Roman"/>
                  <a:cs typeface="Times New Roman"/>
                </a:rPr>
                <a:t>Calculate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icto/Downloads/NC%20PARTNER_SITE_YEAR_MONTH_nutrition_report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icto/Dropbox/GNC%20HNO%20Guidance%20and%20Helpdesk/NC_Core%20Indicators%20for%20Nutrition%20Humanitarian%20Needs%20Analysis%20OPTIONS_March19th%20Call.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user/Downloads/NC-HNO%20Outputs%20Calculator_V2_End%20of%20M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aptations"/>
      <sheetName val="Instructions"/>
      <sheetName val="reportingform"/>
      <sheetName val="AWG and LOS Calculation Aid"/>
      <sheetName val="Lists"/>
      <sheetName val="Admin"/>
      <sheetName val="dataextraction"/>
    </sheetNames>
    <sheetDataSet>
      <sheetData sheetId="0"/>
      <sheetData sheetId="1"/>
      <sheetData sheetId="2"/>
      <sheetData sheetId="3"/>
      <sheetData sheetId="4">
        <row r="2">
          <cell r="A2" t="str">
            <v>ACF</v>
          </cell>
          <cell r="D2">
            <v>1</v>
          </cell>
          <cell r="E2" t="str">
            <v>January</v>
          </cell>
          <cell r="F2">
            <v>2015</v>
          </cell>
          <cell r="H2" t="str">
            <v>Yes</v>
          </cell>
          <cell r="J2" t="str">
            <v>Operational</v>
          </cell>
        </row>
        <row r="3">
          <cell r="A3" t="str">
            <v>UNICEF</v>
          </cell>
          <cell r="D3">
            <v>2</v>
          </cell>
          <cell r="E3" t="str">
            <v>February</v>
          </cell>
          <cell r="F3">
            <v>2016</v>
          </cell>
          <cell r="H3" t="str">
            <v>No</v>
          </cell>
          <cell r="J3" t="str">
            <v>Not Operational</v>
          </cell>
        </row>
        <row r="4">
          <cell r="A4" t="str">
            <v>WFP</v>
          </cell>
          <cell r="D4">
            <v>3</v>
          </cell>
          <cell r="E4" t="str">
            <v>March</v>
          </cell>
          <cell r="F4">
            <v>2017</v>
          </cell>
        </row>
        <row r="5">
          <cell r="D5">
            <v>4</v>
          </cell>
          <cell r="E5" t="str">
            <v>April</v>
          </cell>
        </row>
        <row r="6">
          <cell r="E6" t="str">
            <v>May</v>
          </cell>
        </row>
        <row r="7">
          <cell r="E7" t="str">
            <v>June</v>
          </cell>
        </row>
        <row r="8">
          <cell r="E8" t="str">
            <v>July</v>
          </cell>
        </row>
        <row r="9">
          <cell r="E9" t="str">
            <v>August</v>
          </cell>
        </row>
        <row r="10">
          <cell r="E10" t="str">
            <v>September</v>
          </cell>
        </row>
        <row r="11">
          <cell r="E11" t="str">
            <v>October</v>
          </cell>
        </row>
        <row r="12">
          <cell r="E12" t="str">
            <v>November</v>
          </cell>
        </row>
        <row r="13">
          <cell r="E13" t="str">
            <v>December</v>
          </cell>
        </row>
      </sheetData>
      <sheetData sheetId="5">
        <row r="1">
          <cell r="F1" t="str">
            <v xml:space="preserve">Admin2 </v>
          </cell>
          <cell r="J1" t="str">
            <v>Admin3</v>
          </cell>
          <cell r="N1" t="str">
            <v>Admin4</v>
          </cell>
          <cell r="R1" t="str">
            <v>Admin5</v>
          </cell>
        </row>
        <row r="2">
          <cell r="A2" t="str">
            <v>SY01</v>
          </cell>
          <cell r="B2" t="str">
            <v>Damascus\مدينة دمشق</v>
          </cell>
          <cell r="D2" t="str">
            <v>SY01</v>
          </cell>
          <cell r="E2" t="str">
            <v>SY0100</v>
          </cell>
          <cell r="F2" t="str">
            <v>Damascus\مدينة دمشق</v>
          </cell>
          <cell r="H2" t="str">
            <v>SY0100</v>
          </cell>
          <cell r="I2" t="str">
            <v>SY010000</v>
          </cell>
          <cell r="J2" t="str">
            <v>Damascus\مدينة دمشق</v>
          </cell>
          <cell r="L2" t="str">
            <v>SY010000</v>
          </cell>
          <cell r="M2" t="str">
            <v>C1001</v>
          </cell>
          <cell r="N2" t="str">
            <v>Damascus\دمشق</v>
          </cell>
          <cell r="P2" t="str">
            <v>C1001</v>
          </cell>
          <cell r="Q2" t="str">
            <v>SY0100153</v>
          </cell>
          <cell r="R2" t="str">
            <v>Abou Jarash\أبو جرش</v>
          </cell>
        </row>
        <row r="3">
          <cell r="A3" t="str">
            <v>SY02</v>
          </cell>
          <cell r="B3" t="str">
            <v>Aleppo\حلب</v>
          </cell>
          <cell r="D3" t="str">
            <v>SY02</v>
          </cell>
          <cell r="E3" t="str">
            <v>SY0200</v>
          </cell>
          <cell r="F3" t="str">
            <v>Jebel Saman\جبل سمعان</v>
          </cell>
          <cell r="H3" t="str">
            <v>SY0200</v>
          </cell>
          <cell r="I3" t="str">
            <v>SY020000</v>
          </cell>
          <cell r="J3" t="str">
            <v>Jebel Saman\مركز جبل سمعان</v>
          </cell>
          <cell r="L3" t="str">
            <v>SY010000</v>
          </cell>
          <cell r="M3" t="str">
            <v>C1002</v>
          </cell>
          <cell r="N3" t="str">
            <v>Yarmuk\اليرموك</v>
          </cell>
          <cell r="P3" t="str">
            <v>C1001</v>
          </cell>
          <cell r="Q3" t="str">
            <v>SY0100027</v>
          </cell>
          <cell r="R3" t="str">
            <v>Abou Rummaneh\أبو رمانة</v>
          </cell>
        </row>
        <row r="4">
          <cell r="A4" t="str">
            <v>SY03</v>
          </cell>
          <cell r="B4" t="str">
            <v>Rural Damascus\ريف دمشق</v>
          </cell>
          <cell r="D4" t="str">
            <v>SY02</v>
          </cell>
          <cell r="E4" t="str">
            <v>SY0202</v>
          </cell>
          <cell r="F4" t="str">
            <v>Al Bab\الباب</v>
          </cell>
          <cell r="H4" t="str">
            <v>SY0200</v>
          </cell>
          <cell r="I4" t="str">
            <v>SY020001</v>
          </cell>
          <cell r="J4" t="str">
            <v>Atareb\أتارب</v>
          </cell>
          <cell r="L4" t="str">
            <v>SY020000</v>
          </cell>
          <cell r="M4" t="str">
            <v>C1009</v>
          </cell>
          <cell r="N4" t="str">
            <v>Abtin\عبطين</v>
          </cell>
          <cell r="P4" t="str">
            <v>C1001</v>
          </cell>
          <cell r="Q4" t="str">
            <v>SY0100042</v>
          </cell>
          <cell r="R4" t="str">
            <v>Al Abbas\العباس</v>
          </cell>
        </row>
        <row r="5">
          <cell r="A5" t="str">
            <v>SY04</v>
          </cell>
          <cell r="B5" t="str">
            <v>Homs\حمص</v>
          </cell>
          <cell r="D5" t="str">
            <v>SY02</v>
          </cell>
          <cell r="E5" t="str">
            <v>SY0203</v>
          </cell>
          <cell r="F5" t="str">
            <v>Afrin\عفرين</v>
          </cell>
          <cell r="H5" t="str">
            <v>SY0200</v>
          </cell>
          <cell r="I5" t="str">
            <v>SY020002</v>
          </cell>
          <cell r="J5" t="str">
            <v>Tall Ed-daman\تل الضمان</v>
          </cell>
          <cell r="L5" t="str">
            <v>SY020000</v>
          </cell>
          <cell r="M5" t="str">
            <v>C1007</v>
          </cell>
          <cell r="N5" t="str">
            <v>Aleppo\حلب</v>
          </cell>
          <cell r="P5" t="str">
            <v>C1001</v>
          </cell>
          <cell r="Q5" t="str">
            <v>SY0100063</v>
          </cell>
          <cell r="R5" t="str">
            <v>Al 'Adwi\العدوي</v>
          </cell>
        </row>
        <row r="6">
          <cell r="A6" t="str">
            <v>SY05</v>
          </cell>
          <cell r="B6" t="str">
            <v>Hama\حماة</v>
          </cell>
          <cell r="D6" t="str">
            <v>SY02</v>
          </cell>
          <cell r="E6" t="str">
            <v>SY0204</v>
          </cell>
          <cell r="F6" t="str">
            <v>A'zaz\اعزاز</v>
          </cell>
          <cell r="H6" t="str">
            <v>SY0200</v>
          </cell>
          <cell r="I6" t="str">
            <v>SY020003</v>
          </cell>
          <cell r="J6" t="str">
            <v>Haritan\حريتان</v>
          </cell>
          <cell r="L6" t="str">
            <v>SY020000</v>
          </cell>
          <cell r="M6" t="str">
            <v>C6323</v>
          </cell>
          <cell r="N6" t="str">
            <v>Azzan\عزان</v>
          </cell>
          <cell r="P6" t="str">
            <v>C1001</v>
          </cell>
          <cell r="Q6" t="str">
            <v>SY0100114</v>
          </cell>
          <cell r="R6" t="str">
            <v>Al Arin\العرين</v>
          </cell>
        </row>
        <row r="7">
          <cell r="A7" t="str">
            <v>SY06</v>
          </cell>
          <cell r="B7" t="str">
            <v>Lattakia\اللاذقية</v>
          </cell>
          <cell r="D7" t="str">
            <v>SY02</v>
          </cell>
          <cell r="E7" t="str">
            <v>SY0205</v>
          </cell>
          <cell r="F7" t="str">
            <v>Menbij\منبج</v>
          </cell>
          <cell r="H7" t="str">
            <v>SY0200</v>
          </cell>
          <cell r="I7" t="str">
            <v>SY020004</v>
          </cell>
          <cell r="J7" t="str">
            <v>Daret Azza\دارة عزة</v>
          </cell>
          <cell r="L7" t="str">
            <v>SY020000</v>
          </cell>
          <cell r="M7" t="str">
            <v>C6325</v>
          </cell>
          <cell r="N7" t="str">
            <v>Dweir Elzaytun\دوير الزيتون</v>
          </cell>
          <cell r="P7" t="str">
            <v>C1001</v>
          </cell>
          <cell r="Q7" t="str">
            <v>SY0100125</v>
          </cell>
          <cell r="R7" t="str">
            <v>Al Assali\العسالي</v>
          </cell>
        </row>
        <row r="8">
          <cell r="A8" t="str">
            <v>SY07</v>
          </cell>
          <cell r="B8" t="str">
            <v>Idleb\إدلب</v>
          </cell>
          <cell r="D8" t="str">
            <v>SY02</v>
          </cell>
          <cell r="E8" t="str">
            <v>SY0206</v>
          </cell>
          <cell r="F8" t="str">
            <v>Ain Al Arab\عين العرب</v>
          </cell>
          <cell r="H8" t="str">
            <v>SY0200</v>
          </cell>
          <cell r="I8" t="str">
            <v>SY020005</v>
          </cell>
          <cell r="J8" t="str">
            <v>Zarbah\الزربة</v>
          </cell>
          <cell r="L8" t="str">
            <v>SY020000</v>
          </cell>
          <cell r="M8" t="str">
            <v>C1004</v>
          </cell>
          <cell r="N8" t="str">
            <v>Esan\عسان</v>
          </cell>
          <cell r="P8" t="str">
            <v>C1001</v>
          </cell>
          <cell r="Q8" t="str">
            <v>SY0100013</v>
          </cell>
          <cell r="R8" t="str">
            <v>Al Fayhaa\الفيحاء</v>
          </cell>
        </row>
        <row r="9">
          <cell r="A9" t="str">
            <v>SY08</v>
          </cell>
          <cell r="B9" t="str">
            <v>Al-Hasakeh\الحسكة</v>
          </cell>
          <cell r="D9" t="str">
            <v>SY02</v>
          </cell>
          <cell r="E9" t="str">
            <v>SY0207</v>
          </cell>
          <cell r="F9" t="str">
            <v>As-Safira\السفيرة</v>
          </cell>
          <cell r="H9" t="str">
            <v>SY0200</v>
          </cell>
          <cell r="I9" t="str">
            <v>SY020006</v>
          </cell>
          <cell r="J9" t="str">
            <v>Hadher\الحاضر</v>
          </cell>
          <cell r="L9" t="str">
            <v>SY020000</v>
          </cell>
          <cell r="M9" t="str">
            <v>C1010</v>
          </cell>
          <cell r="N9" t="str">
            <v>Haddadin\حدادين</v>
          </cell>
          <cell r="P9" t="str">
            <v>C1001</v>
          </cell>
          <cell r="Q9" t="str">
            <v>SY0100045</v>
          </cell>
          <cell r="R9" t="str">
            <v>Al Hurriya (Ish Al Werwer)\الحرية (عش الورور)</v>
          </cell>
        </row>
        <row r="10">
          <cell r="A10" t="str">
            <v>SY09</v>
          </cell>
          <cell r="B10" t="str">
            <v>Deir-ez-Zor\دير الزور</v>
          </cell>
          <cell r="D10" t="str">
            <v>SY02</v>
          </cell>
          <cell r="E10" t="str">
            <v>SY0208</v>
          </cell>
          <cell r="F10" t="str">
            <v>Jarablus\جرابلس</v>
          </cell>
          <cell r="H10" t="str">
            <v>SY0202</v>
          </cell>
          <cell r="I10" t="str">
            <v>SY020200</v>
          </cell>
          <cell r="J10" t="str">
            <v>Al Bab\مركز الباب</v>
          </cell>
          <cell r="L10" t="str">
            <v>SY020000</v>
          </cell>
          <cell r="M10" t="str">
            <v>C1014</v>
          </cell>
          <cell r="N10" t="str">
            <v>Hilan\حيلان</v>
          </cell>
          <cell r="P10" t="str">
            <v>C1001</v>
          </cell>
          <cell r="Q10" t="str">
            <v>SY0100135</v>
          </cell>
          <cell r="R10" t="str">
            <v>Al Ikhlas\الإخلاص</v>
          </cell>
        </row>
        <row r="11">
          <cell r="A11" t="str">
            <v>SY10</v>
          </cell>
          <cell r="B11" t="str">
            <v>Tartous\طرطوس</v>
          </cell>
          <cell r="D11" t="str">
            <v>SY03</v>
          </cell>
          <cell r="E11" t="str">
            <v>SY0301</v>
          </cell>
          <cell r="F11" t="str">
            <v>Rural Damascus\مركز ريف دمشق</v>
          </cell>
          <cell r="H11" t="str">
            <v>SY0202</v>
          </cell>
          <cell r="I11" t="str">
            <v>SY020201</v>
          </cell>
          <cell r="J11" t="str">
            <v>Tadaf\تادف</v>
          </cell>
          <cell r="L11" t="str">
            <v>SY020000</v>
          </cell>
          <cell r="M11" t="str">
            <v>C1012</v>
          </cell>
          <cell r="N11" t="str">
            <v>Hreibel\حريبل</v>
          </cell>
          <cell r="P11" t="str">
            <v>C1001</v>
          </cell>
          <cell r="Q11" t="str">
            <v>SY0100054</v>
          </cell>
          <cell r="R11" t="str">
            <v>Al Istiqlal\الاستقلال</v>
          </cell>
        </row>
        <row r="12">
          <cell r="A12" t="str">
            <v>SY11</v>
          </cell>
          <cell r="B12" t="str">
            <v>Ar-Raqqa\الرقة</v>
          </cell>
          <cell r="D12" t="str">
            <v>SY03</v>
          </cell>
          <cell r="E12" t="str">
            <v>SY0302</v>
          </cell>
          <cell r="F12" t="str">
            <v>Duma\دوما</v>
          </cell>
          <cell r="H12" t="str">
            <v>SY0202</v>
          </cell>
          <cell r="I12" t="str">
            <v>SY020202</v>
          </cell>
          <cell r="J12" t="str">
            <v>Dayr Hafir\دير حافر</v>
          </cell>
          <cell r="L12" t="str">
            <v>SY020000</v>
          </cell>
          <cell r="M12" t="str">
            <v>C1015</v>
          </cell>
          <cell r="N12" t="str">
            <v>Khantuman\خانطومان</v>
          </cell>
          <cell r="P12" t="str">
            <v>C1001</v>
          </cell>
          <cell r="Q12" t="str">
            <v>SY0100155</v>
          </cell>
          <cell r="R12" t="str">
            <v>Al Madaris\المدارس</v>
          </cell>
        </row>
        <row r="13">
          <cell r="A13" t="str">
            <v>SY12</v>
          </cell>
          <cell r="B13" t="str">
            <v>Dar'a\درعا</v>
          </cell>
          <cell r="D13" t="str">
            <v>SY03</v>
          </cell>
          <cell r="E13" t="str">
            <v>SY0303</v>
          </cell>
          <cell r="F13" t="str">
            <v>Al Qutayfah\القطيفة</v>
          </cell>
          <cell r="H13" t="str">
            <v>SY0202</v>
          </cell>
          <cell r="I13" t="str">
            <v>SY020203</v>
          </cell>
          <cell r="J13" t="str">
            <v>Ar-Ra'ee\الراعي</v>
          </cell>
          <cell r="L13" t="str">
            <v>SY020000</v>
          </cell>
          <cell r="M13" t="str">
            <v>C1016</v>
          </cell>
          <cell r="N13" t="str">
            <v>Little Kafr\كفر صغير</v>
          </cell>
          <cell r="P13" t="str">
            <v>C1001</v>
          </cell>
          <cell r="Q13" t="str">
            <v>SY0100026</v>
          </cell>
          <cell r="R13" t="str">
            <v>Al Maliki\المالكي</v>
          </cell>
        </row>
        <row r="14">
          <cell r="A14" t="str">
            <v>SY13</v>
          </cell>
          <cell r="B14" t="str">
            <v>As-Sweida\السويداء</v>
          </cell>
          <cell r="D14" t="str">
            <v>SY03</v>
          </cell>
          <cell r="E14" t="str">
            <v>SY0304</v>
          </cell>
          <cell r="F14" t="str">
            <v>At Tall\التل</v>
          </cell>
          <cell r="H14" t="str">
            <v>SY0202</v>
          </cell>
          <cell r="I14" t="str">
            <v>SY020204</v>
          </cell>
          <cell r="J14" t="str">
            <v>Eastern Kwaires \كويرس شرقي</v>
          </cell>
          <cell r="L14" t="str">
            <v>SY020000</v>
          </cell>
          <cell r="M14" t="str">
            <v>C1017</v>
          </cell>
          <cell r="N14" t="str">
            <v>Maratet Elmosalamiyeh\معراتة المسلمية</v>
          </cell>
          <cell r="P14" t="str">
            <v>C1001</v>
          </cell>
          <cell r="Q14" t="str">
            <v>SY0100043</v>
          </cell>
          <cell r="R14" t="str">
            <v>Al Manara\المنارة</v>
          </cell>
        </row>
        <row r="15">
          <cell r="A15" t="str">
            <v>SY14</v>
          </cell>
          <cell r="B15" t="str">
            <v>Quneitra\القنيطرة</v>
          </cell>
          <cell r="D15" t="str">
            <v>SY03</v>
          </cell>
          <cell r="E15" t="str">
            <v>SY0305</v>
          </cell>
          <cell r="F15" t="str">
            <v>Yabroud\يبرود</v>
          </cell>
          <cell r="H15" t="str">
            <v>SY0202</v>
          </cell>
          <cell r="I15" t="str">
            <v>SY020205</v>
          </cell>
          <cell r="J15" t="str">
            <v>Rasm Haram El-Imam\رسم حرمل الامام</v>
          </cell>
          <cell r="L15" t="str">
            <v>SY020000</v>
          </cell>
          <cell r="M15" t="str">
            <v>C1003</v>
          </cell>
          <cell r="N15" t="str">
            <v>Musallamiyeh\المسلمية</v>
          </cell>
          <cell r="P15" t="str">
            <v>C1001</v>
          </cell>
          <cell r="Q15" t="str">
            <v>SY0100025</v>
          </cell>
          <cell r="R15" t="str">
            <v>Al Marabit\المرابط</v>
          </cell>
        </row>
        <row r="16">
          <cell r="D16" t="str">
            <v>SY03</v>
          </cell>
          <cell r="E16" t="str">
            <v>SY0306</v>
          </cell>
          <cell r="F16" t="str">
            <v>An Nabk\النبك</v>
          </cell>
          <cell r="H16" t="str">
            <v>SY0202</v>
          </cell>
          <cell r="I16" t="str">
            <v>SY020206</v>
          </cell>
          <cell r="J16" t="str">
            <v>A'rima\عريمة</v>
          </cell>
          <cell r="L16" t="str">
            <v>SY020000</v>
          </cell>
          <cell r="M16" t="str">
            <v>C1018</v>
          </cell>
          <cell r="N16" t="str">
            <v>Qarras\قراص</v>
          </cell>
          <cell r="P16" t="str">
            <v>C1001</v>
          </cell>
          <cell r="Q16" t="str">
            <v>SY0100141</v>
          </cell>
          <cell r="R16" t="str">
            <v>Al Masani'\المصانع</v>
          </cell>
        </row>
        <row r="17">
          <cell r="D17" t="str">
            <v>SY03</v>
          </cell>
          <cell r="E17" t="str">
            <v>SY0307</v>
          </cell>
          <cell r="F17" t="str">
            <v>Az-Zabdani\الزبداني</v>
          </cell>
          <cell r="H17" t="str">
            <v>SY0203</v>
          </cell>
          <cell r="I17" t="str">
            <v>SY020300</v>
          </cell>
          <cell r="J17" t="str">
            <v>Afrin\مركز عفرين</v>
          </cell>
          <cell r="L17" t="str">
            <v>SY020000</v>
          </cell>
          <cell r="M17" t="str">
            <v>C6324</v>
          </cell>
          <cell r="N17" t="str">
            <v>Rasm Assan \رسم عسان</v>
          </cell>
          <cell r="P17" t="str">
            <v>C1001</v>
          </cell>
          <cell r="Q17" t="str">
            <v>SY0100151</v>
          </cell>
          <cell r="R17" t="str">
            <v>Al Mazra'a\المزرعة</v>
          </cell>
        </row>
        <row r="18">
          <cell r="D18" t="str">
            <v>SY03</v>
          </cell>
          <cell r="E18" t="str">
            <v>SY0308</v>
          </cell>
          <cell r="F18" t="str">
            <v>Qatana\قطنا</v>
          </cell>
          <cell r="H18" t="str">
            <v>SY0203</v>
          </cell>
          <cell r="I18" t="str">
            <v>SY020301</v>
          </cell>
          <cell r="J18" t="str">
            <v>Bulbul\بلبل</v>
          </cell>
          <cell r="L18" t="str">
            <v>SY020000</v>
          </cell>
          <cell r="M18" t="str">
            <v>C1006</v>
          </cell>
          <cell r="N18" t="str">
            <v>Saqlaya\صقلايا</v>
          </cell>
          <cell r="P18" t="str">
            <v>C1001</v>
          </cell>
          <cell r="Q18" t="str">
            <v>SY0100085</v>
          </cell>
          <cell r="R18" t="str">
            <v>Al Moujtahed\المجتهد</v>
          </cell>
        </row>
        <row r="19">
          <cell r="D19" t="str">
            <v>SY03</v>
          </cell>
          <cell r="E19" t="str">
            <v>SY0309</v>
          </cell>
          <cell r="F19" t="str">
            <v>Darayya\داريا</v>
          </cell>
          <cell r="H19" t="str">
            <v>SY0203</v>
          </cell>
          <cell r="I19" t="str">
            <v>SY020302</v>
          </cell>
          <cell r="J19" t="str">
            <v>Jandairis\جنديرس</v>
          </cell>
          <cell r="L19" t="str">
            <v>SY020000</v>
          </cell>
          <cell r="M19" t="str">
            <v>C6322</v>
          </cell>
          <cell r="N19" t="str">
            <v>Seifat\سيفات</v>
          </cell>
          <cell r="P19" t="str">
            <v>C1001</v>
          </cell>
          <cell r="Q19" t="str">
            <v>SY0100126</v>
          </cell>
          <cell r="R19" t="str">
            <v>Al Mustafa\المصطفى</v>
          </cell>
        </row>
        <row r="20">
          <cell r="D20" t="str">
            <v>SY04</v>
          </cell>
          <cell r="E20" t="str">
            <v>SY0401</v>
          </cell>
          <cell r="F20" t="str">
            <v>Homs\مركز حمص</v>
          </cell>
          <cell r="H20" t="str">
            <v>SY0203</v>
          </cell>
          <cell r="I20" t="str">
            <v>SY020303</v>
          </cell>
          <cell r="J20" t="str">
            <v>Raju\راجو</v>
          </cell>
          <cell r="L20" t="str">
            <v>SY020000</v>
          </cell>
          <cell r="M20" t="str">
            <v>C1011</v>
          </cell>
          <cell r="N20" t="str">
            <v>Tal Sheer Simaan\تل شعير سمعان</v>
          </cell>
          <cell r="P20" t="str">
            <v>C1001</v>
          </cell>
          <cell r="Q20" t="str">
            <v>SY0100127</v>
          </cell>
          <cell r="R20" t="str">
            <v xml:space="preserve">Al Qadam\القدم  </v>
          </cell>
        </row>
        <row r="21">
          <cell r="D21" t="str">
            <v>SY04</v>
          </cell>
          <cell r="E21" t="str">
            <v>SY0402</v>
          </cell>
          <cell r="F21" t="str">
            <v>Al-Qusayr\القصير</v>
          </cell>
          <cell r="H21" t="str">
            <v>SY0203</v>
          </cell>
          <cell r="I21" t="str">
            <v>SY020304</v>
          </cell>
          <cell r="J21" t="str">
            <v>Sharan\شران</v>
          </cell>
          <cell r="L21" t="str">
            <v>SY020000</v>
          </cell>
          <cell r="M21" t="str">
            <v>C1008</v>
          </cell>
          <cell r="N21" t="str">
            <v>Tal Shgheib\تل شغيب</v>
          </cell>
          <cell r="P21" t="str">
            <v>C1001</v>
          </cell>
          <cell r="Q21" t="str">
            <v>SY0100082</v>
          </cell>
          <cell r="R21" t="str">
            <v>Al Qanawat\القنوات</v>
          </cell>
        </row>
        <row r="22">
          <cell r="D22" t="str">
            <v>SY04</v>
          </cell>
          <cell r="E22" t="str">
            <v>SY0403</v>
          </cell>
          <cell r="F22" t="str">
            <v>Tall Kalakh\تلكلخ</v>
          </cell>
          <cell r="H22" t="str">
            <v>SY0203</v>
          </cell>
          <cell r="I22" t="str">
            <v>SY020305</v>
          </cell>
          <cell r="J22" t="str">
            <v>Sheikh El-Hadid\شيخ الحديد</v>
          </cell>
          <cell r="L22" t="str">
            <v>SY020000</v>
          </cell>
          <cell r="M22" t="str">
            <v>C1005</v>
          </cell>
          <cell r="N22" t="str">
            <v>Thabiyeh\الذهبية</v>
          </cell>
          <cell r="P22" t="str">
            <v>C1001</v>
          </cell>
          <cell r="Q22" t="str">
            <v>SY0100078</v>
          </cell>
          <cell r="R22" t="str">
            <v>Al Qeimariyyeh\القيمرية</v>
          </cell>
        </row>
        <row r="23">
          <cell r="D23" t="str">
            <v>SY04</v>
          </cell>
          <cell r="E23" t="str">
            <v>SY0404</v>
          </cell>
          <cell r="F23" t="str">
            <v>Ar-Rastan\الرستن</v>
          </cell>
          <cell r="H23" t="str">
            <v>SY0203</v>
          </cell>
          <cell r="I23" t="str">
            <v>SY020306</v>
          </cell>
          <cell r="J23" t="str">
            <v>Ma'btali\معبطلي</v>
          </cell>
          <cell r="L23" t="str">
            <v>SY020000</v>
          </cell>
          <cell r="M23" t="str">
            <v>C1013</v>
          </cell>
          <cell r="N23" t="str">
            <v>Wdeihi\الوضيحي</v>
          </cell>
          <cell r="P23" t="str">
            <v>C1001</v>
          </cell>
          <cell r="Q23" t="str">
            <v>SY0100065</v>
          </cell>
          <cell r="R23" t="str">
            <v>Al Qusa'\القصاع</v>
          </cell>
        </row>
        <row r="24">
          <cell r="D24" t="str">
            <v>SY04</v>
          </cell>
          <cell r="E24" t="str">
            <v>SY0405</v>
          </cell>
          <cell r="F24" t="str">
            <v>Tadmor\تدمر</v>
          </cell>
          <cell r="H24" t="str">
            <v>SY0204</v>
          </cell>
          <cell r="I24" t="str">
            <v>SY020400</v>
          </cell>
          <cell r="J24" t="str">
            <v>A'zaz\مركز اعزاز</v>
          </cell>
          <cell r="L24" t="str">
            <v>SY020001</v>
          </cell>
          <cell r="M24" t="str">
            <v>C1026</v>
          </cell>
          <cell r="N24" t="str">
            <v>Abin Samaan\ابين سمعان</v>
          </cell>
          <cell r="P24" t="str">
            <v>C1001</v>
          </cell>
          <cell r="Q24" t="str">
            <v>SY0100066</v>
          </cell>
          <cell r="R24" t="str">
            <v>Al Qusur\القصور</v>
          </cell>
        </row>
        <row r="25">
          <cell r="D25" t="str">
            <v>SY04</v>
          </cell>
          <cell r="E25" t="str">
            <v>SY0406</v>
          </cell>
          <cell r="F25" t="str">
            <v>Al Makhrim\المخرم</v>
          </cell>
          <cell r="H25" t="str">
            <v>SY0204</v>
          </cell>
          <cell r="I25" t="str">
            <v>SY020401</v>
          </cell>
          <cell r="J25" t="str">
            <v>Aghtrin\اخترين</v>
          </cell>
          <cell r="L25" t="str">
            <v>SY020001</v>
          </cell>
          <cell r="M25" t="str">
            <v>C1030</v>
          </cell>
          <cell r="N25" t="str">
            <v>Abzemo\الابزمو</v>
          </cell>
          <cell r="P25" t="str">
            <v>C1001</v>
          </cell>
          <cell r="Q25" t="str">
            <v>SY0100132</v>
          </cell>
          <cell r="R25" t="str">
            <v>Al Waha\الواحة</v>
          </cell>
        </row>
        <row r="26">
          <cell r="D26" t="str">
            <v>SY05</v>
          </cell>
          <cell r="E26" t="str">
            <v>SY0501</v>
          </cell>
          <cell r="F26" t="str">
            <v>Hama\مركز حماة</v>
          </cell>
          <cell r="H26" t="str">
            <v>SY0204</v>
          </cell>
          <cell r="I26" t="str">
            <v>SY020402</v>
          </cell>
          <cell r="J26" t="str">
            <v>Tall Refaat\تل رفعت</v>
          </cell>
          <cell r="L26" t="str">
            <v>SY020001</v>
          </cell>
          <cell r="M26" t="str">
            <v>C1022</v>
          </cell>
          <cell r="N26" t="str">
            <v>Atareb\الأتارب</v>
          </cell>
          <cell r="P26" t="str">
            <v>C1001</v>
          </cell>
          <cell r="Q26" t="str">
            <v>SY0100115</v>
          </cell>
          <cell r="R26" t="str">
            <v>Al Woroud\الورود</v>
          </cell>
        </row>
        <row r="27">
          <cell r="D27" t="str">
            <v>SY05</v>
          </cell>
          <cell r="E27" t="str">
            <v>SY0502</v>
          </cell>
          <cell r="F27" t="str">
            <v>As-Suqaylabiyah\السقيلبية</v>
          </cell>
          <cell r="H27" t="str">
            <v>SY0204</v>
          </cell>
          <cell r="I27" t="str">
            <v>SY020403</v>
          </cell>
          <cell r="J27" t="str">
            <v>Mare'\مارع</v>
          </cell>
          <cell r="L27" t="str">
            <v>SY020001</v>
          </cell>
          <cell r="M27" t="str">
            <v>C1021</v>
          </cell>
          <cell r="N27" t="str">
            <v>Babka\بابكة</v>
          </cell>
          <cell r="P27" t="str">
            <v>C1001</v>
          </cell>
          <cell r="Q27" t="str">
            <v>SY0100068</v>
          </cell>
          <cell r="R27" t="str">
            <v>Amara Baraniyyeh\العمارة البرانية</v>
          </cell>
        </row>
        <row r="28">
          <cell r="D28" t="str">
            <v>SY05</v>
          </cell>
          <cell r="E28" t="str">
            <v>SY0503</v>
          </cell>
          <cell r="F28" t="str">
            <v>As-Salamiyeh\السلمية</v>
          </cell>
          <cell r="H28" t="str">
            <v>SY0204</v>
          </cell>
          <cell r="I28" t="str">
            <v>SY020404</v>
          </cell>
          <cell r="J28" t="str">
            <v>Nabul\نبل</v>
          </cell>
          <cell r="L28" t="str">
            <v>SY020001</v>
          </cell>
          <cell r="M28" t="str">
            <v>C1025</v>
          </cell>
          <cell r="N28" t="str">
            <v>Batbu\باتبو</v>
          </cell>
          <cell r="P28" t="str">
            <v>C1001</v>
          </cell>
          <cell r="Q28" t="str">
            <v>SY0100079</v>
          </cell>
          <cell r="R28" t="str">
            <v>Amara Jowaniyyeh\العمارة الجوانية</v>
          </cell>
        </row>
        <row r="29">
          <cell r="D29" t="str">
            <v>SY05</v>
          </cell>
          <cell r="E29" t="str">
            <v>SY0504</v>
          </cell>
          <cell r="F29" t="str">
            <v>Masyaf\مصياف</v>
          </cell>
          <cell r="H29" t="str">
            <v>SY0204</v>
          </cell>
          <cell r="I29" t="str">
            <v>SY020405</v>
          </cell>
          <cell r="J29" t="str">
            <v>Suran\صوران</v>
          </cell>
          <cell r="L29" t="str">
            <v>SY020001</v>
          </cell>
          <cell r="M29" t="str">
            <v>C1029</v>
          </cell>
          <cell r="N29" t="str">
            <v>Big Orm\أورم الكبرى</v>
          </cell>
          <cell r="P29" t="str">
            <v>C1001</v>
          </cell>
          <cell r="Q29" t="str">
            <v>SY0100075</v>
          </cell>
          <cell r="R29" t="str">
            <v>Amin\الأمين</v>
          </cell>
        </row>
        <row r="30">
          <cell r="D30" t="str">
            <v>SY05</v>
          </cell>
          <cell r="E30" t="str">
            <v>SY0505</v>
          </cell>
          <cell r="F30" t="str">
            <v>Muhradah\محردة</v>
          </cell>
          <cell r="H30" t="str">
            <v>SY0205</v>
          </cell>
          <cell r="I30" t="str">
            <v>SY020500</v>
          </cell>
          <cell r="J30" t="str">
            <v>Menbij\مركز منبج</v>
          </cell>
          <cell r="L30" t="str">
            <v>SY020001</v>
          </cell>
          <cell r="M30" t="str">
            <v>C1032</v>
          </cell>
          <cell r="N30" t="str">
            <v>Jeineh\الجينة</v>
          </cell>
          <cell r="P30" t="str">
            <v>C1001</v>
          </cell>
          <cell r="Q30" t="str">
            <v>SY0100087</v>
          </cell>
          <cell r="R30" t="str">
            <v>Ansari\الأنصاري</v>
          </cell>
        </row>
        <row r="31">
          <cell r="D31" t="str">
            <v>SY06</v>
          </cell>
          <cell r="E31" t="str">
            <v>SY0600</v>
          </cell>
          <cell r="F31" t="str">
            <v>Lattakia\مركز اللاذقية</v>
          </cell>
          <cell r="H31" t="str">
            <v>SY0205</v>
          </cell>
          <cell r="I31" t="str">
            <v>SY020501</v>
          </cell>
          <cell r="J31" t="str">
            <v>Abu Qalqal\أبو قلقل</v>
          </cell>
          <cell r="L31" t="str">
            <v>SY020001</v>
          </cell>
          <cell r="M31" t="str">
            <v>C1039</v>
          </cell>
          <cell r="N31" t="str">
            <v>Kafr Aleppo\كفر حلب</v>
          </cell>
          <cell r="P31" t="str">
            <v>C1001</v>
          </cell>
          <cell r="Q31" t="str">
            <v>SY0100011</v>
          </cell>
          <cell r="R31" t="str">
            <v>Asad Addein\أسد الدين</v>
          </cell>
        </row>
        <row r="32">
          <cell r="D32" t="str">
            <v>SY06</v>
          </cell>
          <cell r="E32" t="str">
            <v>SY0602</v>
          </cell>
          <cell r="F32" t="str">
            <v>Jablah\جبلة</v>
          </cell>
          <cell r="H32" t="str">
            <v>SY0205</v>
          </cell>
          <cell r="I32" t="str">
            <v>SY020502</v>
          </cell>
          <cell r="J32" t="str">
            <v>Al-Khafsa\الخفسة</v>
          </cell>
          <cell r="L32" t="str">
            <v>SY020001</v>
          </cell>
          <cell r="M32" t="str">
            <v>C1033</v>
          </cell>
          <cell r="N32" t="str">
            <v>Kafr Amma\كفر عمة</v>
          </cell>
          <cell r="P32" t="str">
            <v>C1001</v>
          </cell>
          <cell r="Q32" t="str">
            <v>SY0100014</v>
          </cell>
          <cell r="R32" t="str">
            <v>Ayoubiya\الأيوبية</v>
          </cell>
        </row>
        <row r="33">
          <cell r="D33" t="str">
            <v>SY06</v>
          </cell>
          <cell r="E33" t="str">
            <v>SY0603</v>
          </cell>
          <cell r="F33" t="str">
            <v>Al-Haffa\الحفة</v>
          </cell>
          <cell r="H33" t="str">
            <v>SY0205</v>
          </cell>
          <cell r="I33" t="str">
            <v>SY020503</v>
          </cell>
          <cell r="J33" t="str">
            <v>Maskana\مسكنة</v>
          </cell>
          <cell r="L33" t="str">
            <v>SY020001</v>
          </cell>
          <cell r="M33" t="str">
            <v>C1035</v>
          </cell>
          <cell r="N33" t="str">
            <v>Kafr Karmin\كفر كرمين</v>
          </cell>
          <cell r="P33" t="str">
            <v>C1001</v>
          </cell>
          <cell r="Q33" t="str">
            <v>SY0100083</v>
          </cell>
          <cell r="R33" t="str">
            <v>Bab Al Jabiyeh\باب الجابية</v>
          </cell>
        </row>
        <row r="34">
          <cell r="D34" t="str">
            <v>SY06</v>
          </cell>
          <cell r="E34" t="str">
            <v>SY0604</v>
          </cell>
          <cell r="F34" t="str">
            <v>Al-Qardaha\القرداحة</v>
          </cell>
          <cell r="H34" t="str">
            <v>SY0206</v>
          </cell>
          <cell r="I34" t="str">
            <v>SY020600</v>
          </cell>
          <cell r="J34" t="str">
            <v>Ain al Arab\مركز عين العرب</v>
          </cell>
          <cell r="L34" t="str">
            <v>SY020001</v>
          </cell>
          <cell r="M34" t="str">
            <v>C1034</v>
          </cell>
          <cell r="N34" t="str">
            <v>Kafr Naha\كفر ناها</v>
          </cell>
          <cell r="P34" t="str">
            <v>C1001</v>
          </cell>
          <cell r="Q34" t="str">
            <v>SY0100095</v>
          </cell>
          <cell r="R34" t="str">
            <v>Bab Maser\باب مصر</v>
          </cell>
        </row>
        <row r="35">
          <cell r="D35" t="str">
            <v>SY07</v>
          </cell>
          <cell r="E35" t="str">
            <v>SY0700</v>
          </cell>
          <cell r="F35" t="str">
            <v>Idleb\مركز إدلب</v>
          </cell>
          <cell r="H35" t="str">
            <v>SY0206</v>
          </cell>
          <cell r="I35" t="str">
            <v>SY020601</v>
          </cell>
          <cell r="J35" t="str">
            <v>Lower Shyookh\شيوخ تحتاني</v>
          </cell>
          <cell r="L35" t="str">
            <v>SY020001</v>
          </cell>
          <cell r="M35" t="str">
            <v>C1036</v>
          </cell>
          <cell r="N35" t="str">
            <v>Kafr Naseh Elatareb\كفر ناصح الاتارب</v>
          </cell>
          <cell r="P35" t="str">
            <v>C1001</v>
          </cell>
          <cell r="Q35" t="str">
            <v>SY0100107</v>
          </cell>
          <cell r="R35" t="str">
            <v>Bab Sharqi\باب شرقي</v>
          </cell>
        </row>
        <row r="36">
          <cell r="D36" t="str">
            <v>SY07</v>
          </cell>
          <cell r="E36" t="str">
            <v>SY0702</v>
          </cell>
          <cell r="F36" t="str">
            <v>Al Ma'ra\معرة النعمان</v>
          </cell>
          <cell r="H36" t="str">
            <v>SY0206</v>
          </cell>
          <cell r="I36" t="str">
            <v>SY020602</v>
          </cell>
          <cell r="J36" t="str">
            <v>Sarin\صرين</v>
          </cell>
          <cell r="L36" t="str">
            <v>SY020001</v>
          </cell>
          <cell r="M36" t="str">
            <v>C1037</v>
          </cell>
          <cell r="N36" t="str">
            <v>Kafr Taal\كفر تعال</v>
          </cell>
          <cell r="P36" t="str">
            <v>C1001</v>
          </cell>
          <cell r="Q36" t="str">
            <v>SY0100081</v>
          </cell>
          <cell r="R36" t="str">
            <v>Bab Sreijeh\باب سريجة</v>
          </cell>
        </row>
        <row r="37">
          <cell r="D37" t="str">
            <v>SY07</v>
          </cell>
          <cell r="E37" t="str">
            <v>SY0703</v>
          </cell>
          <cell r="F37" t="str">
            <v>Harim\حارم</v>
          </cell>
          <cell r="H37" t="str">
            <v>SY0207</v>
          </cell>
          <cell r="I37" t="str">
            <v>SY020700</v>
          </cell>
          <cell r="J37" t="str">
            <v>As-Safira\مركز السفيرة</v>
          </cell>
          <cell r="L37" t="str">
            <v>SY020001</v>
          </cell>
          <cell r="M37" t="str">
            <v>C1041</v>
          </cell>
          <cell r="N37" t="str">
            <v>Kafr Thoran\كفر نوران</v>
          </cell>
          <cell r="P37" t="str">
            <v>C1001</v>
          </cell>
          <cell r="Q37" t="str">
            <v>SY0100076</v>
          </cell>
          <cell r="R37" t="str">
            <v>Bab Touma\باب توما</v>
          </cell>
        </row>
        <row r="38">
          <cell r="D38" t="str">
            <v>SY07</v>
          </cell>
          <cell r="E38" t="str">
            <v>SY0704</v>
          </cell>
          <cell r="F38" t="str">
            <v>Jisr-Ash-Shugur\جسر الشغور</v>
          </cell>
          <cell r="H38" t="str">
            <v>SY0207</v>
          </cell>
          <cell r="I38" t="str">
            <v>SY020701</v>
          </cell>
          <cell r="J38" t="str">
            <v>Khanaser\خناصر</v>
          </cell>
          <cell r="L38" t="str">
            <v>SY020001</v>
          </cell>
          <cell r="M38" t="str">
            <v>C1027</v>
          </cell>
          <cell r="N38" t="str">
            <v>Little Orm\أورم الصغرى</v>
          </cell>
          <cell r="P38" t="str">
            <v>C1001</v>
          </cell>
          <cell r="Q38" t="str">
            <v>SY0100088</v>
          </cell>
          <cell r="R38" t="str">
            <v>Baramkeh\البرامكة</v>
          </cell>
        </row>
        <row r="39">
          <cell r="D39" t="str">
            <v>SY07</v>
          </cell>
          <cell r="E39" t="str">
            <v>SY0705</v>
          </cell>
          <cell r="F39" t="str">
            <v>Ariha\أريحا</v>
          </cell>
          <cell r="H39" t="str">
            <v>SY0207</v>
          </cell>
          <cell r="I39" t="str">
            <v>SY020702</v>
          </cell>
          <cell r="J39" t="str">
            <v>Banan\بنان</v>
          </cell>
          <cell r="L39" t="str">
            <v>SY020001</v>
          </cell>
          <cell r="M39" t="str">
            <v>C1038</v>
          </cell>
          <cell r="N39" t="str">
            <v>Maaret Atarib\معارة اتارب</v>
          </cell>
          <cell r="P39" t="str">
            <v>C1001</v>
          </cell>
          <cell r="Q39" t="str">
            <v>SY0100044</v>
          </cell>
          <cell r="R39" t="str">
            <v>Barza Al Balad\برزة البلد</v>
          </cell>
        </row>
        <row r="40">
          <cell r="D40" t="str">
            <v>SY08</v>
          </cell>
          <cell r="E40" t="str">
            <v>SY0800</v>
          </cell>
          <cell r="F40" t="str">
            <v>Al-Hasakeh\مركز الحسكة</v>
          </cell>
          <cell r="H40" t="str">
            <v>SY0207</v>
          </cell>
          <cell r="I40" t="str">
            <v>SY020703</v>
          </cell>
          <cell r="J40" t="str">
            <v>Hajeb\الحاجب</v>
          </cell>
          <cell r="L40" t="str">
            <v>SY020001</v>
          </cell>
          <cell r="M40" t="str">
            <v>C1024</v>
          </cell>
          <cell r="N40" t="str">
            <v>Oweijel\عويجل</v>
          </cell>
          <cell r="P40" t="str">
            <v>C1001</v>
          </cell>
          <cell r="Q40" t="str">
            <v>SY0100103</v>
          </cell>
          <cell r="R40" t="str">
            <v>Bilal\بلال</v>
          </cell>
        </row>
        <row r="41">
          <cell r="D41" t="str">
            <v>SY08</v>
          </cell>
          <cell r="E41" t="str">
            <v>SY0802</v>
          </cell>
          <cell r="F41" t="str">
            <v>Quamishli\القامشلي</v>
          </cell>
          <cell r="H41" t="str">
            <v>SY0208</v>
          </cell>
          <cell r="I41" t="str">
            <v>SY020800</v>
          </cell>
          <cell r="J41" t="str">
            <v>Jarablus\مركز جرابلس</v>
          </cell>
          <cell r="L41" t="str">
            <v>SY020001</v>
          </cell>
          <cell r="M41" t="str">
            <v>C1019</v>
          </cell>
          <cell r="N41" t="str">
            <v>Qanater\القناطر</v>
          </cell>
          <cell r="P41" t="str">
            <v>C1001</v>
          </cell>
          <cell r="Q41" t="str">
            <v>SY0100122</v>
          </cell>
          <cell r="R41" t="str">
            <v>Dahadeel\الدحاديل</v>
          </cell>
        </row>
        <row r="42">
          <cell r="D42" t="str">
            <v>SY08</v>
          </cell>
          <cell r="E42" t="str">
            <v>SY0803</v>
          </cell>
          <cell r="F42" t="str">
            <v>Al-Malikeyyeh\المالكية</v>
          </cell>
          <cell r="H42" t="str">
            <v>SY0208</v>
          </cell>
          <cell r="I42" t="str">
            <v>SY020801</v>
          </cell>
          <cell r="J42" t="str">
            <v>Ghandorah\غندورة</v>
          </cell>
          <cell r="L42" t="str">
            <v>SY020001</v>
          </cell>
          <cell r="M42" t="str">
            <v>C1023</v>
          </cell>
          <cell r="N42" t="str">
            <v>Sahara\السحارة</v>
          </cell>
          <cell r="P42" t="str">
            <v>C1001</v>
          </cell>
          <cell r="Q42" t="str">
            <v>SY0100113</v>
          </cell>
          <cell r="R42" t="str">
            <v>Dahiet Dummar\ضاحية دمر</v>
          </cell>
        </row>
        <row r="43">
          <cell r="D43" t="str">
            <v>SY08</v>
          </cell>
          <cell r="E43" t="str">
            <v>SY0804</v>
          </cell>
          <cell r="F43" t="str">
            <v>Ras Al Ain\رأس العين</v>
          </cell>
          <cell r="H43" t="str">
            <v>SY0301</v>
          </cell>
          <cell r="I43" t="str">
            <v>SY030101</v>
          </cell>
          <cell r="J43" t="str">
            <v>Kisweh\الكسوة</v>
          </cell>
          <cell r="L43" t="str">
            <v>SY020001</v>
          </cell>
          <cell r="M43" t="str">
            <v>C1031</v>
          </cell>
          <cell r="N43" t="str">
            <v>Sheikh Ali\الشيخ علي</v>
          </cell>
          <cell r="P43" t="str">
            <v>C1001</v>
          </cell>
          <cell r="Q43" t="str">
            <v>SY0100093</v>
          </cell>
          <cell r="R43" t="str">
            <v>Daqaq\الدقاق</v>
          </cell>
        </row>
        <row r="44">
          <cell r="D44" t="str">
            <v>SY09</v>
          </cell>
          <cell r="E44" t="str">
            <v>SY0901</v>
          </cell>
          <cell r="F44" t="str">
            <v>Deir-ez-Zor\مركز دير الزور</v>
          </cell>
          <cell r="H44" t="str">
            <v>SY0301</v>
          </cell>
          <cell r="I44" t="str">
            <v>SY030102</v>
          </cell>
          <cell r="J44" t="str">
            <v>Babella\ببيلا</v>
          </cell>
          <cell r="L44" t="str">
            <v>SY020001</v>
          </cell>
          <cell r="M44" t="str">
            <v>C1028</v>
          </cell>
          <cell r="N44" t="str">
            <v>Tadil\تديل</v>
          </cell>
          <cell r="P44" t="str">
            <v>C1001</v>
          </cell>
          <cell r="Q44" t="str">
            <v>SY0100112</v>
          </cell>
          <cell r="R44" t="str">
            <v>Dummar Gharbiya\دمر الغربية</v>
          </cell>
        </row>
        <row r="45">
          <cell r="D45" t="str">
            <v>SY09</v>
          </cell>
          <cell r="E45" t="str">
            <v>SY0902</v>
          </cell>
          <cell r="F45" t="str">
            <v>Abu Kamal\البوكمال</v>
          </cell>
          <cell r="H45" t="str">
            <v>SY0301</v>
          </cell>
          <cell r="I45" t="str">
            <v>SY030103</v>
          </cell>
          <cell r="J45" t="str">
            <v>Jaramana\جرمانا</v>
          </cell>
          <cell r="L45" t="str">
            <v>SY020001</v>
          </cell>
          <cell r="M45" t="str">
            <v>C1020</v>
          </cell>
          <cell r="N45" t="str">
            <v>Tuwama\التوامة</v>
          </cell>
          <cell r="P45" t="str">
            <v>C1001</v>
          </cell>
          <cell r="Q45" t="str">
            <v>SY0100111</v>
          </cell>
          <cell r="R45" t="str">
            <v>Dummar Sharqiya\دمر الشرقية</v>
          </cell>
        </row>
        <row r="46">
          <cell r="D46" t="str">
            <v>SY09</v>
          </cell>
          <cell r="E46" t="str">
            <v>SY0903</v>
          </cell>
          <cell r="F46" t="str">
            <v>Al Mayadin\الميادين</v>
          </cell>
          <cell r="H46" t="str">
            <v>SY0301</v>
          </cell>
          <cell r="I46" t="str">
            <v>SY030104</v>
          </cell>
          <cell r="J46" t="str">
            <v>Maliha\المليحة</v>
          </cell>
          <cell r="L46" t="str">
            <v>SY020001</v>
          </cell>
          <cell r="M46" t="str">
            <v>C1040</v>
          </cell>
          <cell r="N46" t="str">
            <v>Western Kafr Jum\كفر جوم غربية</v>
          </cell>
          <cell r="P46" t="str">
            <v>C1001</v>
          </cell>
          <cell r="Q46" t="str">
            <v>SY0100133</v>
          </cell>
          <cell r="R46" t="str">
            <v>Fardos\الفردوس</v>
          </cell>
        </row>
        <row r="47">
          <cell r="D47" t="str">
            <v>SY10</v>
          </cell>
          <cell r="E47" t="str">
            <v>SY1000</v>
          </cell>
          <cell r="F47" t="str">
            <v>Tartous\مركز طرطوس</v>
          </cell>
          <cell r="H47" t="str">
            <v>SY0301</v>
          </cell>
          <cell r="I47" t="str">
            <v>SY030105</v>
          </cell>
          <cell r="J47" t="str">
            <v>Kafr Batna\كفر بطنا</v>
          </cell>
          <cell r="L47" t="str">
            <v>SY020002</v>
          </cell>
          <cell r="M47" t="str">
            <v>C1043</v>
          </cell>
          <cell r="N47" t="str">
            <v>Aabad\اعبد</v>
          </cell>
          <cell r="P47" t="str">
            <v>C1001</v>
          </cell>
          <cell r="Q47" t="str">
            <v>SY0100067</v>
          </cell>
          <cell r="R47" t="str">
            <v>Faris Al Khouri\فارس الخوري</v>
          </cell>
        </row>
        <row r="48">
          <cell r="D48" t="str">
            <v>SY10</v>
          </cell>
          <cell r="E48" t="str">
            <v>SY1002</v>
          </cell>
          <cell r="F48" t="str">
            <v>Banyas\بانياس</v>
          </cell>
          <cell r="H48" t="str">
            <v>SY0301</v>
          </cell>
          <cell r="I48" t="str">
            <v>SY030106</v>
          </cell>
          <cell r="J48" t="str">
            <v>Arbin\عربين</v>
          </cell>
          <cell r="L48" t="str">
            <v>SY020002</v>
          </cell>
          <cell r="M48" t="str">
            <v>C6329</v>
          </cell>
          <cell r="N48" t="str">
            <v>Abu Elmajaher\ابو المجاهر</v>
          </cell>
          <cell r="P48" t="str">
            <v>C1001</v>
          </cell>
          <cell r="Q48" t="str">
            <v>SY0100037</v>
          </cell>
          <cell r="R48" t="str">
            <v>Fealat Gharbiyeh\فيلات غربية</v>
          </cell>
        </row>
        <row r="49">
          <cell r="D49" t="str">
            <v>SY10</v>
          </cell>
          <cell r="E49" t="str">
            <v>SY1003</v>
          </cell>
          <cell r="F49" t="str">
            <v>Safita\صافيتا</v>
          </cell>
          <cell r="H49" t="str">
            <v>SY0301</v>
          </cell>
          <cell r="I49" t="str">
            <v>SY030107</v>
          </cell>
          <cell r="J49" t="str">
            <v>Qudsiya\قدسيا</v>
          </cell>
          <cell r="L49" t="str">
            <v>SY020002</v>
          </cell>
          <cell r="M49" t="str">
            <v>C1048</v>
          </cell>
          <cell r="N49" t="str">
            <v>Abu Rweil\أبو رويل</v>
          </cell>
          <cell r="P49" t="str">
            <v>C1001</v>
          </cell>
          <cell r="Q49" t="str">
            <v>SY0100033</v>
          </cell>
          <cell r="R49" t="str">
            <v>Fealat Sharqiyeh\فيلات شرقية</v>
          </cell>
        </row>
        <row r="50">
          <cell r="D50" t="str">
            <v>SY10</v>
          </cell>
          <cell r="E50" t="str">
            <v>SY1004</v>
          </cell>
          <cell r="F50" t="str">
            <v>Dreikish\دريكيش</v>
          </cell>
          <cell r="H50" t="str">
            <v>SY0302</v>
          </cell>
          <cell r="I50" t="str">
            <v>SY030200</v>
          </cell>
          <cell r="J50" t="str">
            <v>Duma\مركز دوما</v>
          </cell>
          <cell r="L50" t="str">
            <v>SY020002</v>
          </cell>
          <cell r="M50" t="str">
            <v>C1074</v>
          </cell>
          <cell r="N50" t="str">
            <v>Andan Elsheikh\عندان الشيخ</v>
          </cell>
          <cell r="P50" t="str">
            <v>C1001</v>
          </cell>
          <cell r="Q50" t="str">
            <v>SY0100021</v>
          </cell>
          <cell r="R50" t="str">
            <v>Haboubi\الحبوبي</v>
          </cell>
        </row>
        <row r="51">
          <cell r="D51" t="str">
            <v>SY10</v>
          </cell>
          <cell r="E51" t="str">
            <v>SY1005</v>
          </cell>
          <cell r="F51" t="str">
            <v>Sheikh Badr\الشيخ بدر</v>
          </cell>
          <cell r="H51" t="str">
            <v>SY0302</v>
          </cell>
          <cell r="I51" t="str">
            <v>SY030201</v>
          </cell>
          <cell r="J51" t="str">
            <v>Harasta\حرستا</v>
          </cell>
          <cell r="L51" t="str">
            <v>SY020002</v>
          </cell>
          <cell r="M51" t="str">
            <v>C1086</v>
          </cell>
          <cell r="N51" t="str">
            <v>Anu Mreir\أبو مرير</v>
          </cell>
          <cell r="P51" t="str">
            <v>C1001</v>
          </cell>
          <cell r="Q51" t="str">
            <v>SY0100073</v>
          </cell>
          <cell r="R51" t="str">
            <v>Hameidiyyeh\الحميدية</v>
          </cell>
        </row>
        <row r="52">
          <cell r="D52" t="str">
            <v>SY11</v>
          </cell>
          <cell r="E52" t="str">
            <v>SY1101</v>
          </cell>
          <cell r="F52" t="str">
            <v>Ar-Raqqa\مركز الرقة</v>
          </cell>
          <cell r="H52" t="str">
            <v>SY0302</v>
          </cell>
          <cell r="I52" t="str">
            <v>SY030202</v>
          </cell>
          <cell r="J52" t="str">
            <v>Sabe Byar\السبع بيار</v>
          </cell>
          <cell r="L52" t="str">
            <v>SY020002</v>
          </cell>
          <cell r="M52" t="str">
            <v>C1057</v>
          </cell>
          <cell r="N52" t="str">
            <v>Arjel\ارجل</v>
          </cell>
          <cell r="P52" t="str">
            <v>C1001</v>
          </cell>
          <cell r="Q52" t="str">
            <v>SY0100094</v>
          </cell>
          <cell r="R52" t="str">
            <v>Haqleh\الحقلة</v>
          </cell>
        </row>
        <row r="53">
          <cell r="D53" t="str">
            <v>SY11</v>
          </cell>
          <cell r="E53" t="str">
            <v>SY1102</v>
          </cell>
          <cell r="F53" t="str">
            <v>Tell Abiad\تل أبيض</v>
          </cell>
          <cell r="H53" t="str">
            <v>SY0302</v>
          </cell>
          <cell r="I53" t="str">
            <v>SY030203</v>
          </cell>
          <cell r="J53" t="str">
            <v>Dhameer\الضمير</v>
          </cell>
          <cell r="L53" t="str">
            <v>SY020002</v>
          </cell>
          <cell r="M53" t="str">
            <v>C6326</v>
          </cell>
          <cell r="N53" t="str">
            <v>Bakat\الباكات</v>
          </cell>
          <cell r="P53" t="str">
            <v>C1001</v>
          </cell>
          <cell r="Q53" t="str">
            <v>SY0100071</v>
          </cell>
          <cell r="R53" t="str">
            <v>Hariqa\الحريقة</v>
          </cell>
        </row>
        <row r="54">
          <cell r="D54" t="str">
            <v>SY11</v>
          </cell>
          <cell r="E54" t="str">
            <v>SY1103</v>
          </cell>
          <cell r="F54" t="str">
            <v>Ath-Thawrah\الثورة</v>
          </cell>
          <cell r="H54" t="str">
            <v>SY0302</v>
          </cell>
          <cell r="I54" t="str">
            <v>SY030204</v>
          </cell>
          <cell r="J54" t="str">
            <v>Nashabiyeh\النشابية</v>
          </cell>
          <cell r="L54" t="str">
            <v>SY020002</v>
          </cell>
          <cell r="M54" t="str">
            <v>C1076</v>
          </cell>
          <cell r="N54" t="str">
            <v>Ballas\بلاس</v>
          </cell>
          <cell r="P54" t="str">
            <v>C1001</v>
          </cell>
          <cell r="Q54" t="str">
            <v>SY0100089</v>
          </cell>
          <cell r="R54" t="str">
            <v>Hijaz\الحجاز</v>
          </cell>
        </row>
        <row r="55">
          <cell r="D55" t="str">
            <v>SY12</v>
          </cell>
          <cell r="E55" t="str">
            <v>SY1200</v>
          </cell>
          <cell r="F55" t="str">
            <v>Dar'a\درعا</v>
          </cell>
          <cell r="H55" t="str">
            <v>SY0302</v>
          </cell>
          <cell r="I55" t="str">
            <v>SY030205</v>
          </cell>
          <cell r="J55" t="str">
            <v>Ghizlaniyyeh\الغزلانية</v>
          </cell>
          <cell r="L55" t="str">
            <v>SY020002</v>
          </cell>
          <cell r="M55" t="str">
            <v>C1072</v>
          </cell>
          <cell r="N55" t="str">
            <v>Batha \بطحة</v>
          </cell>
          <cell r="P55" t="str">
            <v>C1001</v>
          </cell>
          <cell r="Q55" t="str">
            <v>SY0100102</v>
          </cell>
          <cell r="R55" t="str">
            <v>Ibn Asaker\ابن عساكر</v>
          </cell>
        </row>
        <row r="56">
          <cell r="D56" t="str">
            <v>SY12</v>
          </cell>
          <cell r="E56" t="str">
            <v>SY1202</v>
          </cell>
          <cell r="F56" t="str">
            <v>As-Sanamayn\الصنمين</v>
          </cell>
          <cell r="H56" t="str">
            <v>SY0302</v>
          </cell>
          <cell r="I56" t="str">
            <v>SY030206</v>
          </cell>
          <cell r="J56" t="str">
            <v>Haran Al'awameed\حران العواميد</v>
          </cell>
          <cell r="L56" t="str">
            <v>SY020002</v>
          </cell>
          <cell r="M56" t="str">
            <v>C1044</v>
          </cell>
          <cell r="N56" t="str">
            <v>Batranah\بطرانة</v>
          </cell>
          <cell r="P56" t="str">
            <v>C1001</v>
          </cell>
          <cell r="Q56" t="str">
            <v>SY0100035</v>
          </cell>
          <cell r="R56" t="str">
            <v>Jalaa\الجلاء</v>
          </cell>
        </row>
        <row r="57">
          <cell r="D57" t="str">
            <v>SY12</v>
          </cell>
          <cell r="E57" t="str">
            <v>SY1203</v>
          </cell>
          <cell r="F57" t="str">
            <v>Izra'\ازرع</v>
          </cell>
          <cell r="H57" t="str">
            <v>SY0303</v>
          </cell>
          <cell r="I57" t="str">
            <v>SY030300</v>
          </cell>
          <cell r="J57" t="str">
            <v>Al Qutayfah\مركز القطيفة</v>
          </cell>
          <cell r="L57" t="str">
            <v>SY020002</v>
          </cell>
          <cell r="M57" t="str">
            <v>C1081</v>
          </cell>
          <cell r="N57" t="str">
            <v>Big Bayaa\بياعة كبيرة</v>
          </cell>
          <cell r="P57" t="str">
            <v>C1001</v>
          </cell>
          <cell r="Q57" t="str">
            <v>SY0100052</v>
          </cell>
          <cell r="R57" t="str">
            <v>Joubar Gharbi\جوبر الغربي</v>
          </cell>
        </row>
        <row r="58">
          <cell r="D58" t="str">
            <v>SY13</v>
          </cell>
          <cell r="E58" t="str">
            <v>SY1300</v>
          </cell>
          <cell r="F58" t="str">
            <v>As-Sweida\مركز السويداء</v>
          </cell>
          <cell r="H58" t="str">
            <v>SY0303</v>
          </cell>
          <cell r="I58" t="str">
            <v>SY030301</v>
          </cell>
          <cell r="J58" t="str">
            <v>Jirud\جيرود</v>
          </cell>
          <cell r="L58" t="str">
            <v>SY020002</v>
          </cell>
          <cell r="M58" t="str">
            <v>C1082</v>
          </cell>
          <cell r="N58" t="str">
            <v>Big Bweideh\بويضة كبيرة</v>
          </cell>
          <cell r="P58" t="str">
            <v>C1001</v>
          </cell>
          <cell r="Q58" t="str">
            <v>SY0100053</v>
          </cell>
          <cell r="R58" t="str">
            <v>Joubar Sharqi\جوبر الشرقي</v>
          </cell>
        </row>
        <row r="59">
          <cell r="D59" t="str">
            <v>SY13</v>
          </cell>
          <cell r="E59" t="str">
            <v>SY1302</v>
          </cell>
          <cell r="F59" t="str">
            <v>Salkhad\صلخد</v>
          </cell>
          <cell r="H59" t="str">
            <v>SY0303</v>
          </cell>
          <cell r="I59" t="str">
            <v>SY030302</v>
          </cell>
          <cell r="J59" t="str">
            <v>Ma'loula\معلولا</v>
          </cell>
          <cell r="L59" t="str">
            <v>SY020002</v>
          </cell>
          <cell r="M59" t="str">
            <v>C1111</v>
          </cell>
          <cell r="N59" t="str">
            <v>Big Madayen\مداين الكبير</v>
          </cell>
          <cell r="P59" t="str">
            <v>C1001</v>
          </cell>
          <cell r="Q59" t="str">
            <v>SY0100077</v>
          </cell>
          <cell r="R59" t="str">
            <v>Joura\الجورة</v>
          </cell>
        </row>
        <row r="60">
          <cell r="D60" t="str">
            <v>SY13</v>
          </cell>
          <cell r="E60" t="str">
            <v>SY1303</v>
          </cell>
          <cell r="F60" t="str">
            <v>Shahba\شهبا</v>
          </cell>
          <cell r="H60" t="str">
            <v>SY0303</v>
          </cell>
          <cell r="I60" t="str">
            <v>SY030303</v>
          </cell>
          <cell r="J60" t="str">
            <v>Raheiba\الرحيبة</v>
          </cell>
          <cell r="L60" t="str">
            <v>SY020002</v>
          </cell>
          <cell r="M60" t="str">
            <v>C1067</v>
          </cell>
          <cell r="N60" t="str">
            <v>Big Oweinat\عوينات كبيرة</v>
          </cell>
          <cell r="P60" t="str">
            <v>C1001</v>
          </cell>
          <cell r="Q60" t="str">
            <v>SY0100123</v>
          </cell>
          <cell r="R60" t="str">
            <v>Jouret Shreibati\جورة الشريباتي</v>
          </cell>
        </row>
        <row r="61">
          <cell r="D61" t="str">
            <v>SY14</v>
          </cell>
          <cell r="E61" t="str">
            <v>SY1400</v>
          </cell>
          <cell r="F61" t="str">
            <v>Quneitra\مركز القنيطرة</v>
          </cell>
          <cell r="H61" t="str">
            <v>SY0304</v>
          </cell>
          <cell r="I61" t="str">
            <v>SY030400</v>
          </cell>
          <cell r="J61" t="str">
            <v>At Tall\مركز التل</v>
          </cell>
          <cell r="L61" t="str">
            <v>SY020002</v>
          </cell>
          <cell r="M61" t="str">
            <v>C1063</v>
          </cell>
          <cell r="N61" t="str">
            <v>Burda\بردة</v>
          </cell>
          <cell r="P61" t="str">
            <v>C1001</v>
          </cell>
          <cell r="Q61" t="str">
            <v>SY0100131</v>
          </cell>
          <cell r="R61" t="str">
            <v>Kafr Souseh Al Balad\كفر سوسة البلد</v>
          </cell>
        </row>
        <row r="62">
          <cell r="D62" t="str">
            <v>SY14</v>
          </cell>
          <cell r="E62" t="str">
            <v>SY1402</v>
          </cell>
          <cell r="F62" t="str">
            <v>Al Fiq\فيق</v>
          </cell>
          <cell r="H62" t="str">
            <v>SY0304</v>
          </cell>
          <cell r="I62" t="str">
            <v>SY030401</v>
          </cell>
          <cell r="J62" t="str">
            <v>Sidnaya\صيدنايا</v>
          </cell>
          <cell r="L62" t="str">
            <v>SY020002</v>
          </cell>
          <cell r="M62" t="str">
            <v>C1061</v>
          </cell>
          <cell r="N62" t="str">
            <v>Deir Saliba\دير صليبة</v>
          </cell>
          <cell r="P62" t="str">
            <v>C1001</v>
          </cell>
          <cell r="Q62" t="str">
            <v>SY0100134</v>
          </cell>
          <cell r="R62" t="str">
            <v>Lwan\اللوان</v>
          </cell>
        </row>
        <row r="63">
          <cell r="H63" t="str">
            <v>SY0304</v>
          </cell>
          <cell r="I63" t="str">
            <v>SY030402</v>
          </cell>
          <cell r="J63" t="str">
            <v>Rankus\رنكوس</v>
          </cell>
          <cell r="L63" t="str">
            <v>SY020002</v>
          </cell>
          <cell r="M63" t="str">
            <v>C1090</v>
          </cell>
          <cell r="N63" t="str">
            <v>Eastern Atshana\عطشانة شرقية</v>
          </cell>
          <cell r="P63" t="str">
            <v>C1001</v>
          </cell>
          <cell r="Q63" t="str">
            <v>SY0100051</v>
          </cell>
          <cell r="R63" t="str">
            <v>Ma'amouniyyeh\المأمونية</v>
          </cell>
        </row>
        <row r="64">
          <cell r="H64" t="str">
            <v>SY0305</v>
          </cell>
          <cell r="I64" t="str">
            <v>SY030500</v>
          </cell>
          <cell r="J64" t="str">
            <v>Yabroud\مركز يبرود</v>
          </cell>
          <cell r="L64" t="str">
            <v>SY020002</v>
          </cell>
          <cell r="M64" t="str">
            <v>C6330</v>
          </cell>
          <cell r="N64" t="str">
            <v>Ein Elgharf\عين الغرف</v>
          </cell>
          <cell r="P64" t="str">
            <v>C1001</v>
          </cell>
          <cell r="Q64" t="str">
            <v>SY0100074</v>
          </cell>
          <cell r="R64" t="str">
            <v>Ma'azanet Ash Shahm\مأذنة الشحم</v>
          </cell>
        </row>
        <row r="65">
          <cell r="H65" t="str">
            <v>SY0305</v>
          </cell>
          <cell r="I65" t="str">
            <v>SY030501</v>
          </cell>
          <cell r="J65" t="str">
            <v>Esal El-Ward\عسال الورد</v>
          </cell>
          <cell r="L65" t="str">
            <v>SY020002</v>
          </cell>
          <cell r="M65" t="str">
            <v>C1045</v>
          </cell>
          <cell r="N65" t="str">
            <v>Eliyeh\علية</v>
          </cell>
          <cell r="P65" t="str">
            <v>C1001</v>
          </cell>
          <cell r="Q65" t="str">
            <v>SY0100041</v>
          </cell>
          <cell r="R65" t="str">
            <v>Masakin Barza\مساكن برزة</v>
          </cell>
        </row>
        <row r="66">
          <cell r="H66" t="str">
            <v>SY0306</v>
          </cell>
          <cell r="I66" t="str">
            <v>SY030600</v>
          </cell>
          <cell r="J66" t="str">
            <v>An Nabk\مركز النبك</v>
          </cell>
          <cell r="L66" t="str">
            <v>SY020002</v>
          </cell>
          <cell r="M66" t="str">
            <v>C1051</v>
          </cell>
          <cell r="N66" t="str">
            <v>Establat\اصطبلات</v>
          </cell>
          <cell r="P66" t="str">
            <v>C1001</v>
          </cell>
          <cell r="Q66" t="str">
            <v>SY0100064</v>
          </cell>
          <cell r="R66" t="str">
            <v>Masjid Aqsab\مسجد أقصاب</v>
          </cell>
        </row>
        <row r="67">
          <cell r="H67" t="str">
            <v>SY0306</v>
          </cell>
          <cell r="I67" t="str">
            <v>SY030601</v>
          </cell>
          <cell r="J67" t="str">
            <v>Deir Attiyeh\دير عطية</v>
          </cell>
          <cell r="L67" t="str">
            <v>SY020002</v>
          </cell>
          <cell r="M67" t="str">
            <v>C6328</v>
          </cell>
          <cell r="N67" t="str">
            <v>Gharirifeh\غريريفة</v>
          </cell>
          <cell r="P67" t="str">
            <v>C1001</v>
          </cell>
          <cell r="Q67" t="str">
            <v>SY0100024</v>
          </cell>
          <cell r="R67" t="str">
            <v>Mastaba\المصطبة</v>
          </cell>
        </row>
        <row r="68">
          <cell r="H68" t="str">
            <v>SY0307</v>
          </cell>
          <cell r="I68" t="str">
            <v>SY030700</v>
          </cell>
          <cell r="J68" t="str">
            <v>Az-Zabdani\مركز الزبداني</v>
          </cell>
          <cell r="L68" t="str">
            <v>SY020002</v>
          </cell>
          <cell r="M68" t="str">
            <v>C1119</v>
          </cell>
          <cell r="N68" t="str">
            <v>Ghaytal - Ghaythal\غيطل_غيظل</v>
          </cell>
          <cell r="P68" t="str">
            <v>C1001</v>
          </cell>
          <cell r="Q68" t="str">
            <v>SY0100032</v>
          </cell>
          <cell r="R68" t="str">
            <v>Mazzeh 86\مزة 86</v>
          </cell>
        </row>
        <row r="69">
          <cell r="H69" t="str">
            <v>SY0307</v>
          </cell>
          <cell r="I69" t="str">
            <v>SY030701</v>
          </cell>
          <cell r="J69" t="str">
            <v>Dimas\الديماس</v>
          </cell>
          <cell r="L69" t="str">
            <v>SY020002</v>
          </cell>
          <cell r="M69" t="str">
            <v>C1099</v>
          </cell>
          <cell r="N69" t="str">
            <v>Hamidiyeh\حميدية</v>
          </cell>
          <cell r="P69" t="str">
            <v>C1001</v>
          </cell>
          <cell r="Q69" t="str">
            <v>SY0100034</v>
          </cell>
          <cell r="R69" t="str">
            <v>Mazzeh Al Qadimeh\المزة القديمة</v>
          </cell>
        </row>
        <row r="70">
          <cell r="H70" t="str">
            <v>SY0307</v>
          </cell>
          <cell r="I70" t="str">
            <v>SY030702</v>
          </cell>
          <cell r="J70" t="str">
            <v>Ein Elfijeh\عين الفيجة</v>
          </cell>
          <cell r="L70" t="str">
            <v>SY020002</v>
          </cell>
          <cell r="M70" t="str">
            <v>C1075</v>
          </cell>
          <cell r="N70" t="str">
            <v>Hayyaniyeh\الحيانية</v>
          </cell>
          <cell r="P70" t="str">
            <v>C1001</v>
          </cell>
          <cell r="Q70" t="str">
            <v>SY0100136</v>
          </cell>
          <cell r="R70" t="str">
            <v>Mazzeh Basatin\مزة بساتين</v>
          </cell>
        </row>
        <row r="71">
          <cell r="H71" t="str">
            <v>SY0307</v>
          </cell>
          <cell r="I71" t="str">
            <v>SY030703</v>
          </cell>
          <cell r="J71" t="str">
            <v>Madaya\مضايا</v>
          </cell>
          <cell r="L71" t="str">
            <v>SY020002</v>
          </cell>
          <cell r="M71" t="str">
            <v>C1104</v>
          </cell>
          <cell r="N71" t="str">
            <v>Hazani\هزاني</v>
          </cell>
          <cell r="P71" t="str">
            <v>C1001</v>
          </cell>
          <cell r="Q71" t="str">
            <v>SY0100036</v>
          </cell>
          <cell r="R71" t="str">
            <v>Mazzej Jabal\مزة جبل</v>
          </cell>
        </row>
        <row r="72">
          <cell r="H72" t="str">
            <v>SY0307</v>
          </cell>
          <cell r="I72" t="str">
            <v>SY030704</v>
          </cell>
          <cell r="J72" t="str">
            <v>Sarghaya\سرغايا</v>
          </cell>
          <cell r="L72" t="str">
            <v>SY020002</v>
          </cell>
          <cell r="M72" t="str">
            <v>C1092</v>
          </cell>
          <cell r="N72" t="str">
            <v>Hilwiyeh\حلوية</v>
          </cell>
          <cell r="P72" t="str">
            <v>C1001</v>
          </cell>
          <cell r="Q72" t="str">
            <v>SY0100096</v>
          </cell>
          <cell r="R72" t="str">
            <v>Midan Wastani\ميدان وسطاني</v>
          </cell>
        </row>
        <row r="73">
          <cell r="H73" t="str">
            <v>SY0308</v>
          </cell>
          <cell r="I73" t="str">
            <v>SY030800</v>
          </cell>
          <cell r="J73" t="str">
            <v>Qatana\مركز قطنا</v>
          </cell>
          <cell r="L73" t="str">
            <v>SY020002</v>
          </cell>
          <cell r="M73" t="str">
            <v>C1059</v>
          </cell>
          <cell r="N73" t="str">
            <v>Hmeidi\الحميدي</v>
          </cell>
          <cell r="P73" t="str">
            <v>C1001</v>
          </cell>
          <cell r="Q73" t="str">
            <v>SY0100012</v>
          </cell>
          <cell r="R73" t="str">
            <v>Naqshabandi\النقشبندي</v>
          </cell>
        </row>
        <row r="74">
          <cell r="H74" t="str">
            <v>SY0308</v>
          </cell>
          <cell r="I74" t="str">
            <v>SY030801</v>
          </cell>
          <cell r="J74" t="str">
            <v>Bait Jan\بيت جن</v>
          </cell>
          <cell r="L74" t="str">
            <v>SY020002</v>
          </cell>
          <cell r="M74" t="str">
            <v>C1115</v>
          </cell>
          <cell r="N74" t="str">
            <v>Hober\هوبر</v>
          </cell>
          <cell r="P74" t="str">
            <v>C1001</v>
          </cell>
          <cell r="Q74" t="str">
            <v>SY0100106</v>
          </cell>
          <cell r="R74" t="str">
            <v>Nidal\النضال</v>
          </cell>
        </row>
        <row r="75">
          <cell r="H75" t="str">
            <v>SY0308</v>
          </cell>
          <cell r="I75" t="str">
            <v>SY030802</v>
          </cell>
          <cell r="J75" t="str">
            <v>Sa'sa'\سعسع</v>
          </cell>
          <cell r="L75" t="str">
            <v>SY020002</v>
          </cell>
          <cell r="M75" t="str">
            <v>C1097</v>
          </cell>
          <cell r="N75" t="str">
            <v>Jafr Mansur Simaan\جفر منصور سمعان</v>
          </cell>
          <cell r="P75" t="str">
            <v>C1001</v>
          </cell>
          <cell r="Q75" t="str">
            <v>SY0100046</v>
          </cell>
          <cell r="R75" t="str">
            <v>Nuzha\النزهة</v>
          </cell>
        </row>
        <row r="76">
          <cell r="H76" t="str">
            <v>SY0309</v>
          </cell>
          <cell r="I76" t="str">
            <v>SY030900</v>
          </cell>
          <cell r="J76" t="str">
            <v>Markaz Darayya\مركز داريا</v>
          </cell>
          <cell r="L76" t="str">
            <v>SY020002</v>
          </cell>
          <cell r="M76" t="str">
            <v>C1049</v>
          </cell>
          <cell r="N76" t="str">
            <v>Jeb Eleis\جب عليص</v>
          </cell>
          <cell r="P76" t="str">
            <v>C1001</v>
          </cell>
          <cell r="Q76" t="str">
            <v>SY0100062</v>
          </cell>
          <cell r="R76" t="str">
            <v>Oqaiba\العقيبة</v>
          </cell>
        </row>
        <row r="77">
          <cell r="H77" t="str">
            <v>SY0309</v>
          </cell>
          <cell r="I77" t="str">
            <v>SY030901</v>
          </cell>
          <cell r="J77" t="str">
            <v>Sahnaya\صحنايا</v>
          </cell>
          <cell r="L77" t="str">
            <v>SY020002</v>
          </cell>
          <cell r="M77" t="str">
            <v>C1047</v>
          </cell>
          <cell r="N77" t="str">
            <v>Jeb Elkhafi Simaan\جب الخفي سمعان</v>
          </cell>
          <cell r="P77" t="str">
            <v>C1001</v>
          </cell>
          <cell r="Q77" t="str">
            <v>SY0100092</v>
          </cell>
          <cell r="R77" t="str">
            <v>Qa'a\القاعة</v>
          </cell>
        </row>
        <row r="78">
          <cell r="H78" t="str">
            <v>SY0309</v>
          </cell>
          <cell r="I78" t="str">
            <v>SY030902</v>
          </cell>
          <cell r="J78" t="str">
            <v>Hajar Aswad\الحجر الأسود</v>
          </cell>
          <cell r="L78" t="str">
            <v>SY020002</v>
          </cell>
          <cell r="M78" t="str">
            <v>C1106</v>
          </cell>
          <cell r="N78" t="str">
            <v>Kafr Eibesh\كفر إيبش</v>
          </cell>
          <cell r="P78" t="str">
            <v>C1001</v>
          </cell>
          <cell r="Q78" t="str">
            <v>SY0100142</v>
          </cell>
          <cell r="R78" t="str">
            <v>Qaboun\القابون</v>
          </cell>
        </row>
        <row r="79">
          <cell r="H79" t="str">
            <v>SY0401</v>
          </cell>
          <cell r="I79" t="str">
            <v>SY040100</v>
          </cell>
          <cell r="J79" t="str">
            <v>Homs\مركز حمص</v>
          </cell>
          <cell r="L79" t="str">
            <v>SY020002</v>
          </cell>
          <cell r="M79" t="str">
            <v>C1112</v>
          </cell>
          <cell r="N79" t="str">
            <v>Kafr Obeid\كفر عبيد</v>
          </cell>
          <cell r="P79" t="str">
            <v>C1001</v>
          </cell>
          <cell r="Q79" t="str">
            <v>SY0100086</v>
          </cell>
          <cell r="R79" t="str">
            <v>Qabr Atikah\قبر عاتكة</v>
          </cell>
        </row>
        <row r="80">
          <cell r="H80" t="str">
            <v>SY0401</v>
          </cell>
          <cell r="I80" t="str">
            <v>SY040101</v>
          </cell>
          <cell r="J80" t="str">
            <v>Taldu\تلدو</v>
          </cell>
          <cell r="L80" t="str">
            <v>SY020002</v>
          </cell>
          <cell r="M80" t="str">
            <v>C1116</v>
          </cell>
          <cell r="N80" t="str">
            <v>Kulet Elbweider\كولة البويدر</v>
          </cell>
          <cell r="P80" t="str">
            <v>C1001</v>
          </cell>
          <cell r="Q80" t="str">
            <v>SY0100124</v>
          </cell>
          <cell r="R80" t="str">
            <v>Qadam Sharqi\القدم الشرقي</v>
          </cell>
        </row>
        <row r="81">
          <cell r="H81" t="str">
            <v>SY0401</v>
          </cell>
          <cell r="I81" t="str">
            <v>SY040102</v>
          </cell>
          <cell r="J81" t="str">
            <v>Kherbet Tin Noor\خربة تين نور</v>
          </cell>
          <cell r="L81" t="str">
            <v>SY020002</v>
          </cell>
          <cell r="M81" t="str">
            <v>C1100</v>
          </cell>
          <cell r="N81" t="str">
            <v>Little Bweideh\بويضة صغيرة</v>
          </cell>
          <cell r="P81" t="str">
            <v>C1001</v>
          </cell>
          <cell r="Q81" t="str">
            <v>SY0100152</v>
          </cell>
          <cell r="R81" t="str">
            <v>Qasyoun\قاسيون</v>
          </cell>
        </row>
        <row r="82">
          <cell r="H82" t="str">
            <v>SY0401</v>
          </cell>
          <cell r="I82" t="str">
            <v>SY040103</v>
          </cell>
          <cell r="J82" t="str">
            <v>Ein Elniser\عين النسر</v>
          </cell>
          <cell r="L82" t="str">
            <v>SY020002</v>
          </cell>
          <cell r="M82" t="str">
            <v>C1098</v>
          </cell>
          <cell r="N82" t="str">
            <v>Littler Bayaa\بياعة صغيرة</v>
          </cell>
          <cell r="P82" t="str">
            <v>C1001</v>
          </cell>
          <cell r="Q82" t="str">
            <v>SY0100031</v>
          </cell>
          <cell r="R82" t="str">
            <v>Rabwa\الربوة</v>
          </cell>
        </row>
        <row r="83">
          <cell r="H83" t="str">
            <v>SY0401</v>
          </cell>
          <cell r="I83" t="str">
            <v>SY040104</v>
          </cell>
          <cell r="J83" t="str">
            <v>Farqalas\الفرقلس</v>
          </cell>
          <cell r="L83" t="str">
            <v>SY020002</v>
          </cell>
          <cell r="M83" t="str">
            <v>C1108</v>
          </cell>
          <cell r="N83" t="str">
            <v>Majas\مجاص</v>
          </cell>
          <cell r="P83" t="str">
            <v>C1001</v>
          </cell>
          <cell r="Q83" t="str">
            <v>SY0100022</v>
          </cell>
          <cell r="R83" t="str">
            <v>Rawda\الروضة</v>
          </cell>
        </row>
        <row r="84">
          <cell r="H84" t="str">
            <v>SY0401</v>
          </cell>
          <cell r="I84" t="str">
            <v>SY040105</v>
          </cell>
          <cell r="J84" t="str">
            <v>Raqama\الرقاما</v>
          </cell>
          <cell r="L84" t="str">
            <v>SY020002</v>
          </cell>
          <cell r="M84" t="str">
            <v>C1080</v>
          </cell>
          <cell r="N84" t="str">
            <v>Mansura\المنصورة</v>
          </cell>
          <cell r="P84" t="str">
            <v>C1001</v>
          </cell>
          <cell r="Q84" t="str">
            <v>SY0100104</v>
          </cell>
          <cell r="R84" t="str">
            <v>Rawdet Al Midan\روضة الميدان</v>
          </cell>
        </row>
        <row r="85">
          <cell r="H85" t="str">
            <v>SY0401</v>
          </cell>
          <cell r="I85" t="str">
            <v>SY040106</v>
          </cell>
          <cell r="J85" t="str">
            <v>Qaryatein\القريتين</v>
          </cell>
          <cell r="L85" t="str">
            <v>SY020002</v>
          </cell>
          <cell r="M85" t="str">
            <v>C1114</v>
          </cell>
          <cell r="N85" t="str">
            <v>Maqtal Elzaydi\مقتل الزيدي</v>
          </cell>
          <cell r="P85" t="str">
            <v>C1001</v>
          </cell>
          <cell r="Q85" t="str">
            <v>SY0100061</v>
          </cell>
          <cell r="R85" t="str">
            <v>Saroujah\ساروجا</v>
          </cell>
        </row>
        <row r="86">
          <cell r="H86" t="str">
            <v>SY0401</v>
          </cell>
          <cell r="I86" t="str">
            <v>SY040107</v>
          </cell>
          <cell r="J86" t="str">
            <v>Mahin\مهين</v>
          </cell>
          <cell r="L86" t="str">
            <v>SY020002</v>
          </cell>
          <cell r="M86" t="str">
            <v>C1105</v>
          </cell>
          <cell r="N86" t="str">
            <v>Marhamiya\مرحمية</v>
          </cell>
          <cell r="P86" t="str">
            <v>C1001</v>
          </cell>
          <cell r="Q86" t="str">
            <v>SY0100121</v>
          </cell>
          <cell r="R86" t="str">
            <v>Sayyida Aisha\السيدة عائشة</v>
          </cell>
        </row>
        <row r="87">
          <cell r="H87" t="str">
            <v>SY0401</v>
          </cell>
          <cell r="I87" t="str">
            <v>SY040108</v>
          </cell>
          <cell r="J87" t="str">
            <v>Hasyaa\حسياء</v>
          </cell>
          <cell r="L87" t="str">
            <v>SY020002</v>
          </cell>
          <cell r="M87" t="str">
            <v>C1113</v>
          </cell>
          <cell r="N87" t="str">
            <v>Mashrafet Arjol\مشرفة ارجل</v>
          </cell>
          <cell r="P87" t="str">
            <v>C1001</v>
          </cell>
          <cell r="Q87" t="str">
            <v>SY0100101</v>
          </cell>
          <cell r="R87" t="str">
            <v>Shaghour Barani\شاغور براني</v>
          </cell>
        </row>
        <row r="88">
          <cell r="H88" t="str">
            <v>SY0401</v>
          </cell>
          <cell r="I88" t="str">
            <v>SY040109</v>
          </cell>
          <cell r="J88" t="str">
            <v>Sadad\صدد</v>
          </cell>
          <cell r="L88" t="str">
            <v>SY020002</v>
          </cell>
          <cell r="M88" t="str">
            <v>C1107</v>
          </cell>
          <cell r="N88" t="str">
            <v>Mashrafet Elbuwaiditein\مشرفة البويضتين</v>
          </cell>
          <cell r="P88" t="str">
            <v>C1001</v>
          </cell>
          <cell r="Q88" t="str">
            <v>SY0100072</v>
          </cell>
          <cell r="R88" t="str">
            <v>Shaghour Jowani\شاغور جواني</v>
          </cell>
        </row>
        <row r="89">
          <cell r="H89" t="str">
            <v>SY0401</v>
          </cell>
          <cell r="I89" t="str">
            <v>SY040110</v>
          </cell>
          <cell r="J89" t="str">
            <v>Qabu\القبو</v>
          </cell>
          <cell r="L89" t="str">
            <v>SY020002</v>
          </cell>
          <cell r="M89" t="str">
            <v>C6327</v>
          </cell>
          <cell r="N89" t="str">
            <v>Mashrafet Elhallaj\مشرفة الحلاج</v>
          </cell>
          <cell r="P89" t="str">
            <v>C1001</v>
          </cell>
          <cell r="Q89" t="str">
            <v>SY0100154</v>
          </cell>
          <cell r="R89" t="str">
            <v>Sheikh Muhie Addin\الشيخ محي الدين</v>
          </cell>
        </row>
        <row r="90">
          <cell r="H90" t="str">
            <v>SY0401</v>
          </cell>
          <cell r="I90" t="str">
            <v>SY040111</v>
          </cell>
          <cell r="J90" t="str">
            <v>Shin\شين</v>
          </cell>
          <cell r="L90" t="str">
            <v>SY020002</v>
          </cell>
          <cell r="M90" t="str">
            <v>C1117</v>
          </cell>
          <cell r="N90" t="str">
            <v>Mashrafet Elmarij\مشرفة المريج</v>
          </cell>
          <cell r="P90" t="str">
            <v>C1001</v>
          </cell>
          <cell r="Q90" t="str">
            <v>SY0100023</v>
          </cell>
          <cell r="R90" t="str">
            <v>Shoura\شورى</v>
          </cell>
        </row>
        <row r="91">
          <cell r="H91" t="str">
            <v>SY0402</v>
          </cell>
          <cell r="I91" t="str">
            <v>SY040200</v>
          </cell>
          <cell r="J91" t="str">
            <v>Al Quasir\مركز القصير</v>
          </cell>
          <cell r="L91" t="str">
            <v>SY020002</v>
          </cell>
          <cell r="M91" t="str">
            <v>C1110</v>
          </cell>
          <cell r="N91" t="str">
            <v>Masih\ماسح</v>
          </cell>
          <cell r="P91" t="str">
            <v>C1001</v>
          </cell>
          <cell r="Q91" t="str">
            <v>SY0100156</v>
          </cell>
          <cell r="R91" t="str">
            <v>Shuhada\الشهداء</v>
          </cell>
        </row>
        <row r="92">
          <cell r="H92" t="str">
            <v>SY0403</v>
          </cell>
          <cell r="I92" t="str">
            <v>SY040300</v>
          </cell>
          <cell r="J92" t="str">
            <v>Tall Kalakh\مركز تلكلخ</v>
          </cell>
          <cell r="L92" t="str">
            <v>SY020002</v>
          </cell>
          <cell r="M92" t="str">
            <v>C1089</v>
          </cell>
          <cell r="N92" t="str">
            <v>Mintar\المنطار</v>
          </cell>
          <cell r="P92" t="str">
            <v>C1001</v>
          </cell>
          <cell r="Q92" t="str">
            <v>SY0100038</v>
          </cell>
          <cell r="R92" t="str">
            <v>Soumariyyeh\السومرية</v>
          </cell>
        </row>
        <row r="93">
          <cell r="H93" t="str">
            <v>SY0403</v>
          </cell>
          <cell r="I93" t="str">
            <v>SY040301</v>
          </cell>
          <cell r="J93" t="str">
            <v>Hadideh\حديدة</v>
          </cell>
          <cell r="L93" t="str">
            <v>SY020002</v>
          </cell>
          <cell r="M93" t="str">
            <v>C1118</v>
          </cell>
          <cell r="N93" t="str">
            <v>Mreiqes\مريقص</v>
          </cell>
          <cell r="P93" t="str">
            <v>C1001</v>
          </cell>
          <cell r="Q93" t="str">
            <v>SY0100084</v>
          </cell>
          <cell r="R93" t="str">
            <v>Suweiqa\السويقة</v>
          </cell>
        </row>
        <row r="94">
          <cell r="H94" t="str">
            <v>SY0403</v>
          </cell>
          <cell r="I94" t="str">
            <v>SY040303</v>
          </cell>
          <cell r="J94" t="str">
            <v>Nasra\الناصرة</v>
          </cell>
          <cell r="L94" t="str">
            <v>SY020002</v>
          </cell>
          <cell r="M94" t="str">
            <v>C1054</v>
          </cell>
          <cell r="N94" t="str">
            <v>Numaniyeh\النعمانية</v>
          </cell>
          <cell r="P94" t="str">
            <v>C1001</v>
          </cell>
          <cell r="Q94" t="str">
            <v>SY0100097</v>
          </cell>
          <cell r="R94" t="str">
            <v>Tadamon\التضامن</v>
          </cell>
        </row>
        <row r="95">
          <cell r="H95" t="str">
            <v>SY0403</v>
          </cell>
          <cell r="I95" t="str">
            <v>SY040304</v>
          </cell>
          <cell r="J95" t="str">
            <v>Hawash\الحواش</v>
          </cell>
          <cell r="L95" t="str">
            <v>SY020002</v>
          </cell>
          <cell r="M95" t="str">
            <v>C1101</v>
          </cell>
          <cell r="N95" t="str">
            <v>Nuwara\نوارة</v>
          </cell>
          <cell r="P95" t="str">
            <v>C1001</v>
          </cell>
          <cell r="Q95" t="str">
            <v>SY0100143</v>
          </cell>
          <cell r="R95" t="str">
            <v>Tishrine\تشرين</v>
          </cell>
        </row>
        <row r="96">
          <cell r="H96" t="str">
            <v>SY0404</v>
          </cell>
          <cell r="I96" t="str">
            <v>SY040400</v>
          </cell>
          <cell r="J96" t="str">
            <v>Ar-Rastan\مركز الرستن</v>
          </cell>
          <cell r="L96" t="str">
            <v>SY020002</v>
          </cell>
          <cell r="M96" t="str">
            <v>C1073</v>
          </cell>
          <cell r="N96" t="str">
            <v>Oleis\عليص</v>
          </cell>
          <cell r="P96" t="str">
            <v>C1001</v>
          </cell>
          <cell r="Q96" t="str">
            <v>SY0100108</v>
          </cell>
          <cell r="R96" t="str">
            <v>Wihdeh\الوحدة</v>
          </cell>
        </row>
        <row r="97">
          <cell r="H97" t="str">
            <v>SY0404</v>
          </cell>
          <cell r="I97" t="str">
            <v>SY040401</v>
          </cell>
          <cell r="J97" t="str">
            <v>Talbiseh\تلبيسة</v>
          </cell>
          <cell r="L97" t="str">
            <v>SY020002</v>
          </cell>
          <cell r="M97" t="str">
            <v>C1109</v>
          </cell>
          <cell r="N97" t="str">
            <v>Qaree Elghazal\قرع الغزال</v>
          </cell>
          <cell r="P97" t="str">
            <v>C1001</v>
          </cell>
          <cell r="Q97" t="str">
            <v>SY0100091</v>
          </cell>
          <cell r="R97" t="str">
            <v>Zahreh\الزاهرة</v>
          </cell>
        </row>
        <row r="98">
          <cell r="H98" t="str">
            <v>SY0405</v>
          </cell>
          <cell r="I98" t="str">
            <v>SY040500</v>
          </cell>
          <cell r="J98" t="str">
            <v>Tadmor\مركز تدمر</v>
          </cell>
          <cell r="L98" t="str">
            <v>SY020002</v>
          </cell>
          <cell r="M98" t="str">
            <v>C1068</v>
          </cell>
          <cell r="N98" t="str">
            <v>Rajm Omeirat\رجم عميرات</v>
          </cell>
          <cell r="P98" t="str">
            <v>C1001</v>
          </cell>
          <cell r="Q98" t="str">
            <v>SY0100105</v>
          </cell>
          <cell r="R98" t="str">
            <v>Zohour\الزهور</v>
          </cell>
        </row>
        <row r="99">
          <cell r="H99" t="str">
            <v>SY0405</v>
          </cell>
          <cell r="I99" t="str">
            <v>SY040501</v>
          </cell>
          <cell r="J99" t="str">
            <v>Sokhneh\السخنة</v>
          </cell>
          <cell r="L99" t="str">
            <v>SY020002</v>
          </cell>
          <cell r="M99" t="str">
            <v>C1042</v>
          </cell>
          <cell r="N99" t="str">
            <v>Rasm Eljahsh\رسم الجحش</v>
          </cell>
          <cell r="P99" t="str">
            <v>C1002</v>
          </cell>
          <cell r="Q99" t="str">
            <v>SY01010101</v>
          </cell>
          <cell r="R99" t="str">
            <v>Yarmuk\اليرموك</v>
          </cell>
        </row>
        <row r="100">
          <cell r="H100" t="str">
            <v>SY0406</v>
          </cell>
          <cell r="I100" t="str">
            <v>SY040600</v>
          </cell>
          <cell r="J100" t="str">
            <v>Al Makhrim\المخرم</v>
          </cell>
          <cell r="L100" t="str">
            <v>SY020002</v>
          </cell>
          <cell r="M100" t="str">
            <v>C1094</v>
          </cell>
          <cell r="N100" t="str">
            <v>Rasm Elmofakker - Hilu Mofakker\رسم المفكر_حلو مفكر</v>
          </cell>
          <cell r="P100" t="str">
            <v>C1007</v>
          </cell>
          <cell r="Q100" t="str">
            <v>SY0200031</v>
          </cell>
          <cell r="R100" t="str">
            <v>Abraj\الأبراج</v>
          </cell>
        </row>
        <row r="101">
          <cell r="H101" t="str">
            <v>SY0406</v>
          </cell>
          <cell r="I101" t="str">
            <v>SY040601</v>
          </cell>
          <cell r="J101" t="str">
            <v>Jeb Ej-Jarrah\جب الجراح</v>
          </cell>
          <cell r="L101" t="str">
            <v>SY020002</v>
          </cell>
          <cell r="M101" t="str">
            <v>C1083</v>
          </cell>
          <cell r="N101" t="str">
            <v>Rasm Elsafa\رسم الصفا</v>
          </cell>
          <cell r="P101" t="str">
            <v>C1007</v>
          </cell>
          <cell r="Q101" t="str">
            <v>SY0200019</v>
          </cell>
          <cell r="R101" t="str">
            <v>A'jaam\الأعجام</v>
          </cell>
        </row>
        <row r="102">
          <cell r="H102" t="str">
            <v>SY0501</v>
          </cell>
          <cell r="I102" t="str">
            <v>SY050100</v>
          </cell>
          <cell r="J102" t="str">
            <v>Hama\مركز حماة</v>
          </cell>
          <cell r="L102" t="str">
            <v>SY020002</v>
          </cell>
          <cell r="M102" t="str">
            <v>C1079</v>
          </cell>
          <cell r="N102" t="str">
            <v>Saeebiyeh\صعيبية</v>
          </cell>
          <cell r="P102" t="str">
            <v>C1007</v>
          </cell>
          <cell r="Q102" t="str">
            <v>SY0200126</v>
          </cell>
          <cell r="R102" t="str">
            <v>Al Wafaa\الوفاء</v>
          </cell>
        </row>
        <row r="103">
          <cell r="H103" t="str">
            <v>SY0501</v>
          </cell>
          <cell r="I103" t="str">
            <v>SY050101</v>
          </cell>
          <cell r="J103" t="str">
            <v>Suran\صوران</v>
          </cell>
          <cell r="L103" t="str">
            <v>SY020002</v>
          </cell>
          <cell r="M103" t="str">
            <v>C1052</v>
          </cell>
          <cell r="N103" t="str">
            <v>Sayah - Sayah Thahriyeh\الصياح_صياح ظاهرية</v>
          </cell>
          <cell r="P103" t="str">
            <v>C1007</v>
          </cell>
          <cell r="Q103" t="str">
            <v>SY0200046</v>
          </cell>
          <cell r="R103" t="str">
            <v>Almaji\الألمه جي</v>
          </cell>
        </row>
        <row r="104">
          <cell r="H104" t="str">
            <v>SY0501</v>
          </cell>
          <cell r="I104" t="str">
            <v>SY050102</v>
          </cell>
          <cell r="J104" t="str">
            <v>Harbanifse\حربنفسه</v>
          </cell>
          <cell r="L104" t="str">
            <v>SY020002</v>
          </cell>
          <cell r="M104" t="str">
            <v>C1085</v>
          </cell>
          <cell r="N104" t="str">
            <v>Sfira\صفيرة</v>
          </cell>
          <cell r="P104" t="str">
            <v>C1007</v>
          </cell>
          <cell r="Q104" t="str">
            <v>SY0200063</v>
          </cell>
          <cell r="R104" t="str">
            <v>Ansari Mash-had\أنصاري مشهد</v>
          </cell>
        </row>
        <row r="105">
          <cell r="H105" t="str">
            <v>SY0501</v>
          </cell>
          <cell r="I105" t="str">
            <v>SY050103</v>
          </cell>
          <cell r="J105" t="str">
            <v>Hamra\الحمراء</v>
          </cell>
          <cell r="L105" t="str">
            <v>SY020002</v>
          </cell>
          <cell r="M105" t="str">
            <v>C1120</v>
          </cell>
          <cell r="N105" t="str">
            <v>Sheikh Castle\قلعة الشيخ</v>
          </cell>
          <cell r="P105" t="str">
            <v>C1007</v>
          </cell>
          <cell r="Q105" t="str">
            <v>SY0200012</v>
          </cell>
          <cell r="R105" t="str">
            <v>Aqaba\العقبة</v>
          </cell>
        </row>
        <row r="106">
          <cell r="H106" t="str">
            <v>SY0502</v>
          </cell>
          <cell r="I106" t="str">
            <v>SY050200</v>
          </cell>
          <cell r="J106" t="str">
            <v>As-Suqaylabiyah\مركز السقيلبية</v>
          </cell>
          <cell r="L106" t="str">
            <v>SY020002</v>
          </cell>
          <cell r="M106" t="str">
            <v>C1088</v>
          </cell>
          <cell r="N106" t="str">
            <v>Shweihet Elbu Issa\شويحة البو عيسى</v>
          </cell>
          <cell r="P106" t="str">
            <v>C1007</v>
          </cell>
          <cell r="Q106" t="str">
            <v>SY0200045</v>
          </cell>
          <cell r="R106" t="str">
            <v>Aqyoul\اقيول</v>
          </cell>
        </row>
        <row r="107">
          <cell r="H107" t="str">
            <v>SY0502</v>
          </cell>
          <cell r="I107" t="str">
            <v>SY050201</v>
          </cell>
          <cell r="J107" t="str">
            <v>Tell Salhib\تلسلحب</v>
          </cell>
          <cell r="L107" t="str">
            <v>SY020002</v>
          </cell>
          <cell r="M107" t="str">
            <v>C1077</v>
          </cell>
          <cell r="N107" t="str">
            <v>Shweihet Ellahib\شويحة اللهيب</v>
          </cell>
          <cell r="P107" t="str">
            <v>C1007</v>
          </cell>
          <cell r="Q107" t="str">
            <v>SY0200065</v>
          </cell>
          <cell r="R107" t="str">
            <v>Ard Sabagh\أرض الصباغ</v>
          </cell>
        </row>
        <row r="108">
          <cell r="H108" t="str">
            <v>SY0502</v>
          </cell>
          <cell r="I108" t="str">
            <v>SY050202</v>
          </cell>
          <cell r="J108" t="str">
            <v>Ziyara\الزيارة</v>
          </cell>
          <cell r="L108" t="str">
            <v>SY020002</v>
          </cell>
          <cell r="M108" t="str">
            <v>C1046</v>
          </cell>
          <cell r="N108" t="str">
            <v>Tabara Elksheir\تبارة الخشير</v>
          </cell>
          <cell r="P108" t="str">
            <v>C1007</v>
          </cell>
          <cell r="Q108" t="str">
            <v>SY0200116</v>
          </cell>
          <cell r="R108" t="str">
            <v>Ashrafiyeh\الأشرفية</v>
          </cell>
        </row>
        <row r="109">
          <cell r="H109" t="str">
            <v>SY0502</v>
          </cell>
          <cell r="I109" t="str">
            <v>SY050203</v>
          </cell>
          <cell r="J109" t="str">
            <v>Shat-ha\شطحة</v>
          </cell>
          <cell r="L109" t="str">
            <v>SY020002</v>
          </cell>
          <cell r="M109" t="str">
            <v>C1066</v>
          </cell>
          <cell r="N109" t="str">
            <v>Tal Ahmar\تل احمر</v>
          </cell>
          <cell r="P109" t="str">
            <v>C1007</v>
          </cell>
          <cell r="Q109" t="str">
            <v>SY0200042</v>
          </cell>
          <cell r="R109" t="str">
            <v>Aziziyeh\العزيزية</v>
          </cell>
        </row>
        <row r="110">
          <cell r="H110" t="str">
            <v>SY0502</v>
          </cell>
          <cell r="I110" t="str">
            <v>SY050204</v>
          </cell>
          <cell r="J110" t="str">
            <v>Madiq Castle\قلعة المضيق</v>
          </cell>
          <cell r="L110" t="str">
            <v>SY020002</v>
          </cell>
          <cell r="M110" t="str">
            <v>C1071</v>
          </cell>
          <cell r="N110" t="str">
            <v>Tal Aqareb\تل عقارب</v>
          </cell>
          <cell r="P110" t="str">
            <v>C1007</v>
          </cell>
          <cell r="Q110" t="str">
            <v>SY0200022</v>
          </cell>
          <cell r="R110" t="str">
            <v>Bab Al Maqam\باب المقام</v>
          </cell>
        </row>
        <row r="111">
          <cell r="H111" t="str">
            <v>SY0503</v>
          </cell>
          <cell r="I111" t="str">
            <v>SY050300</v>
          </cell>
          <cell r="J111" t="str">
            <v>As-Salamiyeh\مركز السلمية</v>
          </cell>
          <cell r="L111" t="str">
            <v>SY020002</v>
          </cell>
          <cell r="M111" t="str">
            <v>C1060</v>
          </cell>
          <cell r="N111" t="str">
            <v>Tal Hattabat Semaan\تل حطابات سمعان</v>
          </cell>
          <cell r="P111" t="str">
            <v>C1007</v>
          </cell>
          <cell r="Q111" t="str">
            <v>SY0200033</v>
          </cell>
          <cell r="R111" t="str">
            <v>Balat\بلاط</v>
          </cell>
        </row>
        <row r="112">
          <cell r="H112" t="str">
            <v>SY0503</v>
          </cell>
          <cell r="I112" t="str">
            <v>SY050301</v>
          </cell>
          <cell r="J112" t="str">
            <v>Eastern Bari\بري شرقي</v>
          </cell>
          <cell r="L112" t="str">
            <v>SY020002</v>
          </cell>
          <cell r="M112" t="str">
            <v>C1062</v>
          </cell>
          <cell r="N112" t="str">
            <v>Tal Hawasid - Hanuteh\تل حواصيد_حانوتة</v>
          </cell>
          <cell r="P112" t="str">
            <v>C1007</v>
          </cell>
          <cell r="Q112" t="str">
            <v>SY0200016</v>
          </cell>
          <cell r="R112" t="str">
            <v>Bayadah\البياضة</v>
          </cell>
        </row>
        <row r="113">
          <cell r="H113" t="str">
            <v>SY0503</v>
          </cell>
          <cell r="I113" t="str">
            <v>SY050302</v>
          </cell>
          <cell r="J113" t="str">
            <v>As-Saan\السعن</v>
          </cell>
          <cell r="L113" t="str">
            <v>SY020002</v>
          </cell>
          <cell r="M113" t="str">
            <v>C1050</v>
          </cell>
          <cell r="N113" t="str">
            <v>Tal Masih\تل ماسح</v>
          </cell>
          <cell r="P113" t="str">
            <v>C1007</v>
          </cell>
          <cell r="Q113" t="str">
            <v>SY0200043</v>
          </cell>
          <cell r="R113" t="str">
            <v>Beit Moheb\بيت محب</v>
          </cell>
        </row>
        <row r="114">
          <cell r="H114" t="str">
            <v>SY0503</v>
          </cell>
          <cell r="I114" t="str">
            <v>SY050303</v>
          </cell>
          <cell r="J114" t="str">
            <v>Saboura\صبورة</v>
          </cell>
          <cell r="L114" t="str">
            <v>SY020002</v>
          </cell>
          <cell r="M114" t="str">
            <v>C1070</v>
          </cell>
          <cell r="N114" t="str">
            <v>Tal Sabha\تل صبحة</v>
          </cell>
          <cell r="P114" t="str">
            <v>C1007</v>
          </cell>
          <cell r="Q114" t="str">
            <v>SY0200105</v>
          </cell>
          <cell r="R114" t="str">
            <v>Bustan Al Basha\بستان الباشا</v>
          </cell>
        </row>
        <row r="115">
          <cell r="H115" t="str">
            <v>SY0503</v>
          </cell>
          <cell r="I115" t="str">
            <v>SY050304</v>
          </cell>
          <cell r="J115" t="str">
            <v>Oqeirbat\عقيربات</v>
          </cell>
          <cell r="L115" t="str">
            <v>SY020002</v>
          </cell>
          <cell r="M115" t="str">
            <v>C1058</v>
          </cell>
          <cell r="N115" t="str">
            <v>Tall Ed-daman\تل الضمان</v>
          </cell>
          <cell r="P115" t="str">
            <v>C1007</v>
          </cell>
          <cell r="Q115" t="str">
            <v>SY0200054</v>
          </cell>
          <cell r="R115" t="str">
            <v>Bustan Al Qasr\بستان القصر</v>
          </cell>
        </row>
        <row r="116">
          <cell r="H116" t="str">
            <v>SY0504</v>
          </cell>
          <cell r="I116" t="str">
            <v>SY050400</v>
          </cell>
          <cell r="J116" t="str">
            <v>Masyaf\مركز مصياف</v>
          </cell>
          <cell r="L116" t="str">
            <v>SY020002</v>
          </cell>
          <cell r="M116" t="str">
            <v>C1078</v>
          </cell>
          <cell r="N116" t="str">
            <v>Tarfawi\طرفاوي</v>
          </cell>
          <cell r="P116" t="str">
            <v>C1007</v>
          </cell>
          <cell r="Q116" t="str">
            <v>SY0200055</v>
          </cell>
          <cell r="R116" t="str">
            <v>Bustan Az Zahra\بستان الزهرة</v>
          </cell>
        </row>
        <row r="117">
          <cell r="H117" t="str">
            <v>SY0504</v>
          </cell>
          <cell r="I117" t="str">
            <v>SY050401</v>
          </cell>
          <cell r="J117" t="str">
            <v>Jeb Ramleh\جب رملة</v>
          </cell>
          <cell r="L117" t="str">
            <v>SY020002</v>
          </cell>
          <cell r="M117" t="str">
            <v>C1095</v>
          </cell>
          <cell r="N117" t="str">
            <v>Um Aj\أم عج</v>
          </cell>
          <cell r="P117" t="str">
            <v>C1007</v>
          </cell>
          <cell r="Q117" t="str">
            <v>SY0200086</v>
          </cell>
          <cell r="R117" t="str">
            <v>Dahret Awad\ضهرة عواد</v>
          </cell>
        </row>
        <row r="118">
          <cell r="H118" t="str">
            <v>SY0504</v>
          </cell>
          <cell r="I118" t="str">
            <v>SY050402</v>
          </cell>
          <cell r="J118" t="str">
            <v>Oj\عوج</v>
          </cell>
          <cell r="L118" t="str">
            <v>SY020002</v>
          </cell>
          <cell r="M118" t="str">
            <v>C1053</v>
          </cell>
          <cell r="N118" t="str">
            <v>Um Elamad Qabli\أم العمد قبلي</v>
          </cell>
          <cell r="P118" t="str">
            <v>C1007</v>
          </cell>
          <cell r="Q118" t="str">
            <v>SY0200039</v>
          </cell>
          <cell r="R118" t="str">
            <v>Dallalein\الدلالين</v>
          </cell>
        </row>
        <row r="119">
          <cell r="H119" t="str">
            <v>SY0504</v>
          </cell>
          <cell r="I119" t="str">
            <v>SY050403</v>
          </cell>
          <cell r="J119" t="str">
            <v>Ein Halaqim\عين حلاقيم</v>
          </cell>
          <cell r="L119" t="str">
            <v>SY020002</v>
          </cell>
          <cell r="M119" t="str">
            <v>C1056</v>
          </cell>
          <cell r="N119" t="str">
            <v>Um Elhoteh\أم الهوته</v>
          </cell>
          <cell r="P119" t="str">
            <v>C1007</v>
          </cell>
          <cell r="Q119" t="str">
            <v>SY0200032</v>
          </cell>
          <cell r="R119" t="str">
            <v>Doudou\الضوضو</v>
          </cell>
        </row>
        <row r="120">
          <cell r="H120" t="str">
            <v>SY0504</v>
          </cell>
          <cell r="I120" t="str">
            <v>SY050404</v>
          </cell>
          <cell r="J120" t="str">
            <v>Wadi El-oyoun\وادي العيون</v>
          </cell>
          <cell r="L120" t="str">
            <v>SY020002</v>
          </cell>
          <cell r="M120" t="str">
            <v>C1065</v>
          </cell>
          <cell r="N120" t="str">
            <v>Um Elkaramel\أم الكراميل</v>
          </cell>
          <cell r="P120" t="str">
            <v>C1007</v>
          </cell>
          <cell r="Q120" t="str">
            <v>SY0200097</v>
          </cell>
          <cell r="R120" t="str">
            <v>Ein Al Tall\عين التل</v>
          </cell>
        </row>
        <row r="121">
          <cell r="H121" t="str">
            <v>SY0505</v>
          </cell>
          <cell r="I121" t="str">
            <v>SY050500</v>
          </cell>
          <cell r="J121" t="str">
            <v>Muhradah\مركز محردة</v>
          </cell>
          <cell r="L121" t="str">
            <v>SY020002</v>
          </cell>
          <cell r="M121" t="str">
            <v>C1091</v>
          </cell>
          <cell r="N121" t="str">
            <v>Um Gobar\أم غبار</v>
          </cell>
          <cell r="P121" t="str">
            <v>C1007</v>
          </cell>
          <cell r="Q121" t="str">
            <v>SY0200011</v>
          </cell>
          <cell r="R121" t="str">
            <v>Farafra\الفرافرة</v>
          </cell>
        </row>
        <row r="122">
          <cell r="H122" t="str">
            <v>SY0505</v>
          </cell>
          <cell r="I122" t="str">
            <v>SY050501</v>
          </cell>
          <cell r="J122" t="str">
            <v>Kafr Zeita\كفرزيتا</v>
          </cell>
          <cell r="L122" t="str">
            <v>SY020002</v>
          </cell>
          <cell r="M122" t="str">
            <v>C1087</v>
          </cell>
          <cell r="N122" t="str">
            <v>Um Graf\أم غراف</v>
          </cell>
          <cell r="P122" t="str">
            <v>C1007</v>
          </cell>
          <cell r="Q122" t="str">
            <v>SY0200023</v>
          </cell>
          <cell r="R122" t="str">
            <v>Fardos\الفردوس</v>
          </cell>
        </row>
        <row r="123">
          <cell r="H123" t="str">
            <v>SY0505</v>
          </cell>
          <cell r="I123" t="str">
            <v>SY050502</v>
          </cell>
          <cell r="J123" t="str">
            <v>Karnaz\كرناز</v>
          </cell>
          <cell r="L123" t="str">
            <v>SY020002</v>
          </cell>
          <cell r="M123" t="str">
            <v>C1064</v>
          </cell>
          <cell r="N123" t="str">
            <v>Um Jrein\أم جرين</v>
          </cell>
          <cell r="P123" t="str">
            <v>C1007</v>
          </cell>
          <cell r="Q123" t="str">
            <v>SY0200056</v>
          </cell>
          <cell r="R123" t="str">
            <v>Feid\الفيض</v>
          </cell>
        </row>
        <row r="124">
          <cell r="H124" t="str">
            <v>SY0600</v>
          </cell>
          <cell r="I124" t="str">
            <v>SY060000</v>
          </cell>
          <cell r="J124" t="str">
            <v>Lattakia\مركز اللاذقية</v>
          </cell>
          <cell r="L124" t="str">
            <v>SY020002</v>
          </cell>
          <cell r="M124" t="str">
            <v>C1084</v>
          </cell>
          <cell r="N124" t="str">
            <v>Um Qrun - Um Jaran\أم قرون_أم جرن</v>
          </cell>
          <cell r="P124" t="str">
            <v>C1007</v>
          </cell>
          <cell r="Q124" t="str">
            <v>SY0200127</v>
          </cell>
          <cell r="R124" t="str">
            <v>Ghazali\الغزالي</v>
          </cell>
        </row>
        <row r="125">
          <cell r="H125" t="str">
            <v>SY0600</v>
          </cell>
          <cell r="I125" t="str">
            <v>SY060001</v>
          </cell>
          <cell r="J125" t="str">
            <v>Bahlawaniyeh\البهلولية</v>
          </cell>
          <cell r="L125" t="str">
            <v>SY020002</v>
          </cell>
          <cell r="M125" t="str">
            <v>C1069</v>
          </cell>
          <cell r="N125" t="str">
            <v>Um Tinet Simaan\أم تينة سمعان</v>
          </cell>
          <cell r="P125" t="str">
            <v>C1007</v>
          </cell>
          <cell r="Q125" t="str">
            <v>SY0200125</v>
          </cell>
          <cell r="R125" t="str">
            <v>Halab Al Jadeedah\حلب الجديدة</v>
          </cell>
        </row>
        <row r="126">
          <cell r="H126" t="str">
            <v>SY0600</v>
          </cell>
          <cell r="I126" t="str">
            <v>SY060002</v>
          </cell>
          <cell r="J126" t="str">
            <v>Rabee'a\ربيعة</v>
          </cell>
          <cell r="L126" t="str">
            <v>SY020002</v>
          </cell>
          <cell r="M126" t="str">
            <v>C1055</v>
          </cell>
          <cell r="N126" t="str">
            <v>Um Tmakh Samaan\أم طماخ سمعان</v>
          </cell>
          <cell r="P126" t="str">
            <v>C1007</v>
          </cell>
          <cell r="Q126" t="str">
            <v>SY0200085</v>
          </cell>
          <cell r="R126" t="str">
            <v>Halawaniyeh\الحلوانية</v>
          </cell>
        </row>
        <row r="127">
          <cell r="H127" t="str">
            <v>SY0600</v>
          </cell>
          <cell r="I127" t="str">
            <v>SY060003</v>
          </cell>
          <cell r="J127" t="str">
            <v>Ein El-Bayda\عين البيضا</v>
          </cell>
          <cell r="L127" t="str">
            <v>SY020002</v>
          </cell>
          <cell r="M127" t="str">
            <v>C1096</v>
          </cell>
          <cell r="N127" t="str">
            <v>Um Wadi\أم وادي</v>
          </cell>
          <cell r="P127" t="str">
            <v>C1007</v>
          </cell>
          <cell r="Q127" t="str">
            <v>SY0200141</v>
          </cell>
          <cell r="R127" t="str">
            <v>Hamadaniyeh (1)\الحمدانية (1)</v>
          </cell>
        </row>
        <row r="128">
          <cell r="H128" t="str">
            <v>SY0600</v>
          </cell>
          <cell r="I128" t="str">
            <v>SY060004</v>
          </cell>
          <cell r="J128" t="str">
            <v>Qastal Maaf\قسطل معاف</v>
          </cell>
          <cell r="L128" t="str">
            <v>SY020002</v>
          </cell>
          <cell r="M128" t="str">
            <v>C1103</v>
          </cell>
          <cell r="N128" t="str">
            <v>Wadi Eldibis\وادي الدبس</v>
          </cell>
          <cell r="P128" t="str">
            <v>C1007</v>
          </cell>
          <cell r="Q128" t="str">
            <v>SY0200142</v>
          </cell>
          <cell r="R128" t="str">
            <v>Hamadaniyeh (2)\الحمدانية (2)</v>
          </cell>
        </row>
        <row r="129">
          <cell r="H129" t="str">
            <v>SY0600</v>
          </cell>
          <cell r="I129" t="str">
            <v>SY060005</v>
          </cell>
          <cell r="J129" t="str">
            <v>Kiseb\كسب</v>
          </cell>
          <cell r="L129" t="str">
            <v>SY020002</v>
          </cell>
          <cell r="M129" t="str">
            <v>C1102</v>
          </cell>
          <cell r="N129" t="str">
            <v>Wadi Elsonue\وادي الصنوع</v>
          </cell>
          <cell r="P129" t="str">
            <v>C1007</v>
          </cell>
          <cell r="Q129" t="str">
            <v>SY0200143</v>
          </cell>
          <cell r="R129" t="str">
            <v>Hamadaniyeh (3)\الحمدانية (3)</v>
          </cell>
        </row>
        <row r="130">
          <cell r="H130" t="str">
            <v>SY0600</v>
          </cell>
          <cell r="I130" t="str">
            <v>SY060006</v>
          </cell>
          <cell r="J130" t="str">
            <v>Hanadi\هنادي</v>
          </cell>
          <cell r="L130" t="str">
            <v>SY020002</v>
          </cell>
          <cell r="M130" t="str">
            <v>C1093</v>
          </cell>
          <cell r="N130" t="str">
            <v>Western Atshana\عطشانة غربية</v>
          </cell>
          <cell r="P130" t="str">
            <v>C1007</v>
          </cell>
          <cell r="Q130" t="str">
            <v>SY0200144</v>
          </cell>
          <cell r="R130" t="str">
            <v>Hamadaniyeh (4)\الحمدانية (4)</v>
          </cell>
        </row>
        <row r="131">
          <cell r="H131" t="str">
            <v>SY0602</v>
          </cell>
          <cell r="I131" t="str">
            <v>SY060200</v>
          </cell>
          <cell r="J131" t="str">
            <v>Jablah\مركز جبلة</v>
          </cell>
          <cell r="L131" t="str">
            <v>SY020003</v>
          </cell>
          <cell r="M131" t="str">
            <v>C1131</v>
          </cell>
          <cell r="N131" t="str">
            <v>Afrin\عفرين</v>
          </cell>
          <cell r="P131" t="str">
            <v>C1007</v>
          </cell>
          <cell r="Q131" t="str">
            <v>SY0200047</v>
          </cell>
          <cell r="R131" t="str">
            <v>Hameidiyyeh\الحميدية</v>
          </cell>
        </row>
        <row r="132">
          <cell r="H132" t="str">
            <v>SY0602</v>
          </cell>
          <cell r="I132" t="str">
            <v>SY060201</v>
          </cell>
          <cell r="J132" t="str">
            <v>Ein Elshaqiyeh\عين الشرقية</v>
          </cell>
          <cell r="L132" t="str">
            <v>SY020003</v>
          </cell>
          <cell r="M132" t="str">
            <v>C1121</v>
          </cell>
          <cell r="N132" t="str">
            <v>Andan\عندان</v>
          </cell>
          <cell r="P132" t="str">
            <v>C1007</v>
          </cell>
          <cell r="Q132" t="str">
            <v>SY0200161</v>
          </cell>
          <cell r="R132" t="str">
            <v>Hanano (1)\هنانو (1)</v>
          </cell>
        </row>
        <row r="133">
          <cell r="H133" t="str">
            <v>SY0602</v>
          </cell>
          <cell r="I133" t="str">
            <v>SY060202</v>
          </cell>
          <cell r="J133" t="str">
            <v>Qteilbiyyeh\القطيلبية</v>
          </cell>
          <cell r="L133" t="str">
            <v>SY020003</v>
          </cell>
          <cell r="M133" t="str">
            <v>C6331</v>
          </cell>
          <cell r="N133" t="str">
            <v>Babis\بابيص</v>
          </cell>
          <cell r="P133" t="str">
            <v>C1007</v>
          </cell>
          <cell r="Q133" t="str">
            <v>SY0200162</v>
          </cell>
          <cell r="R133" t="str">
            <v>Hanano (2)\هنانو (2)</v>
          </cell>
        </row>
        <row r="134">
          <cell r="H134" t="str">
            <v>SY0602</v>
          </cell>
          <cell r="I134" t="str">
            <v>SY060203</v>
          </cell>
          <cell r="J134" t="str">
            <v>Ein Shaqaq\عين شقاق</v>
          </cell>
          <cell r="L134" t="str">
            <v>SY020003</v>
          </cell>
          <cell r="M134" t="str">
            <v>C1125</v>
          </cell>
          <cell r="N134" t="str">
            <v>Bashkwi Samaan\باشكوي سمعان</v>
          </cell>
          <cell r="P134" t="str">
            <v>C1007</v>
          </cell>
          <cell r="Q134" t="str">
            <v>SY0200163</v>
          </cell>
          <cell r="R134" t="str">
            <v>Hanano (3)\هنانو (3)</v>
          </cell>
        </row>
        <row r="135">
          <cell r="H135" t="str">
            <v>SY0602</v>
          </cell>
          <cell r="I135" t="str">
            <v>SY060204</v>
          </cell>
          <cell r="J135" t="str">
            <v>Dalyeh\دالية</v>
          </cell>
          <cell r="L135" t="str">
            <v>SY020003</v>
          </cell>
          <cell r="M135" t="str">
            <v>C1137</v>
          </cell>
          <cell r="N135" t="str">
            <v>Fah\فاح</v>
          </cell>
          <cell r="P135" t="str">
            <v>C1007</v>
          </cell>
          <cell r="Q135" t="str">
            <v>SY0200164</v>
          </cell>
          <cell r="R135" t="str">
            <v>Hanano (4)\هنانو (4)</v>
          </cell>
        </row>
        <row r="136">
          <cell r="H136" t="str">
            <v>SY0602</v>
          </cell>
          <cell r="I136" t="str">
            <v>SY060205</v>
          </cell>
          <cell r="J136" t="str">
            <v>Beit Yashout\بيت ياشوط</v>
          </cell>
          <cell r="L136" t="str">
            <v>SY020003</v>
          </cell>
          <cell r="M136" t="str">
            <v>C1130</v>
          </cell>
          <cell r="N136" t="str">
            <v>Haritan\حريتان</v>
          </cell>
          <cell r="P136" t="str">
            <v>C1007</v>
          </cell>
          <cell r="Q136" t="str">
            <v>SY0200098</v>
          </cell>
          <cell r="R136" t="str">
            <v>Haydariyeh\الحيدرية</v>
          </cell>
        </row>
        <row r="137">
          <cell r="H137" t="str">
            <v>SY0603</v>
          </cell>
          <cell r="I137" t="str">
            <v>SY060300</v>
          </cell>
          <cell r="J137" t="str">
            <v>Al-Haffa\مركزالحفة</v>
          </cell>
          <cell r="L137" t="str">
            <v>SY020003</v>
          </cell>
          <cell r="M137" t="str">
            <v>C1127</v>
          </cell>
          <cell r="N137" t="str">
            <v>Hayyan\حيان</v>
          </cell>
          <cell r="P137" t="str">
            <v>C1007</v>
          </cell>
          <cell r="Q137" t="str">
            <v>SY0200048</v>
          </cell>
          <cell r="R137" t="str">
            <v>Hazzaza\الهزازة</v>
          </cell>
        </row>
        <row r="138">
          <cell r="H138" t="str">
            <v>SY0603</v>
          </cell>
          <cell r="I138" t="str">
            <v>SY060301</v>
          </cell>
          <cell r="J138" t="str">
            <v>Salanfa\صلنفة</v>
          </cell>
          <cell r="L138" t="str">
            <v>SY020003</v>
          </cell>
          <cell r="M138" t="str">
            <v>C1123</v>
          </cell>
          <cell r="N138" t="str">
            <v>Jeb Ghabsheh\جب غبشة</v>
          </cell>
          <cell r="P138" t="str">
            <v>C1007</v>
          </cell>
          <cell r="Q138" t="str">
            <v>SY0200037</v>
          </cell>
          <cell r="R138" t="str">
            <v>Ibn Yaqoub\ابن يعقوب</v>
          </cell>
        </row>
        <row r="139">
          <cell r="H139" t="str">
            <v>SY0603</v>
          </cell>
          <cell r="I139" t="str">
            <v>SY060302</v>
          </cell>
          <cell r="J139" t="str">
            <v>Ein Et-teeneh\عين التينة</v>
          </cell>
          <cell r="L139" t="str">
            <v>SY020003</v>
          </cell>
          <cell r="M139" t="str">
            <v>C1135</v>
          </cell>
          <cell r="N139" t="str">
            <v>Kafr Bssin\كفر بسين</v>
          </cell>
          <cell r="P139" t="str">
            <v>C1007</v>
          </cell>
          <cell r="Q139" t="str">
            <v>SY0200107</v>
          </cell>
          <cell r="R139" t="str">
            <v>Jabal Al Ghazalat\جبل الغزالات</v>
          </cell>
        </row>
        <row r="140">
          <cell r="H140" t="str">
            <v>SY0603</v>
          </cell>
          <cell r="I140" t="str">
            <v>SY060303</v>
          </cell>
          <cell r="J140" t="str">
            <v>Kansaba\كنسبا</v>
          </cell>
          <cell r="L140" t="str">
            <v>SY020003</v>
          </cell>
          <cell r="M140" t="str">
            <v>C1134</v>
          </cell>
          <cell r="N140" t="str">
            <v>Kafr Hamra\كفر حمرة</v>
          </cell>
          <cell r="P140" t="str">
            <v>C1007</v>
          </cell>
          <cell r="Q140" t="str">
            <v>SY0200103</v>
          </cell>
          <cell r="R140" t="str">
            <v>Jaberiyeh\الجابرية</v>
          </cell>
        </row>
        <row r="141">
          <cell r="H141" t="str">
            <v>SY0603</v>
          </cell>
          <cell r="I141" t="str">
            <v>SY060304</v>
          </cell>
          <cell r="J141" t="str">
            <v>Mzair'a\مزيرعة</v>
          </cell>
          <cell r="L141" t="str">
            <v>SY020003</v>
          </cell>
          <cell r="M141" t="str">
            <v>C1136</v>
          </cell>
          <cell r="N141" t="str">
            <v>Maaret Elartiq\معارة الأرتيق</v>
          </cell>
          <cell r="P141" t="str">
            <v>C1007</v>
          </cell>
          <cell r="Q141" t="str">
            <v>SY0200051</v>
          </cell>
          <cell r="R141" t="str">
            <v>Jameilieh\الجميلية</v>
          </cell>
        </row>
        <row r="142">
          <cell r="H142" t="str">
            <v>SY0604</v>
          </cell>
          <cell r="I142" t="str">
            <v>SY060400</v>
          </cell>
          <cell r="J142" t="str">
            <v>Al-Qardaha\مركز القرداحة</v>
          </cell>
          <cell r="L142" t="str">
            <v>SY020003</v>
          </cell>
          <cell r="M142" t="str">
            <v>C1133</v>
          </cell>
          <cell r="N142" t="str">
            <v>Muqbia\مقبلة</v>
          </cell>
          <cell r="P142" t="str">
            <v>C1007</v>
          </cell>
          <cell r="Q142" t="str">
            <v>SY0200013</v>
          </cell>
          <cell r="R142" t="str">
            <v>Jloum\الجلوم</v>
          </cell>
        </row>
        <row r="143">
          <cell r="H143" t="str">
            <v>SY0604</v>
          </cell>
          <cell r="I143" t="str">
            <v>SY060401</v>
          </cell>
          <cell r="J143" t="str">
            <v>Harf Elmseitra\حرف المسيترة</v>
          </cell>
          <cell r="L143" t="str">
            <v>SY020003</v>
          </cell>
          <cell r="M143" t="str">
            <v>C6332</v>
          </cell>
          <cell r="N143" t="str">
            <v>Naqqarin\نقارين</v>
          </cell>
          <cell r="P143" t="str">
            <v>C1007</v>
          </cell>
          <cell r="Q143" t="str">
            <v>SY0200083</v>
          </cell>
          <cell r="R143" t="str">
            <v>Jouret Awad\جورة عواد</v>
          </cell>
        </row>
        <row r="144">
          <cell r="H144" t="str">
            <v>SY0604</v>
          </cell>
          <cell r="I144" t="str">
            <v>SY060402</v>
          </cell>
          <cell r="J144" t="str">
            <v>Fakhura\الفاخورة</v>
          </cell>
          <cell r="L144" t="str">
            <v>SY020003</v>
          </cell>
          <cell r="M144" t="str">
            <v>C1129</v>
          </cell>
          <cell r="N144" t="str">
            <v>Shamer\شامر</v>
          </cell>
          <cell r="P144" t="str">
            <v>C1007</v>
          </cell>
          <cell r="Q144" t="str">
            <v>SY0200053</v>
          </cell>
          <cell r="R144" t="str">
            <v>Kalaseh\الكلاسة</v>
          </cell>
        </row>
        <row r="145">
          <cell r="H145" t="str">
            <v>SY0604</v>
          </cell>
          <cell r="I145" t="str">
            <v>SY060403</v>
          </cell>
          <cell r="J145" t="str">
            <v>Jobet Berghal\جوبة برغال</v>
          </cell>
          <cell r="L145" t="str">
            <v>SY020003</v>
          </cell>
          <cell r="M145" t="str">
            <v>C1128</v>
          </cell>
          <cell r="N145" t="str">
            <v>Sheikh Zayat\شيخ زيات</v>
          </cell>
          <cell r="P145" t="str">
            <v>C1007</v>
          </cell>
          <cell r="Q145" t="str">
            <v>SY0200073</v>
          </cell>
          <cell r="R145" t="str">
            <v>Karm Al Da'ada'a\كرم الدعدع</v>
          </cell>
        </row>
        <row r="146">
          <cell r="H146" t="str">
            <v>SY0700</v>
          </cell>
          <cell r="I146" t="str">
            <v>SY070000</v>
          </cell>
          <cell r="J146" t="str">
            <v>Idleb\مركز إدلب</v>
          </cell>
          <cell r="L146" t="str">
            <v>SY020003</v>
          </cell>
          <cell r="M146" t="str">
            <v>C1124</v>
          </cell>
          <cell r="N146" t="str">
            <v>Sifa\صفة</v>
          </cell>
          <cell r="P146" t="str">
            <v>C1007</v>
          </cell>
          <cell r="Q146" t="str">
            <v>SY0200109</v>
          </cell>
          <cell r="R146" t="str">
            <v>Karm Al Jabal\كرم الجبل</v>
          </cell>
        </row>
        <row r="147">
          <cell r="H147" t="str">
            <v>SY0700</v>
          </cell>
          <cell r="I147" t="str">
            <v>SY070001</v>
          </cell>
          <cell r="J147" t="str">
            <v>Abul Thohur\أبو الظهور</v>
          </cell>
          <cell r="L147" t="str">
            <v>SY020003</v>
          </cell>
          <cell r="M147" t="str">
            <v>C1126</v>
          </cell>
          <cell r="N147" t="str">
            <v>Tamura\الطامورة</v>
          </cell>
          <cell r="P147" t="str">
            <v>C1007</v>
          </cell>
          <cell r="Q147" t="str">
            <v>SY0200081</v>
          </cell>
          <cell r="R147" t="str">
            <v>Karm Al Qaterji\كرم القاطرجي</v>
          </cell>
        </row>
        <row r="148">
          <cell r="H148" t="str">
            <v>SY0700</v>
          </cell>
          <cell r="I148" t="str">
            <v>SY070002</v>
          </cell>
          <cell r="J148" t="str">
            <v>Bennsh\بنش</v>
          </cell>
          <cell r="L148" t="str">
            <v>SY020003</v>
          </cell>
          <cell r="M148" t="str">
            <v>C1122</v>
          </cell>
          <cell r="N148" t="str">
            <v>Tiyara\تيارة</v>
          </cell>
          <cell r="P148" t="str">
            <v>C1007</v>
          </cell>
          <cell r="Q148" t="str">
            <v>SY0200084</v>
          </cell>
          <cell r="R148" t="str">
            <v>Karm Myasar\كرم ميسر</v>
          </cell>
        </row>
        <row r="149">
          <cell r="H149" t="str">
            <v>SY0700</v>
          </cell>
          <cell r="I149" t="str">
            <v>SY070003</v>
          </cell>
          <cell r="J149" t="str">
            <v>Saraqab\سراقب</v>
          </cell>
          <cell r="L149" t="str">
            <v>SY020003</v>
          </cell>
          <cell r="M149" t="str">
            <v>C1132</v>
          </cell>
          <cell r="N149" t="str">
            <v>Yaqed Eladas\ياقد العدس</v>
          </cell>
          <cell r="P149" t="str">
            <v>C1007</v>
          </cell>
          <cell r="Q149" t="str">
            <v>SY0200124</v>
          </cell>
          <cell r="R149" t="str">
            <v>Kawakbi\الكواكبي</v>
          </cell>
        </row>
        <row r="150">
          <cell r="H150" t="str">
            <v>SY0700</v>
          </cell>
          <cell r="I150" t="str">
            <v>SY070004</v>
          </cell>
          <cell r="J150" t="str">
            <v>Teftnaz\تفتناز</v>
          </cell>
          <cell r="L150" t="str">
            <v>SY020004</v>
          </cell>
          <cell r="M150" t="str">
            <v>C1144</v>
          </cell>
          <cell r="N150" t="str">
            <v>Anjara\عنجارة</v>
          </cell>
          <cell r="P150" t="str">
            <v>C1007</v>
          </cell>
          <cell r="Q150" t="str">
            <v>SY0200115</v>
          </cell>
          <cell r="R150" t="str">
            <v>Khalidiyeh\الخالدية</v>
          </cell>
        </row>
        <row r="151">
          <cell r="H151" t="str">
            <v>SY0700</v>
          </cell>
          <cell r="I151" t="str">
            <v>SY070005</v>
          </cell>
          <cell r="J151" t="str">
            <v>Maaret Tamsrin\معرة تمصرين</v>
          </cell>
          <cell r="L151" t="str">
            <v>SY020004</v>
          </cell>
          <cell r="M151" t="str">
            <v>C1142</v>
          </cell>
          <cell r="N151" t="str">
            <v>Arhab\ارحاب</v>
          </cell>
          <cell r="P151" t="str">
            <v>C1007</v>
          </cell>
          <cell r="Q151" t="str">
            <v>SY0200131</v>
          </cell>
          <cell r="R151" t="str">
            <v>Leirmoun\الليرمون</v>
          </cell>
        </row>
        <row r="152">
          <cell r="H152" t="str">
            <v>SY0700</v>
          </cell>
          <cell r="I152" t="str">
            <v>SY070006</v>
          </cell>
          <cell r="J152" t="str">
            <v>Sarmin\سرمين</v>
          </cell>
          <cell r="L152" t="str">
            <v>SY020004</v>
          </cell>
          <cell r="M152" t="str">
            <v>C1145</v>
          </cell>
          <cell r="N152" t="str">
            <v>Bishqatine\بشقاتين</v>
          </cell>
          <cell r="P152" t="str">
            <v>C1007</v>
          </cell>
          <cell r="Q152" t="str">
            <v>SY0200041</v>
          </cell>
          <cell r="R152" t="str">
            <v>Mahattet Baghdad\محطة بغداد</v>
          </cell>
        </row>
        <row r="153">
          <cell r="H153" t="str">
            <v>SY0702</v>
          </cell>
          <cell r="I153" t="str">
            <v>SY070200</v>
          </cell>
          <cell r="J153" t="str">
            <v>Ma'arrat An Nu'man\مركز معرة النعمان</v>
          </cell>
          <cell r="L153" t="str">
            <v>SY020004</v>
          </cell>
          <cell r="M153" t="str">
            <v>C1147</v>
          </cell>
          <cell r="N153" t="str">
            <v>Bsartun\بسرطون</v>
          </cell>
          <cell r="P153" t="str">
            <v>C1007</v>
          </cell>
          <cell r="Q153" t="str">
            <v>SY0200071</v>
          </cell>
          <cell r="R153" t="str">
            <v>Maqar Al Anbiya'a\مقر الأنبياء</v>
          </cell>
        </row>
        <row r="154">
          <cell r="H154" t="str">
            <v>SY0702</v>
          </cell>
          <cell r="I154" t="str">
            <v>SY070201</v>
          </cell>
          <cell r="J154" t="str">
            <v>Khan Shaykun\خان شيخون</v>
          </cell>
          <cell r="L154" t="str">
            <v>SY020004</v>
          </cell>
          <cell r="M154" t="str">
            <v>C1141</v>
          </cell>
          <cell r="N154" t="str">
            <v>Bshantara\بشنطرة</v>
          </cell>
          <cell r="P154" t="str">
            <v>C1007</v>
          </cell>
          <cell r="Q154" t="str">
            <v>SY0200154</v>
          </cell>
          <cell r="R154" t="str">
            <v>Medyafet An Neyrab\مضيافة النيرب</v>
          </cell>
        </row>
        <row r="155">
          <cell r="H155" t="str">
            <v>SY0702</v>
          </cell>
          <cell r="I155" t="str">
            <v>SY070202</v>
          </cell>
          <cell r="J155" t="str">
            <v>Sanjar\سنجار</v>
          </cell>
          <cell r="L155" t="str">
            <v>SY020004</v>
          </cell>
          <cell r="M155" t="str">
            <v>C1139</v>
          </cell>
          <cell r="N155" t="str">
            <v>Daret Azza\دارة عزة</v>
          </cell>
          <cell r="P155" t="str">
            <v>C1007</v>
          </cell>
          <cell r="Q155" t="str">
            <v>SY0200101</v>
          </cell>
          <cell r="R155" t="str">
            <v>Midan\الميدان</v>
          </cell>
        </row>
        <row r="156">
          <cell r="H156" t="str">
            <v>SY0702</v>
          </cell>
          <cell r="I156" t="str">
            <v>SY070203</v>
          </cell>
          <cell r="J156" t="str">
            <v>Kafr Nobol\كفر نبل</v>
          </cell>
          <cell r="L156" t="str">
            <v>SY020004</v>
          </cell>
          <cell r="M156" t="str">
            <v>C1146</v>
          </cell>
          <cell r="N156" t="str">
            <v>Hoteh\الهوتة</v>
          </cell>
          <cell r="P156" t="str">
            <v>C1007</v>
          </cell>
          <cell r="Q156" t="str">
            <v>SY0200121</v>
          </cell>
          <cell r="R156" t="str">
            <v>Mohafaza\المحافظة</v>
          </cell>
        </row>
        <row r="157">
          <cell r="H157" t="str">
            <v>SY0702</v>
          </cell>
          <cell r="I157" t="str">
            <v>SY070204</v>
          </cell>
          <cell r="J157" t="str">
            <v>Tamanaah\التمانعة</v>
          </cell>
          <cell r="L157" t="str">
            <v>SY020004</v>
          </cell>
          <cell r="M157" t="str">
            <v>C1140</v>
          </cell>
          <cell r="N157" t="str">
            <v>Hur\حور</v>
          </cell>
          <cell r="P157" t="str">
            <v>C1007</v>
          </cell>
          <cell r="Q157" t="str">
            <v>SY0200021</v>
          </cell>
          <cell r="R157" t="str">
            <v>Mohammad Bek\محمد بك</v>
          </cell>
        </row>
        <row r="158">
          <cell r="H158" t="str">
            <v>SY0702</v>
          </cell>
          <cell r="I158" t="str">
            <v>SY070205</v>
          </cell>
          <cell r="J158" t="str">
            <v>Heish\حيش</v>
          </cell>
          <cell r="L158" t="str">
            <v>SY020004</v>
          </cell>
          <cell r="M158" t="str">
            <v>C1149</v>
          </cell>
          <cell r="N158" t="str">
            <v>Kafrantin\كفرانتين</v>
          </cell>
          <cell r="P158" t="str">
            <v>C1007</v>
          </cell>
          <cell r="Q158" t="str">
            <v>SY0200165</v>
          </cell>
          <cell r="R158" t="str">
            <v>Mokhayam Handarat\مخيم حندرات</v>
          </cell>
        </row>
        <row r="159">
          <cell r="H159" t="str">
            <v>SY0703</v>
          </cell>
          <cell r="I159" t="str">
            <v>SY070300</v>
          </cell>
          <cell r="J159" t="str">
            <v>Harim\مركز حارم</v>
          </cell>
          <cell r="L159" t="str">
            <v>SY020004</v>
          </cell>
          <cell r="M159" t="str">
            <v>C1148</v>
          </cell>
          <cell r="N159" t="str">
            <v>Majbineh\مجبينة</v>
          </cell>
          <cell r="P159" t="str">
            <v>C1007</v>
          </cell>
          <cell r="Q159" t="str">
            <v>SY0200052</v>
          </cell>
          <cell r="R159" t="str">
            <v>Msharqah\المشارقة</v>
          </cell>
        </row>
        <row r="160">
          <cell r="H160" t="str">
            <v>SY0703</v>
          </cell>
          <cell r="I160" t="str">
            <v>SY070301</v>
          </cell>
          <cell r="J160" t="str">
            <v>Dana\دانا</v>
          </cell>
          <cell r="L160" t="str">
            <v>SY020004</v>
          </cell>
          <cell r="M160" t="str">
            <v>C1150</v>
          </cell>
          <cell r="N160" t="str">
            <v>Qabtan Eljabal\قبتان الجبل</v>
          </cell>
          <cell r="P160" t="str">
            <v>C1007</v>
          </cell>
          <cell r="Q160" t="str">
            <v>SY0200135</v>
          </cell>
          <cell r="R160" t="str">
            <v>Nasr\النصر</v>
          </cell>
        </row>
        <row r="161">
          <cell r="H161" t="str">
            <v>SY0703</v>
          </cell>
          <cell r="I161" t="str">
            <v>SY070302</v>
          </cell>
          <cell r="J161" t="str">
            <v>Salqin\سلقين</v>
          </cell>
          <cell r="L161" t="str">
            <v>SY020004</v>
          </cell>
          <cell r="M161" t="str">
            <v>C1143</v>
          </cell>
          <cell r="N161" t="str">
            <v>Tqad\تقاد</v>
          </cell>
          <cell r="P161" t="str">
            <v>C1007</v>
          </cell>
          <cell r="Q161" t="str">
            <v>SY0200155</v>
          </cell>
          <cell r="R161" t="str">
            <v>Neyrab\النيرب</v>
          </cell>
        </row>
        <row r="162">
          <cell r="H162" t="str">
            <v>SY0703</v>
          </cell>
          <cell r="I162" t="str">
            <v>SY070303</v>
          </cell>
          <cell r="J162" t="str">
            <v>Kafr Takharim\كفر تخاريم</v>
          </cell>
          <cell r="L162" t="str">
            <v>SY020004</v>
          </cell>
          <cell r="M162" t="str">
            <v>C1138</v>
          </cell>
          <cell r="N162" t="str">
            <v>Zarzita\زرزيتا</v>
          </cell>
          <cell r="P162" t="str">
            <v>C1007</v>
          </cell>
          <cell r="Q162" t="str">
            <v>SY0200049</v>
          </cell>
          <cell r="R162" t="str">
            <v>Orouba\العروبة</v>
          </cell>
        </row>
        <row r="163">
          <cell r="H163" t="str">
            <v>SY0703</v>
          </cell>
          <cell r="I163" t="str">
            <v>SY070304</v>
          </cell>
          <cell r="J163" t="str">
            <v>Qourqeena\قورقينا</v>
          </cell>
          <cell r="L163" t="str">
            <v>SY020005</v>
          </cell>
          <cell r="M163" t="str">
            <v>C1160</v>
          </cell>
          <cell r="N163" t="str">
            <v>Abad\اباد</v>
          </cell>
          <cell r="P163" t="str">
            <v>C1007</v>
          </cell>
          <cell r="Q163" t="str">
            <v>SY0200094</v>
          </cell>
          <cell r="R163" t="str">
            <v>Oweijeh\عويجة</v>
          </cell>
        </row>
        <row r="164">
          <cell r="H164" t="str">
            <v>SY0703</v>
          </cell>
          <cell r="I164" t="str">
            <v>SY070305</v>
          </cell>
          <cell r="J164" t="str">
            <v>Armanaz\أرمناز</v>
          </cell>
          <cell r="L164" t="str">
            <v>SY020005</v>
          </cell>
          <cell r="M164" t="str">
            <v>C1164</v>
          </cell>
          <cell r="N164" t="str">
            <v>Arada\عرادة</v>
          </cell>
          <cell r="P164" t="str">
            <v>C1007</v>
          </cell>
          <cell r="Q164" t="str">
            <v>SY0200035</v>
          </cell>
          <cell r="R164" t="str">
            <v>Qadi Askar\قاضي عسكر</v>
          </cell>
        </row>
        <row r="165">
          <cell r="H165" t="str">
            <v>SY0704</v>
          </cell>
          <cell r="I165" t="str">
            <v>SY070400</v>
          </cell>
          <cell r="J165" t="str">
            <v>Jisr-Ash-Shugur\مركز جسر الشغور</v>
          </cell>
          <cell r="L165" t="str">
            <v>SY020005</v>
          </cell>
          <cell r="M165" t="str">
            <v>C1163</v>
          </cell>
          <cell r="N165" t="str">
            <v>Banes\بانص</v>
          </cell>
          <cell r="P165" t="str">
            <v>C1007</v>
          </cell>
          <cell r="Q165" t="str">
            <v>SY0200018</v>
          </cell>
          <cell r="R165" t="str">
            <v>Qal'et Shareef\قلعة شريف</v>
          </cell>
        </row>
        <row r="166">
          <cell r="H166" t="str">
            <v>SY0704</v>
          </cell>
          <cell r="I166" t="str">
            <v>SY070401</v>
          </cell>
          <cell r="J166" t="str">
            <v>Badama\بداما</v>
          </cell>
          <cell r="L166" t="str">
            <v>SY020005</v>
          </cell>
          <cell r="M166" t="str">
            <v>C1153</v>
          </cell>
          <cell r="N166" t="str">
            <v>Barqum\برقوم</v>
          </cell>
          <cell r="P166" t="str">
            <v>C1007</v>
          </cell>
          <cell r="Q166" t="str">
            <v>SY0200038</v>
          </cell>
          <cell r="R166" t="str">
            <v>Qarleq\قارلق</v>
          </cell>
        </row>
        <row r="167">
          <cell r="H167" t="str">
            <v>SY0704</v>
          </cell>
          <cell r="I167" t="str">
            <v>SY070402</v>
          </cell>
          <cell r="J167" t="str">
            <v>Darkosh\دركوش</v>
          </cell>
          <cell r="L167" t="str">
            <v>SY020005</v>
          </cell>
          <cell r="M167" t="str">
            <v>C1169</v>
          </cell>
          <cell r="N167" t="str">
            <v>Bawabiyeh\بوابية</v>
          </cell>
          <cell r="P167" t="str">
            <v>C1007</v>
          </cell>
          <cell r="Q167" t="str">
            <v>SY0200014</v>
          </cell>
          <cell r="R167" t="str">
            <v>Qasileh\القصيلة</v>
          </cell>
        </row>
        <row r="168">
          <cell r="H168" t="str">
            <v>SY0704</v>
          </cell>
          <cell r="I168" t="str">
            <v>SY070403</v>
          </cell>
          <cell r="J168" t="str">
            <v>Janudiyeh\الجانودية</v>
          </cell>
          <cell r="L168" t="str">
            <v>SY020005</v>
          </cell>
          <cell r="M168" t="str">
            <v>C1154</v>
          </cell>
          <cell r="N168" t="str">
            <v>Berna\برنة</v>
          </cell>
          <cell r="P168" t="str">
            <v>C1007</v>
          </cell>
          <cell r="Q168" t="str">
            <v>SY0200044</v>
          </cell>
          <cell r="R168" t="str">
            <v>Qastal Al Mesht\قسطل المشط</v>
          </cell>
        </row>
        <row r="169">
          <cell r="H169" t="str">
            <v>SY0705</v>
          </cell>
          <cell r="I169" t="str">
            <v>SY070500</v>
          </cell>
          <cell r="J169" t="str">
            <v>Ariha\مركز أريحا</v>
          </cell>
          <cell r="L169" t="str">
            <v>SY020005</v>
          </cell>
          <cell r="M169" t="str">
            <v>C1157</v>
          </cell>
          <cell r="N169" t="str">
            <v>Big Othmaniya\عثمانية كبيرة</v>
          </cell>
          <cell r="P169" t="str">
            <v>C1007</v>
          </cell>
          <cell r="Q169" t="str">
            <v>SY0200117</v>
          </cell>
          <cell r="R169" t="str">
            <v>Rusafa\الرصافة</v>
          </cell>
        </row>
        <row r="170">
          <cell r="H170" t="str">
            <v>SY0705</v>
          </cell>
          <cell r="I170" t="str">
            <v>SY070501</v>
          </cell>
          <cell r="J170" t="str">
            <v>Ehsem\احسم</v>
          </cell>
          <cell r="L170" t="str">
            <v>SY020005</v>
          </cell>
          <cell r="M170" t="str">
            <v>C1172</v>
          </cell>
          <cell r="N170" t="str">
            <v>Hawir Elis\حوير العيس</v>
          </cell>
          <cell r="P170" t="str">
            <v>C1007</v>
          </cell>
          <cell r="Q170" t="str">
            <v>SY0200064</v>
          </cell>
          <cell r="R170" t="str">
            <v>Sa'ad Al Ansari\سعد الأنصاري</v>
          </cell>
        </row>
        <row r="171">
          <cell r="H171" t="str">
            <v>SY0705</v>
          </cell>
          <cell r="I171" t="str">
            <v>SY070502</v>
          </cell>
          <cell r="J171" t="str">
            <v>Mhambal\محمبل</v>
          </cell>
          <cell r="L171" t="str">
            <v>SY020005</v>
          </cell>
          <cell r="M171" t="str">
            <v>C1152</v>
          </cell>
          <cell r="N171" t="str">
            <v>Hmeira\حميرة</v>
          </cell>
          <cell r="P171" t="str">
            <v>C1007</v>
          </cell>
          <cell r="Q171" t="str">
            <v>SY0200122</v>
          </cell>
          <cell r="R171" t="str">
            <v>Sabil\السبيل</v>
          </cell>
        </row>
        <row r="172">
          <cell r="H172" t="str">
            <v>SY0800</v>
          </cell>
          <cell r="I172" t="str">
            <v>SY080000</v>
          </cell>
          <cell r="J172" t="str">
            <v>Al-Hasakeh\مركز الحسكة</v>
          </cell>
          <cell r="L172" t="str">
            <v>SY020005</v>
          </cell>
          <cell r="M172" t="str">
            <v>C1168</v>
          </cell>
          <cell r="N172" t="str">
            <v>Jazraya\جزرايا</v>
          </cell>
          <cell r="P172" t="str">
            <v>C1007</v>
          </cell>
          <cell r="Q172" t="str">
            <v>SY0200017</v>
          </cell>
          <cell r="R172" t="str">
            <v>Sahet Bazeh\ساحة بزة</v>
          </cell>
        </row>
        <row r="173">
          <cell r="H173" t="str">
            <v>SY0800</v>
          </cell>
          <cell r="I173" t="str">
            <v>SY080001</v>
          </cell>
          <cell r="J173" t="str">
            <v>Tal Tamer\تل تمر</v>
          </cell>
          <cell r="L173" t="str">
            <v>SY020005</v>
          </cell>
          <cell r="M173" t="str">
            <v>C1166</v>
          </cell>
          <cell r="N173" t="str">
            <v>Jeb Kas\جب كاس</v>
          </cell>
          <cell r="P173" t="str">
            <v>C1007</v>
          </cell>
          <cell r="Q173" t="str">
            <v>SY0200034</v>
          </cell>
          <cell r="R173" t="str">
            <v>Sajleikhan\صاجليخان</v>
          </cell>
        </row>
        <row r="174">
          <cell r="H174" t="str">
            <v>SY0800</v>
          </cell>
          <cell r="I174" t="str">
            <v>SY080002</v>
          </cell>
          <cell r="J174" t="str">
            <v>Shadadah\شدادة</v>
          </cell>
          <cell r="L174" t="str">
            <v>SY020005</v>
          </cell>
          <cell r="M174" t="str">
            <v>C1176</v>
          </cell>
          <cell r="N174" t="str">
            <v>Kassibeh\كسيبة</v>
          </cell>
          <cell r="P174" t="str">
            <v>C1007</v>
          </cell>
          <cell r="Q174" t="str">
            <v>SY0200091</v>
          </cell>
          <cell r="R174" t="str">
            <v>Sakhour (1)\الصاخور (1)</v>
          </cell>
        </row>
        <row r="175">
          <cell r="H175" t="str">
            <v>SY0800</v>
          </cell>
          <cell r="I175" t="str">
            <v>SY080003</v>
          </cell>
          <cell r="J175" t="str">
            <v>Markada\مركدة</v>
          </cell>
          <cell r="L175" t="str">
            <v>SY020005</v>
          </cell>
          <cell r="M175" t="str">
            <v>C1175</v>
          </cell>
          <cell r="N175" t="str">
            <v>Kusniya\كوسنيا</v>
          </cell>
          <cell r="P175" t="str">
            <v>C1007</v>
          </cell>
          <cell r="Q175" t="str">
            <v>SY0200092</v>
          </cell>
          <cell r="R175" t="str">
            <v>Sakhour (2)\الصاخور (2)</v>
          </cell>
        </row>
        <row r="176">
          <cell r="H176" t="str">
            <v>SY0800</v>
          </cell>
          <cell r="I176" t="str">
            <v>SY080004</v>
          </cell>
          <cell r="J176" t="str">
            <v>Be'r Al-Hulo Al-Wardeyyeh\بئر الحلو الوردية</v>
          </cell>
          <cell r="L176" t="str">
            <v>SY020005</v>
          </cell>
          <cell r="M176" t="str">
            <v>C1174</v>
          </cell>
          <cell r="N176" t="str">
            <v>Qamari\قماري</v>
          </cell>
          <cell r="P176" t="str">
            <v>C1007</v>
          </cell>
          <cell r="Q176" t="str">
            <v>SY0200093</v>
          </cell>
          <cell r="R176" t="str">
            <v>Sakhour (3)\الصاخور (3)</v>
          </cell>
        </row>
        <row r="177">
          <cell r="H177" t="str">
            <v>SY0800</v>
          </cell>
          <cell r="I177" t="str">
            <v>SY080005</v>
          </cell>
          <cell r="J177" t="str">
            <v>Areesheh\العريشة</v>
          </cell>
          <cell r="L177" t="str">
            <v>SY020005</v>
          </cell>
          <cell r="M177" t="str">
            <v>C1162</v>
          </cell>
          <cell r="N177" t="str">
            <v>Rasm Eliss\رسم العيس</v>
          </cell>
          <cell r="P177" t="str">
            <v>C1007</v>
          </cell>
          <cell r="Q177" t="str">
            <v>SY0200062</v>
          </cell>
          <cell r="R177" t="str">
            <v>Salah Addein\صلاح الدين</v>
          </cell>
        </row>
        <row r="178">
          <cell r="H178" t="str">
            <v>SY0800</v>
          </cell>
          <cell r="I178" t="str">
            <v>SY080006</v>
          </cell>
          <cell r="J178" t="str">
            <v>Hole\الهول</v>
          </cell>
          <cell r="L178" t="str">
            <v>SY020005</v>
          </cell>
          <cell r="M178" t="str">
            <v>C1155</v>
          </cell>
          <cell r="N178" t="str">
            <v>Sheikh Ahmed\الشيخ احمد</v>
          </cell>
          <cell r="P178" t="str">
            <v>C1007</v>
          </cell>
          <cell r="Q178" t="str">
            <v>SY0200072</v>
          </cell>
          <cell r="R178" t="str">
            <v>Saliheen\الصالحين</v>
          </cell>
        </row>
        <row r="179">
          <cell r="H179" t="str">
            <v>SY0802</v>
          </cell>
          <cell r="I179" t="str">
            <v>SY080200</v>
          </cell>
          <cell r="J179" t="str">
            <v>Quamishli\مركز القامشلي</v>
          </cell>
          <cell r="L179" t="str">
            <v>SY020005</v>
          </cell>
          <cell r="M179" t="str">
            <v>C1171</v>
          </cell>
          <cell r="N179" t="str">
            <v>Tal Allush\تل علوش</v>
          </cell>
          <cell r="P179" t="str">
            <v>C1007</v>
          </cell>
          <cell r="Q179" t="str">
            <v>SY0200061</v>
          </cell>
          <cell r="R179" t="str">
            <v>Seif Ad Dawleh\سيف الدولة</v>
          </cell>
        </row>
        <row r="180">
          <cell r="H180" t="str">
            <v>SY0802</v>
          </cell>
          <cell r="I180" t="str">
            <v>SY080201</v>
          </cell>
          <cell r="J180" t="str">
            <v>Tal Hmis\تل حميس</v>
          </cell>
          <cell r="L180" t="str">
            <v>SY020005</v>
          </cell>
          <cell r="M180" t="str">
            <v>C1161</v>
          </cell>
          <cell r="N180" t="str">
            <v>Tal Bajer\تل باجر</v>
          </cell>
          <cell r="P180" t="str">
            <v>C1007</v>
          </cell>
          <cell r="Q180" t="str">
            <v>SY0200112</v>
          </cell>
          <cell r="R180" t="str">
            <v>Seryan\السريان</v>
          </cell>
        </row>
        <row r="181">
          <cell r="H181" t="str">
            <v>SY0802</v>
          </cell>
          <cell r="I181" t="str">
            <v>SY080202</v>
          </cell>
          <cell r="J181" t="str">
            <v>Amuda\عامودا</v>
          </cell>
          <cell r="L181" t="str">
            <v>SY020005</v>
          </cell>
          <cell r="M181" t="str">
            <v>C1158</v>
          </cell>
          <cell r="N181" t="str">
            <v>Tal Heddiyeh\تل حدية</v>
          </cell>
          <cell r="P181" t="str">
            <v>C1007</v>
          </cell>
          <cell r="Q181" t="str">
            <v>SY0200123</v>
          </cell>
          <cell r="R181" t="str">
            <v>Shahbaa\الشهباء</v>
          </cell>
        </row>
        <row r="182">
          <cell r="H182" t="str">
            <v>SY0802</v>
          </cell>
          <cell r="I182" t="str">
            <v>SY080203</v>
          </cell>
          <cell r="J182" t="str">
            <v>Qahtaniyyeh\قحطانية</v>
          </cell>
          <cell r="L182" t="str">
            <v>SY020005</v>
          </cell>
          <cell r="M182" t="str">
            <v>C1173</v>
          </cell>
          <cell r="N182" t="str">
            <v>Tal Mamu\تل ممو</v>
          </cell>
          <cell r="P182" t="str">
            <v>C1007</v>
          </cell>
          <cell r="Q182" t="str">
            <v>SY0200108</v>
          </cell>
          <cell r="R182" t="str">
            <v>Sheikh Abu Baker\الشيخ أبو بكر</v>
          </cell>
        </row>
        <row r="183">
          <cell r="H183" t="str">
            <v>SY0803</v>
          </cell>
          <cell r="I183" t="str">
            <v>SY080300</v>
          </cell>
          <cell r="J183" t="str">
            <v>Al-Malikeyyeh\مركز المالكية</v>
          </cell>
          <cell r="L183" t="str">
            <v>SY020005</v>
          </cell>
          <cell r="M183" t="str">
            <v>C1165</v>
          </cell>
          <cell r="N183" t="str">
            <v>Talafeh\طلافح</v>
          </cell>
          <cell r="P183" t="str">
            <v>C1007</v>
          </cell>
          <cell r="Q183" t="str">
            <v>SY0200095</v>
          </cell>
          <cell r="R183" t="str">
            <v>Sheikh Faris\الشيخ فارس</v>
          </cell>
        </row>
        <row r="184">
          <cell r="H184" t="str">
            <v>SY0803</v>
          </cell>
          <cell r="I184" t="str">
            <v>SY080301</v>
          </cell>
          <cell r="J184" t="str">
            <v>Jawadiyah\جوادية</v>
          </cell>
          <cell r="L184" t="str">
            <v>SY020005</v>
          </cell>
          <cell r="M184" t="str">
            <v>C1159</v>
          </cell>
          <cell r="N184" t="str">
            <v>Um Atba\أم عتبة</v>
          </cell>
          <cell r="P184" t="str">
            <v>C1007</v>
          </cell>
          <cell r="Q184" t="str">
            <v>SY0200096</v>
          </cell>
          <cell r="R184" t="str">
            <v>Sheikh Kheder\الشيخ خضر</v>
          </cell>
        </row>
        <row r="185">
          <cell r="H185" t="str">
            <v>SY0803</v>
          </cell>
          <cell r="I185" t="str">
            <v>SY080302</v>
          </cell>
          <cell r="J185" t="str">
            <v>Ya'robiyah\يعربية</v>
          </cell>
          <cell r="L185" t="str">
            <v>SY020005</v>
          </cell>
          <cell r="M185" t="str">
            <v>C1170</v>
          </cell>
          <cell r="N185" t="str">
            <v>Zarbah\الزربة</v>
          </cell>
          <cell r="P185" t="str">
            <v>C1007</v>
          </cell>
          <cell r="Q185" t="str">
            <v>SY0200118</v>
          </cell>
          <cell r="R185" t="str">
            <v>Sheikh Maqsoud (1)\الشيخ مقصود (1)</v>
          </cell>
        </row>
        <row r="186">
          <cell r="H186" t="str">
            <v>SY0804</v>
          </cell>
          <cell r="I186" t="str">
            <v>SY080400</v>
          </cell>
          <cell r="J186" t="str">
            <v>Ras Al Ain\مركز رأس العين</v>
          </cell>
          <cell r="L186" t="str">
            <v>SY020005</v>
          </cell>
          <cell r="M186" t="str">
            <v>C1167</v>
          </cell>
          <cell r="N186" t="str">
            <v>Zeitan\زيتان</v>
          </cell>
          <cell r="P186" t="str">
            <v>C1007</v>
          </cell>
          <cell r="Q186" t="str">
            <v>SY0200074</v>
          </cell>
          <cell r="R186" t="str">
            <v>Sheikh Sa'eed\الشيخ سعيد</v>
          </cell>
        </row>
        <row r="187">
          <cell r="H187" t="str">
            <v>SY0804</v>
          </cell>
          <cell r="I187" t="str">
            <v>SY080401</v>
          </cell>
          <cell r="J187" t="str">
            <v>Darbasiyah\درباسية</v>
          </cell>
          <cell r="L187" t="str">
            <v>SY020005</v>
          </cell>
          <cell r="M187" t="str">
            <v>C1156</v>
          </cell>
          <cell r="N187" t="str">
            <v>Zmar\زمار</v>
          </cell>
          <cell r="P187" t="str">
            <v>C1007</v>
          </cell>
          <cell r="Q187" t="str">
            <v>SY0200104</v>
          </cell>
          <cell r="R187" t="str">
            <v>Sleiman Al Halabi\سليمان الحلبي</v>
          </cell>
        </row>
        <row r="188">
          <cell r="H188" t="str">
            <v>SY0901</v>
          </cell>
          <cell r="I188" t="str">
            <v>SY090100</v>
          </cell>
          <cell r="J188" t="str">
            <v>Deir-ez-Zor\مركز دير الزور</v>
          </cell>
          <cell r="L188" t="str">
            <v>SY020005</v>
          </cell>
          <cell r="M188" t="str">
            <v>C1151</v>
          </cell>
          <cell r="N188" t="str">
            <v>Zyare Semaan\زيارة سمعان</v>
          </cell>
          <cell r="P188" t="str">
            <v>C1007</v>
          </cell>
          <cell r="Q188" t="str">
            <v>SY0200067</v>
          </cell>
          <cell r="R188" t="str">
            <v>Sukkari\السكري</v>
          </cell>
        </row>
        <row r="189">
          <cell r="H189" t="str">
            <v>SY0901</v>
          </cell>
          <cell r="I189" t="str">
            <v>SY090101</v>
          </cell>
          <cell r="J189" t="str">
            <v>Kisreh\كسرة</v>
          </cell>
          <cell r="L189" t="str">
            <v>SY020006</v>
          </cell>
          <cell r="M189" t="str">
            <v>C1178</v>
          </cell>
          <cell r="N189" t="str">
            <v>Dalama\دلامة</v>
          </cell>
          <cell r="P189" t="str">
            <v>C1007</v>
          </cell>
          <cell r="Q189" t="str">
            <v>SY0200102</v>
          </cell>
          <cell r="R189" t="str">
            <v>Suleimaniyeh\السليمانية</v>
          </cell>
        </row>
        <row r="190">
          <cell r="H190" t="str">
            <v>SY0901</v>
          </cell>
          <cell r="I190" t="str">
            <v>SY090102</v>
          </cell>
          <cell r="J190" t="str">
            <v>Basira\بصيرة</v>
          </cell>
          <cell r="L190" t="str">
            <v>SY020006</v>
          </cell>
          <cell r="M190" t="str">
            <v>C1182</v>
          </cell>
          <cell r="N190" t="str">
            <v>Hadher\الحاضر</v>
          </cell>
          <cell r="P190" t="str">
            <v>C1007</v>
          </cell>
          <cell r="Q190" t="str">
            <v>SY0200066</v>
          </cell>
          <cell r="R190" t="str">
            <v>Tall Az Zarazeer\تل الزرازير</v>
          </cell>
        </row>
        <row r="191">
          <cell r="H191" t="str">
            <v>SY0901</v>
          </cell>
          <cell r="I191" t="str">
            <v>SY090103</v>
          </cell>
          <cell r="J191" t="str">
            <v>Muhasan\موحسن</v>
          </cell>
          <cell r="L191" t="str">
            <v>SY020006</v>
          </cell>
          <cell r="M191" t="str">
            <v>C1181</v>
          </cell>
          <cell r="N191" t="str">
            <v>Iss\العيس</v>
          </cell>
          <cell r="P191" t="str">
            <v>C1007</v>
          </cell>
          <cell r="Q191" t="str">
            <v>SY0200111</v>
          </cell>
          <cell r="R191" t="str">
            <v>Tarek Ibn Ziyad\طارق بن زياد</v>
          </cell>
        </row>
        <row r="192">
          <cell r="H192" t="str">
            <v>SY0901</v>
          </cell>
          <cell r="I192" t="str">
            <v>SY090104</v>
          </cell>
          <cell r="J192" t="str">
            <v>Tabni\التبني</v>
          </cell>
          <cell r="L192" t="str">
            <v>SY020006</v>
          </cell>
          <cell r="M192" t="str">
            <v>C1184</v>
          </cell>
          <cell r="N192" t="str">
            <v>Makhala\مكحلة</v>
          </cell>
          <cell r="P192" t="str">
            <v>C1007</v>
          </cell>
          <cell r="Q192" t="str">
            <v>SY0200036</v>
          </cell>
          <cell r="R192" t="str">
            <v>Tatarlar\تاتارلر</v>
          </cell>
        </row>
        <row r="193">
          <cell r="H193" t="str">
            <v>SY0901</v>
          </cell>
          <cell r="I193" t="str">
            <v>SY090105</v>
          </cell>
          <cell r="J193" t="str">
            <v>Khasham\خشام</v>
          </cell>
          <cell r="L193" t="str">
            <v>SY020006</v>
          </cell>
          <cell r="M193" t="str">
            <v>C1179</v>
          </cell>
          <cell r="N193" t="str">
            <v>Mamimeh\جميمة</v>
          </cell>
          <cell r="P193" t="str">
            <v>C1007</v>
          </cell>
          <cell r="Q193" t="str">
            <v>SY0200114</v>
          </cell>
          <cell r="R193" t="str">
            <v>Tishrine\تشرين</v>
          </cell>
        </row>
        <row r="194">
          <cell r="H194" t="str">
            <v>SY0901</v>
          </cell>
          <cell r="I194" t="str">
            <v>SY090106</v>
          </cell>
          <cell r="J194" t="str">
            <v>Sur\صور</v>
          </cell>
          <cell r="L194" t="str">
            <v>SY020006</v>
          </cell>
          <cell r="M194" t="str">
            <v>C1183</v>
          </cell>
          <cell r="N194" t="str">
            <v>Maryuda\مريودة</v>
          </cell>
          <cell r="P194" t="str">
            <v>C1007</v>
          </cell>
          <cell r="Q194" t="str">
            <v>SY0200015</v>
          </cell>
          <cell r="R194" t="str">
            <v>Tonbouga\التونبوغا</v>
          </cell>
        </row>
        <row r="195">
          <cell r="H195" t="str">
            <v>SY0902</v>
          </cell>
          <cell r="I195" t="str">
            <v>SY090200</v>
          </cell>
          <cell r="J195" t="str">
            <v>Abu Kamal\مركز البوكمال</v>
          </cell>
          <cell r="L195" t="str">
            <v>SY020006</v>
          </cell>
          <cell r="M195" t="str">
            <v>C1185</v>
          </cell>
          <cell r="N195" t="str">
            <v>Mreimin Simaan\مريمين سمعان</v>
          </cell>
          <cell r="P195" t="str">
            <v>C1007</v>
          </cell>
          <cell r="Q195" t="str">
            <v>SY0200106</v>
          </cell>
          <cell r="R195" t="str">
            <v>Turab Al Halak\تراب الهلك</v>
          </cell>
        </row>
        <row r="196">
          <cell r="H196" t="str">
            <v>SY0902</v>
          </cell>
          <cell r="I196" t="str">
            <v>SY090201</v>
          </cell>
          <cell r="J196" t="str">
            <v>Hajin\هجين</v>
          </cell>
          <cell r="L196" t="str">
            <v>SY020006</v>
          </cell>
          <cell r="M196" t="str">
            <v>C1180</v>
          </cell>
          <cell r="N196" t="str">
            <v>Tal Dadine\تل دادين</v>
          </cell>
          <cell r="P196" t="str">
            <v>C1007</v>
          </cell>
          <cell r="Q196" t="str">
            <v>SY0200082</v>
          </cell>
          <cell r="R196" t="str">
            <v>Turbet Lala\تربة لالا</v>
          </cell>
        </row>
        <row r="197">
          <cell r="H197" t="str">
            <v>SY0902</v>
          </cell>
          <cell r="I197" t="str">
            <v>SY090202</v>
          </cell>
          <cell r="J197" t="str">
            <v>Jalaa\الجلاء</v>
          </cell>
          <cell r="L197" t="str">
            <v>SY020006</v>
          </cell>
          <cell r="M197" t="str">
            <v>C1177</v>
          </cell>
          <cell r="N197" t="str">
            <v>Tleilat\تليلات</v>
          </cell>
          <cell r="P197" t="str">
            <v>C1007</v>
          </cell>
          <cell r="Q197" t="str">
            <v>SY0200134</v>
          </cell>
          <cell r="R197" t="str">
            <v>Zahraa\الزهراء</v>
          </cell>
        </row>
        <row r="198">
          <cell r="H198" t="str">
            <v>SY0902</v>
          </cell>
          <cell r="I198" t="str">
            <v>SY090203</v>
          </cell>
          <cell r="J198" t="str">
            <v>Susat\سوسة</v>
          </cell>
          <cell r="L198" t="str">
            <v>SY020200</v>
          </cell>
          <cell r="M198" t="str">
            <v>C1194</v>
          </cell>
          <cell r="N198" t="str">
            <v>Aabad\اعبد</v>
          </cell>
          <cell r="P198" t="str">
            <v>C1007</v>
          </cell>
          <cell r="Q198" t="str">
            <v>SY0200113</v>
          </cell>
          <cell r="R198" t="str">
            <v>Zohour\الزهور</v>
          </cell>
        </row>
        <row r="199">
          <cell r="H199" t="str">
            <v>SY0903</v>
          </cell>
          <cell r="I199" t="str">
            <v>SY090300</v>
          </cell>
          <cell r="J199" t="str">
            <v>Al Mayadin\مركز الميادين</v>
          </cell>
          <cell r="L199" t="str">
            <v>SY020200</v>
          </cell>
          <cell r="M199" t="str">
            <v>C1202</v>
          </cell>
          <cell r="N199" t="str">
            <v>Al Bab\الباب</v>
          </cell>
          <cell r="P199" t="str">
            <v>C2528</v>
          </cell>
          <cell r="Q199" t="str">
            <v>SY0400044</v>
          </cell>
          <cell r="R199" t="str">
            <v>Abbasiyeh\العباسية</v>
          </cell>
        </row>
        <row r="200">
          <cell r="H200" t="str">
            <v>SY0903</v>
          </cell>
          <cell r="I200" t="str">
            <v>SY090301</v>
          </cell>
          <cell r="J200" t="str">
            <v>Thiban\ذيبان</v>
          </cell>
          <cell r="L200" t="str">
            <v>SY020200</v>
          </cell>
          <cell r="M200" t="str">
            <v>C1188</v>
          </cell>
          <cell r="N200" t="str">
            <v>Bazagha\بزاعة</v>
          </cell>
          <cell r="P200" t="str">
            <v>C2528</v>
          </cell>
          <cell r="Q200" t="str">
            <v>SY0400023</v>
          </cell>
          <cell r="R200" t="str">
            <v>Al Khedr\الخضر</v>
          </cell>
        </row>
        <row r="201">
          <cell r="H201" t="str">
            <v>SY0903</v>
          </cell>
          <cell r="I201" t="str">
            <v>SY090302</v>
          </cell>
          <cell r="J201" t="str">
            <v>Ashara\عشارة</v>
          </cell>
          <cell r="L201" t="str">
            <v>SY020200</v>
          </cell>
          <cell r="M201" t="str">
            <v>C1203</v>
          </cell>
          <cell r="N201" t="str">
            <v>Big Sarja\سرجة كبيرة</v>
          </cell>
          <cell r="P201" t="str">
            <v>C2528</v>
          </cell>
          <cell r="Q201" t="str">
            <v>SY0400091</v>
          </cell>
          <cell r="R201" t="str">
            <v>Amr wa Sultaniya\ عمرو و السلطانية</v>
          </cell>
        </row>
        <row r="202">
          <cell r="H202" t="str">
            <v>SY1000</v>
          </cell>
          <cell r="I202" t="str">
            <v>SY100000</v>
          </cell>
          <cell r="J202" t="str">
            <v>Tartous\مركز طرطوس</v>
          </cell>
          <cell r="L202" t="str">
            <v>SY020200</v>
          </cell>
          <cell r="M202" t="str">
            <v>C1192</v>
          </cell>
          <cell r="N202" t="str">
            <v>Borj\البرج</v>
          </cell>
          <cell r="P202" t="str">
            <v>C2528</v>
          </cell>
          <cell r="Q202" t="str">
            <v>SY0400046</v>
          </cell>
          <cell r="R202" t="str">
            <v>Arman\الأرمن</v>
          </cell>
        </row>
        <row r="203">
          <cell r="H203" t="str">
            <v>SY1000</v>
          </cell>
          <cell r="I203" t="str">
            <v>SY100001</v>
          </cell>
          <cell r="J203" t="str">
            <v>Arwad\أرواد</v>
          </cell>
          <cell r="L203" t="str">
            <v>SY020200</v>
          </cell>
          <cell r="M203" t="str">
            <v>C1198</v>
          </cell>
          <cell r="N203" t="str">
            <v>Hadath\حدث</v>
          </cell>
          <cell r="P203" t="str">
            <v>C2528</v>
          </cell>
          <cell r="Q203" t="str">
            <v>SY0400031</v>
          </cell>
          <cell r="R203" t="str">
            <v>Bab Ad-Dreib\باب الدريب</v>
          </cell>
        </row>
        <row r="204">
          <cell r="H204" t="str">
            <v>SY1000</v>
          </cell>
          <cell r="I204" t="str">
            <v>SY100002</v>
          </cell>
          <cell r="J204" t="str">
            <v>Hameidiyyeh\الحميدية</v>
          </cell>
          <cell r="L204" t="str">
            <v>SY020200</v>
          </cell>
          <cell r="M204" t="str">
            <v>C1191</v>
          </cell>
          <cell r="N204" t="str">
            <v>Hazwan\حزوان</v>
          </cell>
          <cell r="P204" t="str">
            <v>C2528</v>
          </cell>
          <cell r="Q204" t="str">
            <v>SY0400011</v>
          </cell>
          <cell r="R204" t="str">
            <v>Bab Houd\باب هود</v>
          </cell>
        </row>
        <row r="205">
          <cell r="H205" t="str">
            <v>SY1000</v>
          </cell>
          <cell r="I205" t="str">
            <v>SY100003</v>
          </cell>
          <cell r="J205" t="str">
            <v>Kherbet Elma'aza\خربة المعزة</v>
          </cell>
          <cell r="L205" t="str">
            <v>SY020200</v>
          </cell>
          <cell r="M205" t="str">
            <v>C1193</v>
          </cell>
          <cell r="N205" t="str">
            <v>Maqri\المقري</v>
          </cell>
          <cell r="P205" t="str">
            <v>C2528</v>
          </cell>
          <cell r="Q205" t="str">
            <v>SY0400022</v>
          </cell>
          <cell r="R205" t="str">
            <v>Bab Sebaa\باب السباع</v>
          </cell>
        </row>
        <row r="206">
          <cell r="H206" t="str">
            <v>SY1000</v>
          </cell>
          <cell r="I206" t="str">
            <v>SY100004</v>
          </cell>
          <cell r="J206" t="str">
            <v>Soda Khawabi\سودا خوابي</v>
          </cell>
          <cell r="L206" t="str">
            <v>SY020200</v>
          </cell>
          <cell r="M206" t="str">
            <v>C1210</v>
          </cell>
          <cell r="N206" t="str">
            <v>Mran\مران</v>
          </cell>
          <cell r="P206" t="str">
            <v>C2528</v>
          </cell>
          <cell r="Q206" t="str">
            <v>SY0400041</v>
          </cell>
          <cell r="R206" t="str">
            <v>Bab Tadmor\باب تدمر</v>
          </cell>
        </row>
        <row r="207">
          <cell r="H207" t="str">
            <v>SY1000</v>
          </cell>
          <cell r="I207" t="str">
            <v>SY100005</v>
          </cell>
          <cell r="J207" t="str">
            <v>Kareemeh\كريمة</v>
          </cell>
          <cell r="L207" t="str">
            <v>SY020200</v>
          </cell>
          <cell r="M207" t="str">
            <v>C1186</v>
          </cell>
          <cell r="N207" t="str">
            <v>Nayrabiyeh\النيربية</v>
          </cell>
          <cell r="P207" t="str">
            <v>C2528</v>
          </cell>
          <cell r="Q207" t="str">
            <v>SY0400013</v>
          </cell>
          <cell r="R207" t="str">
            <v>Baghtasiyeh\البغطاسية</v>
          </cell>
        </row>
        <row r="208">
          <cell r="H208" t="str">
            <v>SY1000</v>
          </cell>
          <cell r="I208" t="str">
            <v>SY100006</v>
          </cell>
          <cell r="J208" t="str">
            <v>Safsafa\صفصافة</v>
          </cell>
          <cell r="L208" t="str">
            <v>SY020200</v>
          </cell>
          <cell r="M208" t="str">
            <v>C1213</v>
          </cell>
          <cell r="N208" t="str">
            <v>Noman\نعمان</v>
          </cell>
          <cell r="P208" t="str">
            <v>C2528</v>
          </cell>
          <cell r="Q208" t="str">
            <v>SY0400021</v>
          </cell>
          <cell r="R208" t="str">
            <v>Bani Sbaie\بني السباعي</v>
          </cell>
        </row>
        <row r="209">
          <cell r="H209" t="str">
            <v>SY1002</v>
          </cell>
          <cell r="I209" t="str">
            <v>SY100200</v>
          </cell>
          <cell r="J209" t="str">
            <v>Banyas\مركز بانياس</v>
          </cell>
          <cell r="L209" t="str">
            <v>SY020200</v>
          </cell>
          <cell r="M209" t="str">
            <v>C1204</v>
          </cell>
          <cell r="N209" t="str">
            <v>Olan\عولان</v>
          </cell>
          <cell r="P209" t="str">
            <v>C2528</v>
          </cell>
          <cell r="Q209" t="str">
            <v>SY0400083</v>
          </cell>
          <cell r="R209" t="str">
            <v>Bayada\البياضة</v>
          </cell>
        </row>
        <row r="210">
          <cell r="H210" t="str">
            <v>SY1002</v>
          </cell>
          <cell r="I210" t="str">
            <v>SY100201</v>
          </cell>
          <cell r="J210" t="str">
            <v>Rawda\الروضة</v>
          </cell>
          <cell r="L210" t="str">
            <v>SY020200</v>
          </cell>
          <cell r="M210" t="str">
            <v>C1209</v>
          </cell>
          <cell r="N210" t="str">
            <v>Qabasin\قباسين</v>
          </cell>
          <cell r="P210" t="str">
            <v>C2528</v>
          </cell>
          <cell r="Q210" t="str">
            <v>SY0400082</v>
          </cell>
          <cell r="R210" t="str">
            <v>Deir Ba'alba Janoubi\دير بعلبة جنوبي</v>
          </cell>
        </row>
        <row r="211">
          <cell r="H211" t="str">
            <v>SY1002</v>
          </cell>
          <cell r="I211" t="str">
            <v>SY100202</v>
          </cell>
          <cell r="J211" t="str">
            <v>Anaza\العنازة</v>
          </cell>
          <cell r="L211" t="str">
            <v>SY020200</v>
          </cell>
          <cell r="M211" t="str">
            <v>C1211</v>
          </cell>
          <cell r="N211" t="str">
            <v>Qdeiran\قديران</v>
          </cell>
          <cell r="P211" t="str">
            <v>C2528</v>
          </cell>
          <cell r="Q211" t="str">
            <v>SY0400081</v>
          </cell>
          <cell r="R211" t="str">
            <v>Deir Ba'alba Shamali\دير بعلبة شمالي</v>
          </cell>
        </row>
        <row r="212">
          <cell r="H212" t="str">
            <v>SY1002</v>
          </cell>
          <cell r="I212" t="str">
            <v>SY100203</v>
          </cell>
          <cell r="J212" t="str">
            <v>Qadmous\القدموس</v>
          </cell>
          <cell r="L212" t="str">
            <v>SY020200</v>
          </cell>
          <cell r="M212" t="str">
            <v>C1208</v>
          </cell>
          <cell r="N212" t="str">
            <v>Qemmet Daghelbash\قمة داغلباش</v>
          </cell>
          <cell r="P212" t="str">
            <v>C2528</v>
          </cell>
          <cell r="Q212" t="str">
            <v>SY0400015</v>
          </cell>
          <cell r="R212" t="str">
            <v>Fardos\الفردوس</v>
          </cell>
        </row>
        <row r="213">
          <cell r="H213" t="str">
            <v>SY1002</v>
          </cell>
          <cell r="I213" t="str">
            <v>SY100204</v>
          </cell>
          <cell r="J213" t="str">
            <v>Hamam Wasil\حمام واصل</v>
          </cell>
          <cell r="L213" t="str">
            <v>SY020200</v>
          </cell>
          <cell r="M213" t="str">
            <v>C1214</v>
          </cell>
          <cell r="N213" t="str">
            <v>Qubbet Elsheikh\قبة الشيخ</v>
          </cell>
          <cell r="P213" t="str">
            <v>C2528</v>
          </cell>
          <cell r="Q213" t="str">
            <v>SY0400014</v>
          </cell>
          <cell r="R213" t="str">
            <v>Ghota\الغوطة</v>
          </cell>
        </row>
        <row r="214">
          <cell r="H214" t="str">
            <v>SY1002</v>
          </cell>
          <cell r="I214" t="str">
            <v>SY100205</v>
          </cell>
          <cell r="J214" t="str">
            <v>Tawahin\الطواحين</v>
          </cell>
          <cell r="L214" t="str">
            <v>SY020200</v>
          </cell>
          <cell r="M214" t="str">
            <v>C1200</v>
          </cell>
          <cell r="N214" t="str">
            <v>Saflaniyeh\سفلانية</v>
          </cell>
          <cell r="P214" t="str">
            <v>C2528</v>
          </cell>
          <cell r="Q214" t="str">
            <v>SY0400051</v>
          </cell>
          <cell r="R214" t="str">
            <v>Hameidiyyeh\الحميدية</v>
          </cell>
        </row>
        <row r="215">
          <cell r="H215" t="str">
            <v>SY1002</v>
          </cell>
          <cell r="I215" t="str">
            <v>SY100206</v>
          </cell>
          <cell r="J215" t="str">
            <v>Taleen\تالين</v>
          </cell>
          <cell r="L215" t="str">
            <v>SY020200</v>
          </cell>
          <cell r="M215" t="str">
            <v>C1189</v>
          </cell>
          <cell r="N215" t="str">
            <v>Shaala\شعالة</v>
          </cell>
          <cell r="P215" t="str">
            <v>C2528</v>
          </cell>
          <cell r="Q215" t="str">
            <v>SY0400072</v>
          </cell>
          <cell r="R215" t="str">
            <v>Hems Al Jadeedeh\حمص الجديدة-الوعر</v>
          </cell>
        </row>
        <row r="216">
          <cell r="H216" t="str">
            <v>SY1003</v>
          </cell>
          <cell r="I216" t="str">
            <v>SY100300</v>
          </cell>
          <cell r="J216" t="str">
            <v>Safita\مركز صافيتا</v>
          </cell>
          <cell r="L216" t="str">
            <v>SY020200</v>
          </cell>
          <cell r="M216" t="str">
            <v>C1206</v>
          </cell>
          <cell r="N216" t="str">
            <v>Shdud\شدود</v>
          </cell>
          <cell r="P216" t="str">
            <v>C2528</v>
          </cell>
          <cell r="Q216" t="str">
            <v>SY0400024</v>
          </cell>
          <cell r="R216" t="str">
            <v>Ikrima\عكرمة</v>
          </cell>
        </row>
        <row r="217">
          <cell r="H217" t="str">
            <v>SY1003</v>
          </cell>
          <cell r="I217" t="str">
            <v>SY100301</v>
          </cell>
          <cell r="J217" t="str">
            <v>Mashta Elhiu\مشتى الحلو</v>
          </cell>
          <cell r="L217" t="str">
            <v>SY020200</v>
          </cell>
          <cell r="M217" t="str">
            <v>C1196</v>
          </cell>
          <cell r="N217" t="str">
            <v>Sheikh Elwan\شيخ علوان</v>
          </cell>
          <cell r="P217" t="str">
            <v>C2528</v>
          </cell>
          <cell r="Q217" t="str">
            <v>SY0400032</v>
          </cell>
          <cell r="R217" t="str">
            <v>Jamal Addein\جمال الدين</v>
          </cell>
        </row>
        <row r="218">
          <cell r="H218" t="str">
            <v>SY1003</v>
          </cell>
          <cell r="I218" t="str">
            <v>SY100302</v>
          </cell>
          <cell r="J218" t="str">
            <v>Bariqiyeh\البارقية</v>
          </cell>
          <cell r="L218" t="str">
            <v>SY020200</v>
          </cell>
          <cell r="M218" t="str">
            <v>C1195</v>
          </cell>
          <cell r="N218" t="str">
            <v>Sheikh Jarrah\شيخ جراح</v>
          </cell>
          <cell r="P218" t="str">
            <v>C2528</v>
          </cell>
          <cell r="Q218" t="str">
            <v>SY0400033</v>
          </cell>
          <cell r="R218" t="str">
            <v>Jeb Al Jandali\جب الجندلي</v>
          </cell>
        </row>
        <row r="219">
          <cell r="H219" t="str">
            <v>SY1003</v>
          </cell>
          <cell r="I219" t="str">
            <v>SY100303</v>
          </cell>
          <cell r="J219" t="str">
            <v>Sibbeh\سبة</v>
          </cell>
          <cell r="L219" t="str">
            <v>SY020200</v>
          </cell>
          <cell r="M219" t="str">
            <v>C1207</v>
          </cell>
          <cell r="N219" t="str">
            <v>Sheikh Kif\الشيخ كيف</v>
          </cell>
          <cell r="P219" t="str">
            <v>C2528</v>
          </cell>
          <cell r="Q219" t="str">
            <v>SY0400061</v>
          </cell>
          <cell r="R219" t="str">
            <v>Jouret Al Sheyah\جورة الشياح</v>
          </cell>
        </row>
        <row r="220">
          <cell r="H220" t="str">
            <v>SY1003</v>
          </cell>
          <cell r="I220" t="str">
            <v>SY100304</v>
          </cell>
          <cell r="J220" t="str">
            <v>Sisniyyeh\السيسنية</v>
          </cell>
          <cell r="L220" t="str">
            <v>SY020200</v>
          </cell>
          <cell r="M220" t="str">
            <v>C1187</v>
          </cell>
          <cell r="N220" t="str">
            <v>Sosyan\سوسيان</v>
          </cell>
          <cell r="P220" t="str">
            <v>C2528</v>
          </cell>
          <cell r="Q220" t="str">
            <v>SY0400052</v>
          </cell>
          <cell r="R220" t="str">
            <v>Kalidiyeh\الخالدية</v>
          </cell>
        </row>
        <row r="221">
          <cell r="H221" t="str">
            <v>SY1003</v>
          </cell>
          <cell r="I221" t="str">
            <v>SY100305</v>
          </cell>
          <cell r="J221" t="str">
            <v>Ras El-Khashufeh\رأس الخشوفة</v>
          </cell>
          <cell r="L221" t="str">
            <v>SY020200</v>
          </cell>
          <cell r="M221" t="str">
            <v>C1190</v>
          </cell>
          <cell r="N221" t="str">
            <v>Su Sinbat\سو سنباط</v>
          </cell>
          <cell r="P221" t="str">
            <v>C2528</v>
          </cell>
          <cell r="Q221" t="str">
            <v>SY0400025</v>
          </cell>
          <cell r="R221" t="str">
            <v>Karm Ash-Shami\كرم الشامي</v>
          </cell>
        </row>
        <row r="222">
          <cell r="H222" t="str">
            <v>SY1004</v>
          </cell>
          <cell r="I222" t="str">
            <v>SY100400</v>
          </cell>
          <cell r="J222" t="str">
            <v>Dreikish\مركز دريكيش</v>
          </cell>
          <cell r="L222" t="str">
            <v>SY020200</v>
          </cell>
          <cell r="M222" t="str">
            <v>C1197</v>
          </cell>
          <cell r="N222" t="str">
            <v>Suran\صوران</v>
          </cell>
          <cell r="P222" t="str">
            <v>C2528</v>
          </cell>
          <cell r="Q222" t="str">
            <v>SY0400037</v>
          </cell>
          <cell r="R222" t="str">
            <v>Karm Az Zeitoun\كرم الزيتون</v>
          </cell>
        </row>
        <row r="223">
          <cell r="H223" t="str">
            <v>SY1004</v>
          </cell>
          <cell r="I223" t="str">
            <v>SY100401</v>
          </cell>
          <cell r="J223" t="str">
            <v>Jneinet Raslan\جنينة رسلان</v>
          </cell>
          <cell r="L223" t="str">
            <v>SY020200</v>
          </cell>
          <cell r="M223" t="str">
            <v>C1199</v>
          </cell>
          <cell r="N223" t="str">
            <v>Tal Jerji\تل جرجي</v>
          </cell>
          <cell r="P223" t="str">
            <v>C2528</v>
          </cell>
          <cell r="Q223" t="str">
            <v>SY0400042</v>
          </cell>
          <cell r="R223" t="str">
            <v>Karm Shamsham\كرم شمشم</v>
          </cell>
        </row>
        <row r="224">
          <cell r="H224" t="str">
            <v>SY1004</v>
          </cell>
          <cell r="I224" t="str">
            <v>SY100402</v>
          </cell>
          <cell r="J224" t="str">
            <v>Hamin\حمين</v>
          </cell>
          <cell r="L224" t="str">
            <v>SY020200</v>
          </cell>
          <cell r="M224" t="str">
            <v>C1205</v>
          </cell>
          <cell r="N224" t="str">
            <v>Tal Rahhal\تل رحال</v>
          </cell>
          <cell r="P224" t="str">
            <v>C2528</v>
          </cell>
          <cell r="Q224" t="str">
            <v>SY0400012</v>
          </cell>
          <cell r="R224" t="str">
            <v>Mahatta\المحطة</v>
          </cell>
        </row>
        <row r="225">
          <cell r="H225" t="str">
            <v>SY1004</v>
          </cell>
          <cell r="I225" t="str">
            <v>SY100403</v>
          </cell>
          <cell r="J225" t="str">
            <v>Dweir Raslan\دوير رسلان</v>
          </cell>
          <cell r="L225" t="str">
            <v>SY020200</v>
          </cell>
          <cell r="M225" t="str">
            <v>C1201</v>
          </cell>
          <cell r="N225" t="str">
            <v>Um Elamad Elbab\أم العمد الباب</v>
          </cell>
          <cell r="P225" t="str">
            <v>C2528</v>
          </cell>
          <cell r="Q225" t="str">
            <v>SY0400071</v>
          </cell>
          <cell r="R225" t="str">
            <v>Mimas\الميماس</v>
          </cell>
        </row>
        <row r="226">
          <cell r="H226" t="str">
            <v>SY1005</v>
          </cell>
          <cell r="I226" t="str">
            <v>SY100500</v>
          </cell>
          <cell r="J226" t="str">
            <v>Sheikh Badr\مركز الشيخ بدر</v>
          </cell>
          <cell r="L226" t="str">
            <v>SY020200</v>
          </cell>
          <cell r="M226" t="str">
            <v>C1212</v>
          </cell>
          <cell r="N226" t="str">
            <v>Waqqah\وقاح</v>
          </cell>
          <cell r="P226" t="str">
            <v>C2528</v>
          </cell>
          <cell r="Q226" t="str">
            <v>SY0400034</v>
          </cell>
          <cell r="R226" t="str">
            <v>Mreija\المريجة</v>
          </cell>
        </row>
        <row r="227">
          <cell r="H227" t="str">
            <v>SY1005</v>
          </cell>
          <cell r="I227" t="str">
            <v>SY100501</v>
          </cell>
          <cell r="J227" t="str">
            <v>Baramanet Elmashayekh\برمانة المشايخ</v>
          </cell>
          <cell r="L227" t="str">
            <v>SY020201</v>
          </cell>
          <cell r="M227" t="str">
            <v>C1216</v>
          </cell>
          <cell r="N227" t="str">
            <v>Abu Jabbar\أبو جبار</v>
          </cell>
          <cell r="P227" t="str">
            <v>C2528</v>
          </cell>
          <cell r="Q227" t="str">
            <v>SY0400035</v>
          </cell>
          <cell r="R227" t="str">
            <v>Nuzha\النزهة</v>
          </cell>
        </row>
        <row r="228">
          <cell r="H228" t="str">
            <v>SY1005</v>
          </cell>
          <cell r="I228" t="str">
            <v>SY100502</v>
          </cell>
          <cell r="J228" t="str">
            <v>Qumseyyeh\قمصية</v>
          </cell>
          <cell r="L228" t="str">
            <v>SY020201</v>
          </cell>
          <cell r="M228" t="str">
            <v>C1218</v>
          </cell>
          <cell r="N228" t="str">
            <v>Abu Taltal\أبو طلطل</v>
          </cell>
          <cell r="P228" t="str">
            <v>C2528</v>
          </cell>
          <cell r="Q228" t="str">
            <v>SY0400062</v>
          </cell>
          <cell r="R228" t="str">
            <v>Qosour\القصور</v>
          </cell>
        </row>
        <row r="229">
          <cell r="H229" t="str">
            <v>SY1101</v>
          </cell>
          <cell r="I229" t="str">
            <v>SY110100</v>
          </cell>
          <cell r="J229" t="str">
            <v>Ar-Raqqa\مركز الرقة</v>
          </cell>
          <cell r="L229" t="str">
            <v>SY020201</v>
          </cell>
          <cell r="M229" t="str">
            <v>C1215</v>
          </cell>
          <cell r="N229" t="str">
            <v>Arran\عران</v>
          </cell>
          <cell r="P229" t="str">
            <v>C2528</v>
          </cell>
          <cell r="Q229" t="str">
            <v>SY0400045</v>
          </cell>
          <cell r="R229" t="str">
            <v>Sabil\السبيل</v>
          </cell>
        </row>
        <row r="230">
          <cell r="H230" t="str">
            <v>SY1101</v>
          </cell>
          <cell r="I230" t="str">
            <v>SY110101</v>
          </cell>
          <cell r="J230" t="str">
            <v>Sabka\السبخة</v>
          </cell>
          <cell r="L230" t="str">
            <v>SY020201</v>
          </cell>
          <cell r="M230" t="str">
            <v>C1230</v>
          </cell>
          <cell r="N230" t="str">
            <v>Barhalin\برلهين</v>
          </cell>
          <cell r="P230" t="str">
            <v>C2528</v>
          </cell>
          <cell r="Q230" t="str">
            <v>SY0400063</v>
          </cell>
          <cell r="R230" t="str">
            <v>Sina'a and Haswiyeh\الصناعة و الحصوية</v>
          </cell>
        </row>
        <row r="231">
          <cell r="H231" t="str">
            <v>SY1101</v>
          </cell>
          <cell r="I231" t="str">
            <v>SY110102</v>
          </cell>
          <cell r="J231" t="str">
            <v>Karama\الكرامة</v>
          </cell>
          <cell r="L231" t="str">
            <v>SY020201</v>
          </cell>
          <cell r="M231" t="str">
            <v>C1220</v>
          </cell>
          <cell r="N231" t="str">
            <v>Big Amya\عمية كبيرة</v>
          </cell>
          <cell r="P231" t="str">
            <v>C2528</v>
          </cell>
          <cell r="Q231" t="str">
            <v>SY0400038</v>
          </cell>
          <cell r="R231" t="str">
            <v>Wadi Ad-Dahab\وادي الذهب</v>
          </cell>
        </row>
        <row r="232">
          <cell r="H232" t="str">
            <v>SY1101</v>
          </cell>
          <cell r="I232" t="str">
            <v>SY110103</v>
          </cell>
          <cell r="J232" t="str">
            <v>Maadan\معدان</v>
          </cell>
          <cell r="L232" t="str">
            <v>SY020201</v>
          </cell>
          <cell r="M232" t="str">
            <v>C1235</v>
          </cell>
          <cell r="N232" t="str">
            <v>Big Fikha\فيخة كبيرة</v>
          </cell>
          <cell r="P232" t="str">
            <v>C2528</v>
          </cell>
          <cell r="Q232" t="str">
            <v>SY0400043</v>
          </cell>
          <cell r="R232" t="str">
            <v>Zahraa\الزهراء</v>
          </cell>
        </row>
        <row r="233">
          <cell r="H233" t="str">
            <v>SY1102</v>
          </cell>
          <cell r="I233" t="str">
            <v>SY110200</v>
          </cell>
          <cell r="J233" t="str">
            <v>Tell Abiad\مركز تل أبيض</v>
          </cell>
          <cell r="L233" t="str">
            <v>SY020201</v>
          </cell>
          <cell r="M233" t="str">
            <v>C1225</v>
          </cell>
          <cell r="N233" t="str">
            <v>Biret Elbab\البيرة الباب</v>
          </cell>
          <cell r="P233" t="str">
            <v>C2987</v>
          </cell>
          <cell r="Q233" t="str">
            <v>SY0500045</v>
          </cell>
          <cell r="R233" t="str">
            <v>Abi Al Fedaa\أبي الفداء</v>
          </cell>
        </row>
        <row r="234">
          <cell r="H234" t="str">
            <v>SY1102</v>
          </cell>
          <cell r="I234" t="str">
            <v>SY110201</v>
          </cell>
          <cell r="J234" t="str">
            <v>Suluk\سلوك</v>
          </cell>
          <cell r="L234" t="str">
            <v>SY020201</v>
          </cell>
          <cell r="M234" t="str">
            <v>C1231</v>
          </cell>
          <cell r="N234" t="str">
            <v>Btoshiyet Elbab\بطوشية الباب</v>
          </cell>
          <cell r="P234" t="str">
            <v>C2987</v>
          </cell>
          <cell r="Q234" t="str">
            <v>SY0500014</v>
          </cell>
          <cell r="R234" t="str">
            <v>Aedin\العائدين</v>
          </cell>
        </row>
        <row r="235">
          <cell r="H235" t="str">
            <v>SY1102</v>
          </cell>
          <cell r="I235" t="str">
            <v>SY110202</v>
          </cell>
          <cell r="J235" t="str">
            <v>Ein Issa\عين عيسى</v>
          </cell>
          <cell r="L235" t="str">
            <v>SY020201</v>
          </cell>
          <cell r="M235" t="str">
            <v>C1221</v>
          </cell>
          <cell r="N235" t="str">
            <v>Deir Qaq\دير قاق</v>
          </cell>
          <cell r="P235" t="str">
            <v>C2987</v>
          </cell>
          <cell r="Q235" t="str">
            <v>SY0500055</v>
          </cell>
          <cell r="R235" t="str">
            <v>Al Fayhaa\الفيحاء</v>
          </cell>
        </row>
        <row r="236">
          <cell r="H236" t="str">
            <v>SY1103</v>
          </cell>
          <cell r="I236" t="str">
            <v>SY110300</v>
          </cell>
          <cell r="J236" t="str">
            <v>Al-Thawrah\مركز الثورة</v>
          </cell>
          <cell r="L236" t="str">
            <v>SY020201</v>
          </cell>
          <cell r="M236" t="str">
            <v>C2233</v>
          </cell>
          <cell r="N236" t="str">
            <v>Ein El-Bayda\عين البيضا</v>
          </cell>
          <cell r="P236" t="str">
            <v>C2987</v>
          </cell>
          <cell r="Q236" t="str">
            <v>SY0500042</v>
          </cell>
          <cell r="R236" t="str">
            <v>Aleiliyat\العليليات</v>
          </cell>
        </row>
        <row r="237">
          <cell r="H237" t="str">
            <v>SY1103</v>
          </cell>
          <cell r="I237" t="str">
            <v>SY110301</v>
          </cell>
          <cell r="J237" t="str">
            <v>Mansura\المنصورة</v>
          </cell>
          <cell r="L237" t="str">
            <v>SY020201</v>
          </cell>
          <cell r="M237" t="str">
            <v>C1228</v>
          </cell>
          <cell r="N237" t="str">
            <v>Eisheh\عيشة</v>
          </cell>
          <cell r="P237" t="str">
            <v>C2987</v>
          </cell>
          <cell r="Q237" t="str">
            <v>SY0500034</v>
          </cell>
          <cell r="R237" t="str">
            <v>Andalus\الأندلس</v>
          </cell>
        </row>
        <row r="238">
          <cell r="H238" t="str">
            <v>SY1103</v>
          </cell>
          <cell r="I238" t="str">
            <v>SY110302</v>
          </cell>
          <cell r="J238" t="str">
            <v>Jurneyyeh\الجرنية</v>
          </cell>
          <cell r="L238" t="str">
            <v>SY020201</v>
          </cell>
          <cell r="M238" t="str">
            <v>C1223</v>
          </cell>
          <cell r="N238" t="str">
            <v>Kherbet Kiyar\خربة كيار</v>
          </cell>
          <cell r="P238" t="str">
            <v>C2987</v>
          </cell>
          <cell r="Q238" t="str">
            <v>SY0500027</v>
          </cell>
          <cell r="R238" t="str">
            <v>Baath\البعث</v>
          </cell>
        </row>
        <row r="239">
          <cell r="H239" t="str">
            <v>SY1200</v>
          </cell>
          <cell r="I239" t="str">
            <v>SY120000</v>
          </cell>
          <cell r="J239" t="str">
            <v>Dar'a\مركز درعا</v>
          </cell>
          <cell r="L239" t="str">
            <v>SY020201</v>
          </cell>
          <cell r="M239" t="str">
            <v>C1217</v>
          </cell>
          <cell r="N239" t="str">
            <v>Kita\الكيطة</v>
          </cell>
          <cell r="P239" t="str">
            <v>C2987</v>
          </cell>
          <cell r="Q239" t="str">
            <v>SY0500021</v>
          </cell>
          <cell r="R239" t="str">
            <v>Bab Al Jesr\باب الجسر</v>
          </cell>
        </row>
        <row r="240">
          <cell r="H240" t="str">
            <v>SY1200</v>
          </cell>
          <cell r="I240" t="str">
            <v>SY120001</v>
          </cell>
          <cell r="J240" t="str">
            <v>Busra Esh-Sham\بصرى الشام</v>
          </cell>
          <cell r="L240" t="str">
            <v>SY020201</v>
          </cell>
          <cell r="M240" t="str">
            <v>C1234</v>
          </cell>
          <cell r="N240" t="str">
            <v>Magharet Abu Jabbar\مغارة أبو جبار</v>
          </cell>
          <cell r="P240" t="str">
            <v>C2987</v>
          </cell>
          <cell r="Q240" t="str">
            <v>SY0500024</v>
          </cell>
          <cell r="R240" t="str">
            <v>Bab Qebli\باب القبلي</v>
          </cell>
        </row>
        <row r="241">
          <cell r="H241" t="str">
            <v>SY1200</v>
          </cell>
          <cell r="I241" t="str">
            <v>SY120002</v>
          </cell>
          <cell r="J241" t="str">
            <v>Kherbet Ghazala\خربة غزالة</v>
          </cell>
          <cell r="L241" t="str">
            <v>SY020201</v>
          </cell>
          <cell r="M241" t="str">
            <v>C1226</v>
          </cell>
          <cell r="N241" t="str">
            <v>Oweishiyeh\عويشية</v>
          </cell>
          <cell r="P241" t="str">
            <v>C2987</v>
          </cell>
          <cell r="Q241" t="str">
            <v>SY0500051</v>
          </cell>
          <cell r="R241" t="str">
            <v>Baroudiyeh\البارودية</v>
          </cell>
        </row>
        <row r="242">
          <cell r="H242" t="str">
            <v>SY1200</v>
          </cell>
          <cell r="I242" t="str">
            <v>SY120003</v>
          </cell>
          <cell r="J242" t="str">
            <v>Ash-Shajara\الشجرة</v>
          </cell>
          <cell r="L242" t="str">
            <v>SY020201</v>
          </cell>
          <cell r="M242" t="str">
            <v>C1233</v>
          </cell>
          <cell r="N242" t="str">
            <v>Qasr Elbreij\قصر البريج</v>
          </cell>
          <cell r="P242" t="str">
            <v>C2987</v>
          </cell>
          <cell r="Q242" t="str">
            <v>SY0500022</v>
          </cell>
          <cell r="R242" t="str">
            <v>Bashoura\الباشورة</v>
          </cell>
        </row>
        <row r="243">
          <cell r="H243" t="str">
            <v>SY1200</v>
          </cell>
          <cell r="I243" t="str">
            <v>SY120004</v>
          </cell>
          <cell r="J243" t="str">
            <v>Da'el\داعل</v>
          </cell>
          <cell r="L243" t="str">
            <v>SY020201</v>
          </cell>
          <cell r="M243" t="str">
            <v>C1232</v>
          </cell>
          <cell r="N243" t="str">
            <v>Qatar\قطر</v>
          </cell>
          <cell r="P243" t="str">
            <v>C2987</v>
          </cell>
          <cell r="Q243" t="str">
            <v>SY0500031</v>
          </cell>
          <cell r="R243" t="str">
            <v>Dabagha\الدباغة</v>
          </cell>
        </row>
        <row r="244">
          <cell r="H244" t="str">
            <v>SY1200</v>
          </cell>
          <cell r="I244" t="str">
            <v>SY120005</v>
          </cell>
          <cell r="J244" t="str">
            <v>Mzeireb\مزيريب</v>
          </cell>
          <cell r="L244" t="str">
            <v>SY020201</v>
          </cell>
          <cell r="M244" t="str">
            <v>C1227</v>
          </cell>
          <cell r="N244" t="str">
            <v>Sarhan\سرحان</v>
          </cell>
          <cell r="P244" t="str">
            <v>C2987</v>
          </cell>
          <cell r="Q244" t="str">
            <v>SY0500015</v>
          </cell>
          <cell r="R244" t="str">
            <v>Dahriyeh\الضاهرية</v>
          </cell>
        </row>
        <row r="245">
          <cell r="H245" t="str">
            <v>SY1200</v>
          </cell>
          <cell r="I245" t="str">
            <v>SY120006</v>
          </cell>
          <cell r="J245" t="str">
            <v>Jizeh\الجيزة</v>
          </cell>
          <cell r="L245" t="str">
            <v>SY020201</v>
          </cell>
          <cell r="M245" t="str">
            <v>C1229</v>
          </cell>
          <cell r="N245" t="str">
            <v>Sheikh Dan\شيخ دن</v>
          </cell>
          <cell r="P245" t="str">
            <v>C2987</v>
          </cell>
          <cell r="Q245" t="str">
            <v>SY0500038</v>
          </cell>
          <cell r="R245" t="str">
            <v>Ein Al Louzeh\عين اللوزة</v>
          </cell>
        </row>
        <row r="246">
          <cell r="H246" t="str">
            <v>SY1200</v>
          </cell>
          <cell r="I246" t="str">
            <v>SY120007</v>
          </cell>
          <cell r="J246" t="str">
            <v>Mseifra\المسيفرة</v>
          </cell>
          <cell r="L246" t="str">
            <v>SY020201</v>
          </cell>
          <cell r="M246" t="str">
            <v>C1219</v>
          </cell>
          <cell r="N246" t="str">
            <v>Tadaf\تادف</v>
          </cell>
          <cell r="P246" t="str">
            <v>C2987</v>
          </cell>
          <cell r="Q246" t="str">
            <v>SY0500037</v>
          </cell>
          <cell r="R246" t="str">
            <v>Frayeh\الفراية</v>
          </cell>
        </row>
        <row r="247">
          <cell r="H247" t="str">
            <v>SY1202</v>
          </cell>
          <cell r="I247" t="str">
            <v>SY120200</v>
          </cell>
          <cell r="J247" t="str">
            <v>As-Sanamayn\مركز الصنمين</v>
          </cell>
          <cell r="L247" t="str">
            <v>SY020201</v>
          </cell>
          <cell r="M247" t="str">
            <v>C1222</v>
          </cell>
          <cell r="N247" t="str">
            <v>Toman\طومان</v>
          </cell>
          <cell r="P247" t="str">
            <v>C2987</v>
          </cell>
          <cell r="Q247" t="str">
            <v>SY0500054</v>
          </cell>
          <cell r="R247" t="str">
            <v>Granada\غرناطة</v>
          </cell>
        </row>
        <row r="248">
          <cell r="H248" t="str">
            <v>SY1202</v>
          </cell>
          <cell r="I248" t="str">
            <v>SY120201</v>
          </cell>
          <cell r="J248" t="str">
            <v>Masmiyyeh\المسمية</v>
          </cell>
          <cell r="L248" t="str">
            <v>SY020201</v>
          </cell>
          <cell r="M248" t="str">
            <v>C1224</v>
          </cell>
          <cell r="N248" t="str">
            <v>Um Khorzet Elbab\أم خرزة الباب</v>
          </cell>
          <cell r="P248" t="str">
            <v>C2987</v>
          </cell>
          <cell r="Q248" t="str">
            <v>SY0500053</v>
          </cell>
          <cell r="R248" t="str">
            <v>Hameidiyyeh\الحميدية</v>
          </cell>
        </row>
        <row r="249">
          <cell r="H249" t="str">
            <v>SY1202</v>
          </cell>
          <cell r="I249" t="str">
            <v>SY120202</v>
          </cell>
          <cell r="J249" t="str">
            <v>Ghabagheb\غباغب</v>
          </cell>
          <cell r="L249" t="str">
            <v>SY020202</v>
          </cell>
          <cell r="M249" t="str">
            <v>C1241</v>
          </cell>
          <cell r="N249" t="str">
            <v>Akula\عاكولة</v>
          </cell>
          <cell r="P249" t="str">
            <v>C2987</v>
          </cell>
          <cell r="Q249" t="str">
            <v>SY0500033</v>
          </cell>
          <cell r="R249" t="str">
            <v>Hawarneh\الحوارنة</v>
          </cell>
        </row>
        <row r="250">
          <cell r="H250" t="str">
            <v>SY1203</v>
          </cell>
          <cell r="I250" t="str">
            <v>SY120300</v>
          </cell>
          <cell r="J250" t="str">
            <v>Izra'\مركز ازرع</v>
          </cell>
          <cell r="L250" t="str">
            <v>SY020202</v>
          </cell>
          <cell r="M250" t="str">
            <v>C1242</v>
          </cell>
          <cell r="N250" t="str">
            <v>Big Hmeimeh\حميمة كبيرة</v>
          </cell>
          <cell r="P250" t="str">
            <v>C2987</v>
          </cell>
          <cell r="Q250" t="str">
            <v>SY0500035</v>
          </cell>
          <cell r="R250" t="str">
            <v>Jalaa\الجلاء</v>
          </cell>
        </row>
        <row r="251">
          <cell r="H251" t="str">
            <v>SY1203</v>
          </cell>
          <cell r="I251" t="str">
            <v>SY120301</v>
          </cell>
          <cell r="J251" t="str">
            <v>Jasim\جاسم</v>
          </cell>
          <cell r="L251" t="str">
            <v>SY020202</v>
          </cell>
          <cell r="M251" t="str">
            <v>C1240</v>
          </cell>
          <cell r="N251" t="str">
            <v>Dayr Hafir\دير حافر</v>
          </cell>
          <cell r="P251" t="str">
            <v>C2987</v>
          </cell>
          <cell r="Q251" t="str">
            <v>SY0500025</v>
          </cell>
          <cell r="R251" t="str">
            <v>Jarajmeh\الجراجمة</v>
          </cell>
        </row>
        <row r="252">
          <cell r="H252" t="str">
            <v>SY1203</v>
          </cell>
          <cell r="I252" t="str">
            <v>SY120302</v>
          </cell>
          <cell r="J252" t="str">
            <v>Hrak\الحراك</v>
          </cell>
          <cell r="L252" t="str">
            <v>SY020202</v>
          </cell>
          <cell r="M252" t="str">
            <v>C1236</v>
          </cell>
          <cell r="N252" t="str">
            <v>Hazaza\حزازة</v>
          </cell>
          <cell r="P252" t="str">
            <v>C2987</v>
          </cell>
          <cell r="Q252" t="str">
            <v>SY0500028</v>
          </cell>
          <cell r="R252" t="str">
            <v>Kazou\كازو</v>
          </cell>
        </row>
        <row r="253">
          <cell r="H253" t="str">
            <v>SY1203</v>
          </cell>
          <cell r="I253" t="str">
            <v>SY120303</v>
          </cell>
          <cell r="J253" t="str">
            <v>Nawa \نوى</v>
          </cell>
          <cell r="L253" t="str">
            <v>SY020202</v>
          </cell>
          <cell r="M253" t="str">
            <v>C1245</v>
          </cell>
          <cell r="N253" t="str">
            <v>Little Hmeimeh\حميمة صغيرة</v>
          </cell>
          <cell r="P253" t="str">
            <v>C2987</v>
          </cell>
          <cell r="Q253" t="str">
            <v>SY0500023</v>
          </cell>
          <cell r="R253" t="str">
            <v>Madina\المدينة</v>
          </cell>
        </row>
        <row r="254">
          <cell r="H254" t="str">
            <v>SY1203</v>
          </cell>
          <cell r="I254" t="str">
            <v>SY120304</v>
          </cell>
          <cell r="J254" t="str">
            <v>Sheikh Miskine\الشيخ مسكين</v>
          </cell>
          <cell r="L254" t="str">
            <v>SY020202</v>
          </cell>
          <cell r="M254" t="str">
            <v>C1246</v>
          </cell>
          <cell r="N254" t="str">
            <v>Mabuja\مبعوجة</v>
          </cell>
          <cell r="P254" t="str">
            <v>C2987</v>
          </cell>
          <cell r="Q254" t="str">
            <v>SY0500036</v>
          </cell>
          <cell r="R254" t="str">
            <v>Mahalbeh\المحالبة</v>
          </cell>
        </row>
        <row r="255">
          <cell r="H255" t="str">
            <v>SY1203</v>
          </cell>
          <cell r="I255" t="str">
            <v>SY120305</v>
          </cell>
          <cell r="J255" t="str">
            <v>Tassil\تسيل</v>
          </cell>
          <cell r="L255" t="str">
            <v>SY020202</v>
          </cell>
          <cell r="M255" t="str">
            <v>C1243</v>
          </cell>
          <cell r="N255" t="str">
            <v>Southern Rasm Elharmal\رسم الحرمل الجنوبي</v>
          </cell>
          <cell r="P255" t="str">
            <v>C2987</v>
          </cell>
          <cell r="Q255" t="str">
            <v>SY0500026</v>
          </cell>
          <cell r="R255" t="str">
            <v>Mohafaza\المحافظة</v>
          </cell>
        </row>
        <row r="256">
          <cell r="H256" t="str">
            <v>SY1300</v>
          </cell>
          <cell r="I256" t="str">
            <v>SY130000</v>
          </cell>
          <cell r="J256" t="str">
            <v>As-Sweida\مركز السويداء</v>
          </cell>
          <cell r="L256" t="str">
            <v>SY020202</v>
          </cell>
          <cell r="M256" t="str">
            <v>C1238</v>
          </cell>
          <cell r="N256" t="str">
            <v>Tal Ayub\تل أيوب</v>
          </cell>
          <cell r="P256" t="str">
            <v>C2987</v>
          </cell>
          <cell r="Q256" t="str">
            <v>SY0500039</v>
          </cell>
          <cell r="R256" t="str">
            <v>Nasr\النصر</v>
          </cell>
        </row>
        <row r="257">
          <cell r="H257" t="str">
            <v>SY1300</v>
          </cell>
          <cell r="I257" t="str">
            <v>SY130001</v>
          </cell>
          <cell r="J257" t="str">
            <v>Mazra'a\المزرعة</v>
          </cell>
          <cell r="L257" t="str">
            <v>SY020202</v>
          </cell>
          <cell r="M257" t="str">
            <v>C1239</v>
          </cell>
          <cell r="N257" t="str">
            <v>Um Elmara\أم المرا</v>
          </cell>
          <cell r="P257" t="str">
            <v>C2987</v>
          </cell>
          <cell r="Q257" t="str">
            <v>SY0500044</v>
          </cell>
          <cell r="R257" t="str">
            <v>Riyadi\الرياضي</v>
          </cell>
        </row>
        <row r="258">
          <cell r="H258" t="str">
            <v>SY1300</v>
          </cell>
          <cell r="I258" t="str">
            <v>SY130002</v>
          </cell>
          <cell r="J258" t="str">
            <v>Mashnaf\المشنف</v>
          </cell>
          <cell r="L258" t="str">
            <v>SY020202</v>
          </cell>
          <cell r="M258" t="str">
            <v>C1244</v>
          </cell>
          <cell r="N258" t="str">
            <v>Um Zleila\أم زليلة</v>
          </cell>
          <cell r="P258" t="str">
            <v>C2987</v>
          </cell>
          <cell r="Q258" t="str">
            <v>SY0500056</v>
          </cell>
          <cell r="R258" t="str">
            <v>Sabil\السبيل</v>
          </cell>
        </row>
        <row r="259">
          <cell r="H259" t="str">
            <v>SY1302</v>
          </cell>
          <cell r="I259" t="str">
            <v>SY130200</v>
          </cell>
          <cell r="J259" t="str">
            <v>Salkhad\مركز صلخد</v>
          </cell>
          <cell r="L259" t="str">
            <v>SY020202</v>
          </cell>
          <cell r="M259" t="str">
            <v>C1237</v>
          </cell>
          <cell r="N259" t="str">
            <v>Zubayda\زبيدة</v>
          </cell>
          <cell r="P259" t="str">
            <v>C2987</v>
          </cell>
          <cell r="Q259" t="str">
            <v>SY0500043</v>
          </cell>
          <cell r="R259" t="str">
            <v>Sabouniyeh\صابونية</v>
          </cell>
        </row>
        <row r="260">
          <cell r="H260" t="str">
            <v>SY1302</v>
          </cell>
          <cell r="I260" t="str">
            <v>SY130201</v>
          </cell>
          <cell r="J260" t="str">
            <v>Qarayya\القريا</v>
          </cell>
          <cell r="L260" t="str">
            <v>SY020203</v>
          </cell>
          <cell r="M260" t="str">
            <v>C1260</v>
          </cell>
          <cell r="N260" t="str">
            <v>Ameriyeh\العامرية</v>
          </cell>
          <cell r="P260" t="str">
            <v>C2987</v>
          </cell>
          <cell r="Q260" t="str">
            <v>SY0500012</v>
          </cell>
          <cell r="R260" t="str">
            <v>Shahbaa\الشهباء</v>
          </cell>
        </row>
        <row r="261">
          <cell r="H261" t="str">
            <v>SY1302</v>
          </cell>
          <cell r="I261" t="str">
            <v>SY130202</v>
          </cell>
          <cell r="J261" t="str">
            <v>Gharyeh\الغارية</v>
          </cell>
          <cell r="L261" t="str">
            <v>SY020203</v>
          </cell>
          <cell r="M261" t="str">
            <v>C1250</v>
          </cell>
          <cell r="N261" t="str">
            <v>Ar-Ra'ee\الراعي</v>
          </cell>
          <cell r="P261" t="str">
            <v>C2987</v>
          </cell>
          <cell r="Q261" t="str">
            <v>SY0500052</v>
          </cell>
          <cell r="R261" t="str">
            <v>Shamaliyeh\الشمالية</v>
          </cell>
        </row>
        <row r="262">
          <cell r="H262" t="str">
            <v>SY1302</v>
          </cell>
          <cell r="I262" t="str">
            <v>SY130203</v>
          </cell>
          <cell r="J262" t="str">
            <v>Thibeen\ذيبين</v>
          </cell>
          <cell r="L262" t="str">
            <v>SY020203</v>
          </cell>
          <cell r="M262" t="str">
            <v>C1264</v>
          </cell>
          <cell r="N262" t="str">
            <v>Atharia\الأثرية</v>
          </cell>
          <cell r="P262" t="str">
            <v>C2987</v>
          </cell>
          <cell r="Q262" t="str">
            <v>SY0500041</v>
          </cell>
          <cell r="R262" t="str">
            <v>Shari'a\الشريعة</v>
          </cell>
        </row>
        <row r="263">
          <cell r="H263" t="str">
            <v>SY1302</v>
          </cell>
          <cell r="I263" t="str">
            <v>SY130204</v>
          </cell>
          <cell r="J263" t="str">
            <v>Milh\ملح</v>
          </cell>
          <cell r="L263" t="str">
            <v>SY020203</v>
          </cell>
          <cell r="M263" t="str">
            <v>C1270</v>
          </cell>
          <cell r="N263" t="str">
            <v>Ayyasha\عياشة</v>
          </cell>
          <cell r="P263" t="str">
            <v>C2987</v>
          </cell>
          <cell r="Q263" t="str">
            <v>SY0500032</v>
          </cell>
          <cell r="R263" t="str">
            <v>Souq Ash Shajra\سوق الشجرة</v>
          </cell>
        </row>
        <row r="264">
          <cell r="H264" t="str">
            <v>SY1303</v>
          </cell>
          <cell r="I264" t="str">
            <v>SY130300</v>
          </cell>
          <cell r="J264" t="str">
            <v>Shahba\مركز شهبا</v>
          </cell>
          <cell r="L264" t="str">
            <v>SY020203</v>
          </cell>
          <cell r="M264" t="str">
            <v>C1272</v>
          </cell>
          <cell r="N264" t="str">
            <v>Bab Laymun\باب ليمون</v>
          </cell>
          <cell r="P264" t="str">
            <v>C2987</v>
          </cell>
          <cell r="Q264" t="str">
            <v>SY0500013</v>
          </cell>
          <cell r="R264" t="str">
            <v>Tishrine\تشرين</v>
          </cell>
        </row>
        <row r="265">
          <cell r="H265" t="str">
            <v>SY1303</v>
          </cell>
          <cell r="I265" t="str">
            <v>SY130301</v>
          </cell>
          <cell r="J265" t="str">
            <v>Shaqa\شقا</v>
          </cell>
          <cell r="L265" t="str">
            <v>SY020203</v>
          </cell>
          <cell r="M265" t="str">
            <v>C1273</v>
          </cell>
          <cell r="N265" t="str">
            <v>Hadabat\هضبات</v>
          </cell>
          <cell r="P265" t="str">
            <v>C2987</v>
          </cell>
          <cell r="Q265" t="str">
            <v>SY0500011</v>
          </cell>
          <cell r="R265" t="str">
            <v>Zanbaqi\الزنبقي</v>
          </cell>
        </row>
        <row r="266">
          <cell r="H266" t="str">
            <v>SY1303</v>
          </cell>
          <cell r="I266" t="str">
            <v>SY130302</v>
          </cell>
          <cell r="J266" t="str">
            <v>Ariqa\العريقة</v>
          </cell>
          <cell r="L266" t="str">
            <v>SY020203</v>
          </cell>
          <cell r="M266" t="str">
            <v>C1253</v>
          </cell>
          <cell r="N266" t="str">
            <v>Haji Kusa\حاجي كوسة</v>
          </cell>
          <cell r="P266" t="str">
            <v>C3480</v>
          </cell>
          <cell r="Q266" t="str">
            <v>SY0600033</v>
          </cell>
          <cell r="R266" t="str">
            <v>7 Nisan\السابع من نيسان</v>
          </cell>
        </row>
        <row r="267">
          <cell r="H267" t="str">
            <v>SY1303</v>
          </cell>
          <cell r="I267" t="str">
            <v>SY130303</v>
          </cell>
          <cell r="J267" t="str">
            <v>Little Sura\الصورة الصغيرة</v>
          </cell>
          <cell r="L267" t="str">
            <v>SY020203</v>
          </cell>
          <cell r="M267" t="str">
            <v>C1252</v>
          </cell>
          <cell r="N267" t="str">
            <v>Haji Wali\حاجي ولي</v>
          </cell>
          <cell r="P267" t="str">
            <v>C3480</v>
          </cell>
          <cell r="Q267" t="str">
            <v>SY0600052</v>
          </cell>
          <cell r="R267" t="str">
            <v>Al Asad\الأسد</v>
          </cell>
        </row>
        <row r="268">
          <cell r="H268" t="str">
            <v>SY1400</v>
          </cell>
          <cell r="I268" t="str">
            <v>SY140000</v>
          </cell>
          <cell r="J268" t="str">
            <v>Quneitra\مركز القنيطرة</v>
          </cell>
          <cell r="L268" t="str">
            <v>SY020203</v>
          </cell>
          <cell r="M268" t="str">
            <v>C1251</v>
          </cell>
          <cell r="N268" t="str">
            <v>Hleisa\حليصة</v>
          </cell>
          <cell r="P268" t="str">
            <v>C3480</v>
          </cell>
          <cell r="Q268" t="str">
            <v>SY0600031</v>
          </cell>
          <cell r="R268" t="str">
            <v>Al- Thawrah\الثورة</v>
          </cell>
        </row>
        <row r="269">
          <cell r="H269" t="str">
            <v>SY1400</v>
          </cell>
          <cell r="I269" t="str">
            <v>SY140001</v>
          </cell>
          <cell r="J269" t="str">
            <v>Khan Arnaba\خان أرنبة</v>
          </cell>
          <cell r="L269" t="str">
            <v>SY020203</v>
          </cell>
          <cell r="M269" t="str">
            <v>C1256</v>
          </cell>
          <cell r="N269" t="str">
            <v>Jbine\جبين</v>
          </cell>
          <cell r="P269" t="str">
            <v>C3480</v>
          </cell>
          <cell r="Q269" t="str">
            <v>SY0600032</v>
          </cell>
          <cell r="R269" t="str">
            <v>Baath\البعث</v>
          </cell>
        </row>
        <row r="270">
          <cell r="H270" t="str">
            <v>SY1400</v>
          </cell>
          <cell r="I270" t="str">
            <v>SY140002</v>
          </cell>
          <cell r="J270" t="str">
            <v>Al-Khashniyyeh\الخشنية</v>
          </cell>
          <cell r="L270" t="str">
            <v>SY020203</v>
          </cell>
          <cell r="M270" t="str">
            <v>C1274</v>
          </cell>
          <cell r="N270" t="str">
            <v>Karsanli\كرسنلي</v>
          </cell>
          <cell r="P270" t="str">
            <v>C3480</v>
          </cell>
          <cell r="Q270" t="str">
            <v>SY0600042</v>
          </cell>
          <cell r="R270" t="str">
            <v>Basnada\بسنادا</v>
          </cell>
        </row>
        <row r="271">
          <cell r="H271" t="str">
            <v>SY1400</v>
          </cell>
          <cell r="I271" t="str">
            <v>SY140003</v>
          </cell>
          <cell r="J271" t="str">
            <v>Masaada\مسعدة</v>
          </cell>
          <cell r="L271" t="str">
            <v>SY020203</v>
          </cell>
          <cell r="M271" t="str">
            <v>C1262</v>
          </cell>
          <cell r="N271" t="str">
            <v>Khalilieyh\خليلية</v>
          </cell>
          <cell r="P271" t="str">
            <v>C3480</v>
          </cell>
          <cell r="Q271" t="str">
            <v>SY0600022</v>
          </cell>
          <cell r="R271" t="str">
            <v>Jame'et Tishrine\جامعة تشرين</v>
          </cell>
        </row>
        <row r="272">
          <cell r="H272" t="str">
            <v>SY1402</v>
          </cell>
          <cell r="I272" t="str">
            <v>SY140200</v>
          </cell>
          <cell r="J272" t="str">
            <v>Fiq\مركز فيق</v>
          </cell>
          <cell r="L272" t="str">
            <v>SY020203</v>
          </cell>
          <cell r="M272" t="str">
            <v>C1249</v>
          </cell>
          <cell r="N272" t="str">
            <v>Matmana\المتمنة</v>
          </cell>
          <cell r="P272" t="str">
            <v>C3480</v>
          </cell>
          <cell r="Q272" t="str">
            <v>SY0600051</v>
          </cell>
          <cell r="R272" t="str">
            <v>Jomhouriyeh\الجمهورية</v>
          </cell>
        </row>
        <row r="273">
          <cell r="H273" t="str">
            <v>SY1402</v>
          </cell>
          <cell r="I273" t="str">
            <v>SY140201</v>
          </cell>
          <cell r="J273" t="str">
            <v>Al-Butayhah\البطيحة</v>
          </cell>
          <cell r="L273" t="str">
            <v>SY020203</v>
          </cell>
          <cell r="M273" t="str">
            <v>C1254</v>
          </cell>
          <cell r="N273" t="str">
            <v>Misannah Bab\المسنة الباب</v>
          </cell>
          <cell r="P273" t="str">
            <v>C3480</v>
          </cell>
          <cell r="Q273" t="str">
            <v>SY0600041</v>
          </cell>
          <cell r="R273" t="str">
            <v>Ogharit\أوغاريت</v>
          </cell>
        </row>
        <row r="274">
          <cell r="L274" t="str">
            <v>SY020203</v>
          </cell>
          <cell r="M274" t="str">
            <v>C1257</v>
          </cell>
          <cell r="N274" t="str">
            <v>Nahda\النهضة</v>
          </cell>
          <cell r="P274" t="str">
            <v>C3480</v>
          </cell>
          <cell r="Q274" t="str">
            <v>SY0600012</v>
          </cell>
          <cell r="R274" t="str">
            <v>Oweina\العوينة</v>
          </cell>
        </row>
        <row r="275">
          <cell r="L275" t="str">
            <v>SY020203</v>
          </cell>
          <cell r="M275" t="str">
            <v>C1275</v>
          </cell>
          <cell r="N275" t="str">
            <v>Qantaret Elbab\قنطرة الباب</v>
          </cell>
          <cell r="P275" t="str">
            <v>C3480</v>
          </cell>
          <cell r="Q275" t="str">
            <v>SY0600015</v>
          </cell>
          <cell r="R275" t="str">
            <v>Qalaa\القلعة</v>
          </cell>
        </row>
        <row r="276">
          <cell r="L276" t="str">
            <v>SY020203</v>
          </cell>
          <cell r="M276" t="str">
            <v>C1248</v>
          </cell>
          <cell r="N276" t="str">
            <v>Sandi\صندي</v>
          </cell>
          <cell r="P276" t="str">
            <v>C3480</v>
          </cell>
          <cell r="Q276" t="str">
            <v>SY0600021</v>
          </cell>
          <cell r="R276" t="str">
            <v>Quds\القدس</v>
          </cell>
        </row>
        <row r="277">
          <cell r="L277" t="str">
            <v>SY020203</v>
          </cell>
          <cell r="M277" t="str">
            <v>C1255</v>
          </cell>
          <cell r="N277" t="str">
            <v>Shawa\شاوة</v>
          </cell>
          <cell r="P277" t="str">
            <v>C3480</v>
          </cell>
          <cell r="Q277" t="str">
            <v>SY0600011</v>
          </cell>
          <cell r="R277" t="str">
            <v>Sheikh Daher\الشيخ ضاهر</v>
          </cell>
        </row>
        <row r="278">
          <cell r="L278" t="str">
            <v>SY020203</v>
          </cell>
          <cell r="M278" t="str">
            <v>C1261</v>
          </cell>
          <cell r="N278" t="str">
            <v>Silsileh\سلسلة</v>
          </cell>
          <cell r="P278" t="str">
            <v>C3480</v>
          </cell>
          <cell r="Q278" t="str">
            <v>SY0600013</v>
          </cell>
          <cell r="R278" t="str">
            <v>Sleiba\الصليبة</v>
          </cell>
        </row>
        <row r="279">
          <cell r="L279" t="str">
            <v>SY020203</v>
          </cell>
          <cell r="M279" t="str">
            <v>C1271</v>
          </cell>
          <cell r="N279" t="str">
            <v>Tal Atieh\تل عطية</v>
          </cell>
          <cell r="P279" t="str">
            <v>C3480</v>
          </cell>
          <cell r="Q279" t="str">
            <v>SY0600014</v>
          </cell>
          <cell r="R279" t="str">
            <v>Tabiyat\الطابيات</v>
          </cell>
        </row>
        <row r="280">
          <cell r="L280" t="str">
            <v>SY020203</v>
          </cell>
          <cell r="M280" t="str">
            <v>C1267</v>
          </cell>
          <cell r="N280" t="str">
            <v>Tal Eisheh\تل عيشة</v>
          </cell>
          <cell r="P280" t="str">
            <v>C3480</v>
          </cell>
          <cell r="Q280" t="str">
            <v>SY0600034</v>
          </cell>
          <cell r="R280" t="str">
            <v>Tishrine\تشرين</v>
          </cell>
        </row>
        <row r="281">
          <cell r="L281" t="str">
            <v>SY020203</v>
          </cell>
          <cell r="M281" t="str">
            <v>C1269</v>
          </cell>
          <cell r="N281" t="str">
            <v>Tal Elhawa\تل الهوى</v>
          </cell>
          <cell r="P281" t="str">
            <v>C3871</v>
          </cell>
          <cell r="Q281" t="str">
            <v>SY0700021</v>
          </cell>
          <cell r="R281" t="str">
            <v>Ashrafiyeh\الأشرفية</v>
          </cell>
        </row>
        <row r="282">
          <cell r="L282" t="str">
            <v>SY020203</v>
          </cell>
          <cell r="M282" t="str">
            <v>C1258</v>
          </cell>
          <cell r="N282" t="str">
            <v>Tal Mizab\تل ميزاب</v>
          </cell>
          <cell r="P282" t="str">
            <v>C3871</v>
          </cell>
          <cell r="Q282" t="str">
            <v>SY0700042</v>
          </cell>
          <cell r="R282" t="str">
            <v>Hettin\حطين</v>
          </cell>
        </row>
        <row r="283">
          <cell r="L283" t="str">
            <v>SY020203</v>
          </cell>
          <cell r="M283" t="str">
            <v>C1263</v>
          </cell>
          <cell r="N283" t="str">
            <v>Tlilet Elbab\تليلة الباب</v>
          </cell>
          <cell r="P283" t="str">
            <v>C3871</v>
          </cell>
          <cell r="Q283" t="str">
            <v>SY0700041</v>
          </cell>
          <cell r="R283" t="str">
            <v>Hijaz\الحجاز</v>
          </cell>
        </row>
        <row r="284">
          <cell r="L284" t="str">
            <v>SY020203</v>
          </cell>
          <cell r="M284" t="str">
            <v>C1259</v>
          </cell>
          <cell r="N284" t="str">
            <v>Tweiran\طويران</v>
          </cell>
          <cell r="P284" t="str">
            <v>C3871</v>
          </cell>
          <cell r="Q284" t="str">
            <v>SY0700031</v>
          </cell>
          <cell r="R284" t="str">
            <v>Hurriyeh\الحرية</v>
          </cell>
        </row>
        <row r="285">
          <cell r="L285" t="str">
            <v>SY020203</v>
          </cell>
          <cell r="M285" t="str">
            <v>C1265</v>
          </cell>
          <cell r="N285" t="str">
            <v>Um Elthadaya Mamli\أم الثدايا_ماملي</v>
          </cell>
          <cell r="P285" t="str">
            <v>C3871</v>
          </cell>
          <cell r="Q285" t="str">
            <v>SY0700011</v>
          </cell>
          <cell r="R285" t="str">
            <v>Qosour\القصور</v>
          </cell>
        </row>
        <row r="286">
          <cell r="L286" t="str">
            <v>SY020203</v>
          </cell>
          <cell r="M286" t="str">
            <v>C1247</v>
          </cell>
          <cell r="N286" t="str">
            <v>Waqf\الوقف</v>
          </cell>
          <cell r="P286" t="str">
            <v>C3871</v>
          </cell>
          <cell r="Q286" t="str">
            <v>SY0700032</v>
          </cell>
          <cell r="R286" t="str">
            <v>Wasat Al Madinah\وسط المدينة</v>
          </cell>
        </row>
        <row r="287">
          <cell r="L287" t="str">
            <v>SY020203</v>
          </cell>
          <cell r="M287" t="str">
            <v>C1266</v>
          </cell>
          <cell r="N287" t="str">
            <v>Zalaf\زلف</v>
          </cell>
          <cell r="P287" t="str">
            <v>C4360</v>
          </cell>
          <cell r="Q287" t="str">
            <v>SY0800032</v>
          </cell>
          <cell r="R287" t="str">
            <v>16 Tishrine\16 تشرين</v>
          </cell>
        </row>
        <row r="288">
          <cell r="L288" t="str">
            <v>SY020203</v>
          </cell>
          <cell r="M288" t="str">
            <v>C1268</v>
          </cell>
          <cell r="N288" t="str">
            <v>Zyaret Elbab\زيارة الباب</v>
          </cell>
          <cell r="P288" t="str">
            <v>C4360</v>
          </cell>
          <cell r="Q288" t="str">
            <v>SY0800026</v>
          </cell>
          <cell r="R288" t="str">
            <v>Abu Amsha\أبو عمشة</v>
          </cell>
        </row>
        <row r="289">
          <cell r="L289" t="str">
            <v>SY020204</v>
          </cell>
          <cell r="M289" t="str">
            <v>C1276</v>
          </cell>
          <cell r="N289" t="str">
            <v>Abu Danneh\أبو ضنة</v>
          </cell>
          <cell r="P289" t="str">
            <v>C4360</v>
          </cell>
          <cell r="Q289" t="str">
            <v>SY0800036</v>
          </cell>
          <cell r="R289" t="str">
            <v>Abu Baker\أبو بكر</v>
          </cell>
        </row>
        <row r="290">
          <cell r="L290" t="str">
            <v>SY020204</v>
          </cell>
          <cell r="M290" t="str">
            <v>C1277</v>
          </cell>
          <cell r="N290" t="str">
            <v>Big Arbid\عربيد كبير</v>
          </cell>
          <cell r="P290" t="str">
            <v>C4360</v>
          </cell>
          <cell r="Q290" t="str">
            <v>SY0800015</v>
          </cell>
          <cell r="R290" t="str">
            <v>Al Askari\العسكري</v>
          </cell>
        </row>
        <row r="291">
          <cell r="L291" t="str">
            <v>SY020204</v>
          </cell>
          <cell r="M291" t="str">
            <v>C1290</v>
          </cell>
          <cell r="N291" t="str">
            <v>Dikwaneh\دكوانة</v>
          </cell>
          <cell r="P291" t="str">
            <v>C4360</v>
          </cell>
          <cell r="Q291" t="str">
            <v>SY0800024</v>
          </cell>
          <cell r="R291" t="str">
            <v>Al Ghazal\الغزل</v>
          </cell>
        </row>
        <row r="292">
          <cell r="L292" t="str">
            <v>SY020204</v>
          </cell>
          <cell r="M292" t="str">
            <v>C1294</v>
          </cell>
          <cell r="N292" t="str">
            <v>Eastern Kwaires \كويرس شرقي</v>
          </cell>
          <cell r="P292" t="str">
            <v>C4360</v>
          </cell>
          <cell r="Q292" t="str">
            <v>SY0800034</v>
          </cell>
          <cell r="R292" t="str">
            <v>Al Madina Al Riyadiah\المدينة الرياضية</v>
          </cell>
        </row>
        <row r="293">
          <cell r="L293" t="str">
            <v>SY020204</v>
          </cell>
          <cell r="M293" t="str">
            <v>C1288</v>
          </cell>
          <cell r="N293" t="str">
            <v>Efesh\عفش</v>
          </cell>
          <cell r="P293" t="str">
            <v>C4360</v>
          </cell>
          <cell r="Q293" t="str">
            <v>SY0800013</v>
          </cell>
          <cell r="R293" t="str">
            <v>Al Mal'ab Al Baladi\الملعب البلدي</v>
          </cell>
        </row>
        <row r="294">
          <cell r="L294" t="str">
            <v>SY020204</v>
          </cell>
          <cell r="M294" t="str">
            <v>C1285</v>
          </cell>
          <cell r="N294" t="str">
            <v>Ein Eljamajmeh\عين الجماجمة</v>
          </cell>
          <cell r="P294" t="str">
            <v>C4360</v>
          </cell>
          <cell r="Q294" t="str">
            <v>SY0800025</v>
          </cell>
          <cell r="R294" t="str">
            <v>Al Mashfa Al Watani\المشفى الوطني</v>
          </cell>
        </row>
        <row r="295">
          <cell r="L295" t="str">
            <v>SY020204</v>
          </cell>
          <cell r="M295" t="str">
            <v>C1283</v>
          </cell>
          <cell r="N295" t="str">
            <v>Halabiyeh\الحلبية</v>
          </cell>
          <cell r="P295" t="str">
            <v>C4360</v>
          </cell>
          <cell r="Q295" t="str">
            <v>SY0800022</v>
          </cell>
          <cell r="R295" t="str">
            <v>Al Mufti\المفتي</v>
          </cell>
        </row>
        <row r="296">
          <cell r="L296" t="str">
            <v>SY020204</v>
          </cell>
          <cell r="M296" t="str">
            <v>C1282</v>
          </cell>
          <cell r="N296" t="str">
            <v>Jaberiyeh\الجابرية</v>
          </cell>
          <cell r="P296" t="str">
            <v>C4360</v>
          </cell>
          <cell r="Q296" t="str">
            <v>SY0800023</v>
          </cell>
          <cell r="R296" t="str">
            <v>Al Tala'e'\الطلائع</v>
          </cell>
        </row>
        <row r="297">
          <cell r="L297" t="str">
            <v>SY020204</v>
          </cell>
          <cell r="M297" t="str">
            <v>C1280</v>
          </cell>
          <cell r="N297" t="str">
            <v>Jbul\الجبول</v>
          </cell>
          <cell r="P297" t="str">
            <v>C4360</v>
          </cell>
          <cell r="Q297" t="str">
            <v>SY0800011</v>
          </cell>
          <cell r="R297" t="str">
            <v>Al Wusta\الوسطى</v>
          </cell>
        </row>
        <row r="298">
          <cell r="L298" t="str">
            <v>SY020204</v>
          </cell>
          <cell r="M298" t="str">
            <v>C6304</v>
          </cell>
          <cell r="N298" t="str">
            <v>Jeb Elsafa\جب الصفا</v>
          </cell>
          <cell r="P298" t="str">
            <v>C4360</v>
          </cell>
          <cell r="Q298" t="str">
            <v>SY0800031</v>
          </cell>
          <cell r="R298" t="str">
            <v>Ath- Thawrah\الثورة</v>
          </cell>
        </row>
        <row r="299">
          <cell r="L299" t="str">
            <v>SY020204</v>
          </cell>
          <cell r="M299" t="str">
            <v>C1296</v>
          </cell>
          <cell r="N299" t="str">
            <v>Kaskis\كصكيص</v>
          </cell>
          <cell r="P299" t="str">
            <v>C4360</v>
          </cell>
          <cell r="Q299" t="str">
            <v>SY0800046</v>
          </cell>
          <cell r="R299" t="str">
            <v>Baytara\البيطرة</v>
          </cell>
        </row>
        <row r="300">
          <cell r="L300" t="str">
            <v>SY020204</v>
          </cell>
          <cell r="M300" t="str">
            <v>C1284</v>
          </cell>
          <cell r="N300" t="str">
            <v>Mufliseh\المفلسة</v>
          </cell>
          <cell r="P300" t="str">
            <v>C4360</v>
          </cell>
          <cell r="Q300" t="str">
            <v>SY0800053</v>
          </cell>
          <cell r="R300" t="str">
            <v>Feilat\الفيلات</v>
          </cell>
        </row>
        <row r="301">
          <cell r="L301" t="str">
            <v>SY020204</v>
          </cell>
          <cell r="M301" t="str">
            <v>C1287</v>
          </cell>
          <cell r="N301" t="str">
            <v>Rasm Elabed\رسم العبد</v>
          </cell>
          <cell r="P301" t="str">
            <v>C4360</v>
          </cell>
          <cell r="Q301" t="str">
            <v>SY0800044</v>
          </cell>
          <cell r="R301" t="str">
            <v>Kalaseh\الكلاسة</v>
          </cell>
        </row>
        <row r="302">
          <cell r="L302" t="str">
            <v>SY020204</v>
          </cell>
          <cell r="M302" t="str">
            <v>C1291</v>
          </cell>
          <cell r="N302" t="str">
            <v>Sein\السين</v>
          </cell>
          <cell r="P302" t="str">
            <v>C4360</v>
          </cell>
          <cell r="Q302" t="str">
            <v>SY0800054</v>
          </cell>
          <cell r="R302" t="str">
            <v>Khabour\الخابور</v>
          </cell>
        </row>
        <row r="303">
          <cell r="L303" t="str">
            <v>SY020204</v>
          </cell>
          <cell r="M303" t="str">
            <v>C1278</v>
          </cell>
          <cell r="N303" t="str">
            <v>Sheikh Ahmed\شيخ أحمد</v>
          </cell>
          <cell r="P303" t="str">
            <v>C4360</v>
          </cell>
          <cell r="Q303" t="str">
            <v>SY0800052</v>
          </cell>
          <cell r="R303" t="str">
            <v>Leiliyeh\الليلية</v>
          </cell>
        </row>
        <row r="304">
          <cell r="L304" t="str">
            <v>SY020204</v>
          </cell>
          <cell r="M304" t="str">
            <v>C1293</v>
          </cell>
          <cell r="N304" t="str">
            <v>Tal Ahmar Elbab\تل احمر الباب</v>
          </cell>
          <cell r="P304" t="str">
            <v>C4360</v>
          </cell>
          <cell r="Q304" t="str">
            <v>SY0800051</v>
          </cell>
          <cell r="R304" t="str">
            <v>Masaken\المساكن</v>
          </cell>
        </row>
        <row r="305">
          <cell r="L305" t="str">
            <v>SY020204</v>
          </cell>
          <cell r="M305" t="str">
            <v>C1289</v>
          </cell>
          <cell r="N305" t="str">
            <v>Tal Maksur\تل مكسور</v>
          </cell>
          <cell r="P305" t="str">
            <v>C4360</v>
          </cell>
          <cell r="Q305" t="str">
            <v>SY0800047</v>
          </cell>
          <cell r="R305" t="str">
            <v>Mashtal\المشتل</v>
          </cell>
        </row>
        <row r="306">
          <cell r="L306" t="str">
            <v>SY020204</v>
          </cell>
          <cell r="M306" t="str">
            <v>C1292</v>
          </cell>
          <cell r="N306" t="str">
            <v>Tal Sabeen\تل سبعين</v>
          </cell>
          <cell r="P306" t="str">
            <v>C4360</v>
          </cell>
          <cell r="Q306" t="str">
            <v>SY0800014</v>
          </cell>
          <cell r="R306" t="str">
            <v>Matar Janoubi\المطار الجنوبي</v>
          </cell>
        </row>
        <row r="307">
          <cell r="L307" t="str">
            <v>SY020204</v>
          </cell>
          <cell r="M307" t="str">
            <v>C1279</v>
          </cell>
          <cell r="N307" t="str">
            <v>Tiba Elesm\طيبة الاسم</v>
          </cell>
          <cell r="P307" t="str">
            <v>C4360</v>
          </cell>
          <cell r="Q307" t="str">
            <v>SY0800012</v>
          </cell>
          <cell r="R307" t="str">
            <v>Matar Shamali\المطار الشمالي</v>
          </cell>
        </row>
        <row r="308">
          <cell r="L308" t="str">
            <v>SY020204</v>
          </cell>
          <cell r="M308" t="str">
            <v>C1281</v>
          </cell>
          <cell r="N308" t="str">
            <v>Um Arkileh\أم أركيلة</v>
          </cell>
          <cell r="P308" t="str">
            <v>C4360</v>
          </cell>
          <cell r="Q308" t="str">
            <v>SY0800045</v>
          </cell>
          <cell r="R308" t="str">
            <v>M'eishiyeh\المعيشية</v>
          </cell>
        </row>
        <row r="309">
          <cell r="L309" t="str">
            <v>SY020204</v>
          </cell>
          <cell r="M309" t="str">
            <v>C1298</v>
          </cell>
          <cell r="N309" t="str">
            <v>Wadeeah\وديعة</v>
          </cell>
          <cell r="P309" t="str">
            <v>C4360</v>
          </cell>
          <cell r="Q309" t="str">
            <v>SY0800042</v>
          </cell>
          <cell r="R309" t="str">
            <v>Msheirfeh\مشيرفة</v>
          </cell>
        </row>
        <row r="310">
          <cell r="L310" t="str">
            <v>SY020204</v>
          </cell>
          <cell r="M310" t="str">
            <v>C1295</v>
          </cell>
          <cell r="N310" t="str">
            <v>Western Kweires\كويرس غربي</v>
          </cell>
          <cell r="P310" t="str">
            <v>C4360</v>
          </cell>
          <cell r="Q310" t="str">
            <v>SY0800043</v>
          </cell>
          <cell r="R310" t="str">
            <v>Qosour\القصور</v>
          </cell>
        </row>
        <row r="311">
          <cell r="L311" t="str">
            <v>SY020205</v>
          </cell>
          <cell r="M311" t="str">
            <v>C1305</v>
          </cell>
          <cell r="N311" t="str">
            <v>Abu Jadha Salma\أبو جدحة_صلمة</v>
          </cell>
          <cell r="P311" t="str">
            <v>C4360</v>
          </cell>
          <cell r="Q311" t="str">
            <v>SY0800055</v>
          </cell>
          <cell r="R311" t="str">
            <v>Rusafa\الرصافة</v>
          </cell>
        </row>
        <row r="312">
          <cell r="L312" t="str">
            <v>SY020205</v>
          </cell>
          <cell r="M312" t="str">
            <v>C1316</v>
          </cell>
          <cell r="N312" t="str">
            <v>Ahmadia\أحمدية</v>
          </cell>
          <cell r="P312" t="str">
            <v>C4360</v>
          </cell>
          <cell r="Q312" t="str">
            <v>SY0800021</v>
          </cell>
          <cell r="R312" t="str">
            <v>Salhiyeh\الصالحية</v>
          </cell>
        </row>
        <row r="313">
          <cell r="L313" t="str">
            <v>SY020205</v>
          </cell>
          <cell r="M313" t="str">
            <v>C1304</v>
          </cell>
          <cell r="N313" t="str">
            <v>Bijan Elbab\بيجان الباب</v>
          </cell>
          <cell r="P313" t="str">
            <v>C4360</v>
          </cell>
          <cell r="Q313" t="str">
            <v>SY0800041</v>
          </cell>
          <cell r="R313" t="str">
            <v>Tal Hajar\تل حجر</v>
          </cell>
        </row>
        <row r="314">
          <cell r="L314" t="str">
            <v>SY020205</v>
          </cell>
          <cell r="M314" t="str">
            <v>C1306</v>
          </cell>
          <cell r="N314" t="str">
            <v>Jruf\جروف</v>
          </cell>
          <cell r="P314" t="str">
            <v>C4360</v>
          </cell>
          <cell r="Q314" t="str">
            <v>SY0800033</v>
          </cell>
          <cell r="R314" t="str">
            <v>Taqaddom\التقدم</v>
          </cell>
        </row>
        <row r="315">
          <cell r="L315" t="str">
            <v>SY020205</v>
          </cell>
          <cell r="M315" t="str">
            <v>C1310</v>
          </cell>
          <cell r="N315" t="str">
            <v>Kayariyeh\الكيارية</v>
          </cell>
          <cell r="P315" t="str">
            <v>C4360</v>
          </cell>
          <cell r="Q315" t="str">
            <v>SY0800035</v>
          </cell>
          <cell r="R315" t="str">
            <v>Zohour\الزهور</v>
          </cell>
        </row>
        <row r="316">
          <cell r="L316" t="str">
            <v>SY020205</v>
          </cell>
          <cell r="M316" t="str">
            <v>C1300</v>
          </cell>
          <cell r="N316" t="str">
            <v>Little Abu Jadha\أبو جدحة صغير</v>
          </cell>
          <cell r="P316" t="str">
            <v>C5086</v>
          </cell>
          <cell r="Q316" t="str">
            <v>SY0900031</v>
          </cell>
          <cell r="R316" t="str">
            <v>Abu Abed\أبو عابد</v>
          </cell>
        </row>
        <row r="317">
          <cell r="L317" t="str">
            <v>SY020205</v>
          </cell>
          <cell r="M317" t="str">
            <v>C1318</v>
          </cell>
          <cell r="N317" t="str">
            <v>Manatir Elsifer\مناطير الصفر</v>
          </cell>
          <cell r="P317" t="str">
            <v>C5086</v>
          </cell>
          <cell r="Q317" t="str">
            <v>SY0900021</v>
          </cell>
          <cell r="R317" t="str">
            <v>Al Jami' Al Kabeer wa Al Wasat\الجامع الكبير والوسط</v>
          </cell>
        </row>
        <row r="318">
          <cell r="L318" t="str">
            <v>SY020205</v>
          </cell>
          <cell r="M318" t="str">
            <v>C1319</v>
          </cell>
          <cell r="N318" t="str">
            <v>Mazbura\مزبورة</v>
          </cell>
          <cell r="P318" t="str">
            <v>C5086</v>
          </cell>
          <cell r="Q318" t="str">
            <v>SY0900022</v>
          </cell>
          <cell r="R318" t="str">
            <v>Ali Bek wa Abd Al Aziz\علي بك وعبد العزيز</v>
          </cell>
        </row>
        <row r="319">
          <cell r="L319" t="str">
            <v>SY020205</v>
          </cell>
          <cell r="M319" t="str">
            <v>C1320</v>
          </cell>
          <cell r="N319" t="str">
            <v>Nasr Allah\نصر الله</v>
          </cell>
          <cell r="P319" t="str">
            <v>C5086</v>
          </cell>
          <cell r="Q319" t="str">
            <v>SY0900013</v>
          </cell>
          <cell r="R319" t="str">
            <v>Ba'ajein\البعاجين</v>
          </cell>
        </row>
        <row r="320">
          <cell r="L320" t="str">
            <v>SY020205</v>
          </cell>
          <cell r="M320" t="str">
            <v>C1321</v>
          </cell>
          <cell r="N320" t="str">
            <v>Njara\نجارة</v>
          </cell>
          <cell r="P320" t="str">
            <v>C5086</v>
          </cell>
          <cell r="Q320" t="str">
            <v>SY0900033</v>
          </cell>
          <cell r="R320" t="str">
            <v>Hameidiyyeh\الحميدية</v>
          </cell>
        </row>
        <row r="321">
          <cell r="L321" t="str">
            <v>SY020205</v>
          </cell>
          <cell r="M321" t="str">
            <v>C1313</v>
          </cell>
          <cell r="N321" t="str">
            <v>Rasm Abbud\رسم عبود</v>
          </cell>
          <cell r="P321" t="str">
            <v>C5086</v>
          </cell>
          <cell r="Q321" t="str">
            <v>SY0900041</v>
          </cell>
          <cell r="R321" t="str">
            <v>Hettin\حطين</v>
          </cell>
        </row>
        <row r="322">
          <cell r="L322" t="str">
            <v>SY020205</v>
          </cell>
          <cell r="M322" t="str">
            <v>C1308</v>
          </cell>
          <cell r="N322" t="str">
            <v>Rasm Elkbar - Kherbet Zaaraya\رسم الكبار_خربة زعرايا</v>
          </cell>
          <cell r="P322" t="str">
            <v>C5086</v>
          </cell>
          <cell r="Q322" t="str">
            <v>SY0900042</v>
          </cell>
          <cell r="R322" t="str">
            <v>Maysalun\ميسلون</v>
          </cell>
        </row>
        <row r="323">
          <cell r="L323" t="str">
            <v>SY020205</v>
          </cell>
          <cell r="M323" t="str">
            <v>C1315</v>
          </cell>
          <cell r="N323" t="str">
            <v>Rasm Elkhabbaz\رسم الخباز</v>
          </cell>
          <cell r="P323" t="str">
            <v>C5086</v>
          </cell>
          <cell r="Q323" t="str">
            <v>SY0900023</v>
          </cell>
          <cell r="R323" t="str">
            <v>Othmaniyeh\العثمانية</v>
          </cell>
        </row>
        <row r="324">
          <cell r="L324" t="str">
            <v>SY020205</v>
          </cell>
          <cell r="M324" t="str">
            <v>C1312</v>
          </cell>
          <cell r="N324" t="str">
            <v>Rasm Elkibir - Ilkana\رسم الكبير_علكانة</v>
          </cell>
          <cell r="P324" t="str">
            <v>C5086</v>
          </cell>
          <cell r="Q324" t="str">
            <v>SY0900011</v>
          </cell>
          <cell r="R324" t="str">
            <v>Qosour\القصور</v>
          </cell>
        </row>
        <row r="325">
          <cell r="L325" t="str">
            <v>SY020205</v>
          </cell>
          <cell r="M325" t="str">
            <v>C1307</v>
          </cell>
          <cell r="N325" t="str">
            <v>Rasm Elkrum\رسم الكروم</v>
          </cell>
          <cell r="P325" t="str">
            <v>C5086</v>
          </cell>
          <cell r="Q325" t="str">
            <v>SY0900012</v>
          </cell>
          <cell r="R325" t="str">
            <v>Rashdiyeh\الرشدية</v>
          </cell>
        </row>
        <row r="326">
          <cell r="L326" t="str">
            <v>SY020205</v>
          </cell>
          <cell r="M326" t="str">
            <v>C1314</v>
          </cell>
          <cell r="N326" t="str">
            <v>Rasm Elsheikh\رسم الشيخ</v>
          </cell>
          <cell r="P326" t="str">
            <v>C5086</v>
          </cell>
          <cell r="Q326" t="str">
            <v>SY0900032</v>
          </cell>
          <cell r="R326" t="str">
            <v>Sheikh Yasin\الشيخ ياسين</v>
          </cell>
        </row>
        <row r="327">
          <cell r="L327" t="str">
            <v>SY020205</v>
          </cell>
          <cell r="M327" t="str">
            <v>C1309</v>
          </cell>
          <cell r="N327" t="str">
            <v>Rasm Haram El-Imam\رسم الحرمل الامام</v>
          </cell>
          <cell r="P327" t="str">
            <v>C5086</v>
          </cell>
          <cell r="Q327" t="str">
            <v>SY0900014</v>
          </cell>
          <cell r="R327" t="str">
            <v>Shuhuda\الشهداء</v>
          </cell>
        </row>
        <row r="328">
          <cell r="L328" t="str">
            <v>SY020205</v>
          </cell>
          <cell r="M328" t="str">
            <v>C1317</v>
          </cell>
          <cell r="N328" t="str">
            <v>Sharbaa\شربع</v>
          </cell>
          <cell r="P328" t="str">
            <v>C5086</v>
          </cell>
          <cell r="Q328" t="str">
            <v>SY0900043</v>
          </cell>
          <cell r="R328" t="str">
            <v>Tishrine\تشرين</v>
          </cell>
        </row>
        <row r="329">
          <cell r="L329" t="str">
            <v>SY020205</v>
          </cell>
          <cell r="M329" t="str">
            <v>C1303</v>
          </cell>
          <cell r="N329" t="str">
            <v>Tabara Madi\تبارة ماضي</v>
          </cell>
          <cell r="P329" t="str">
            <v>C5221</v>
          </cell>
          <cell r="Q329" t="str">
            <v>SY1000031</v>
          </cell>
          <cell r="R329" t="str">
            <v>Ghamqa\الغمقة</v>
          </cell>
        </row>
        <row r="330">
          <cell r="L330" t="str">
            <v>SY020205</v>
          </cell>
          <cell r="M330" t="str">
            <v>C1302</v>
          </cell>
          <cell r="N330" t="str">
            <v>Tal Elsus - Abu Sus\تل السوس_أبو سوس</v>
          </cell>
          <cell r="P330" t="str">
            <v>C5221</v>
          </cell>
          <cell r="Q330" t="str">
            <v>SY1000023</v>
          </cell>
          <cell r="R330" t="str">
            <v>Hamrat\الحمرات</v>
          </cell>
        </row>
        <row r="331">
          <cell r="L331" t="str">
            <v>SY020205</v>
          </cell>
          <cell r="M331" t="str">
            <v>C1299</v>
          </cell>
          <cell r="N331" t="str">
            <v>Tal Hattabat Elbab\تل حطابات الباب</v>
          </cell>
          <cell r="P331" t="str">
            <v>C5221</v>
          </cell>
          <cell r="Q331" t="str">
            <v>SY1000021</v>
          </cell>
          <cell r="R331" t="str">
            <v>Karama\الكرامة</v>
          </cell>
        </row>
        <row r="332">
          <cell r="L332" t="str">
            <v>SY020205</v>
          </cell>
          <cell r="M332" t="str">
            <v>C1311</v>
          </cell>
          <cell r="N332" t="str">
            <v>Um Elamad Rasm Elharmal\أم العمد رسم الحرمل</v>
          </cell>
          <cell r="P332" t="str">
            <v>C5221</v>
          </cell>
          <cell r="Q332" t="str">
            <v>SY1000042</v>
          </cell>
          <cell r="R332" t="str">
            <v>Mahatta\المحطة</v>
          </cell>
        </row>
        <row r="333">
          <cell r="L333" t="str">
            <v>SY020205</v>
          </cell>
          <cell r="M333" t="str">
            <v>C1301</v>
          </cell>
          <cell r="N333" t="str">
            <v>Zaaraya\زعرايا</v>
          </cell>
          <cell r="P333" t="str">
            <v>C5221</v>
          </cell>
          <cell r="Q333" t="str">
            <v>SY1000012</v>
          </cell>
          <cell r="R333" t="str">
            <v>Mala'ab\الملعب</v>
          </cell>
        </row>
        <row r="334">
          <cell r="L334" t="str">
            <v>SY020206</v>
          </cell>
          <cell r="M334" t="str">
            <v>C1329</v>
          </cell>
          <cell r="N334" t="str">
            <v>A'rima\العريمة</v>
          </cell>
          <cell r="P334" t="str">
            <v>C5221</v>
          </cell>
          <cell r="Q334" t="str">
            <v>SY1000011</v>
          </cell>
          <cell r="R334" t="str">
            <v>Mina\المينا</v>
          </cell>
        </row>
        <row r="335">
          <cell r="L335" t="str">
            <v>SY020206</v>
          </cell>
          <cell r="M335" t="str">
            <v>C1346</v>
          </cell>
          <cell r="N335" t="str">
            <v>Barshaya\برشايا</v>
          </cell>
          <cell r="P335" t="str">
            <v>C5221</v>
          </cell>
          <cell r="Q335" t="str">
            <v>SY1000041</v>
          </cell>
          <cell r="R335" t="str">
            <v>Rabieh\الرابية</v>
          </cell>
        </row>
        <row r="336">
          <cell r="L336" t="str">
            <v>SY020206</v>
          </cell>
          <cell r="M336" t="str">
            <v>C1349</v>
          </cell>
          <cell r="N336" t="str">
            <v>Big Nabata\نباتة كبيرة</v>
          </cell>
          <cell r="P336" t="str">
            <v>C5221</v>
          </cell>
          <cell r="Q336" t="str">
            <v>SY1000022</v>
          </cell>
          <cell r="R336" t="str">
            <v>Raml\الرمل</v>
          </cell>
        </row>
        <row r="337">
          <cell r="L337" t="str">
            <v>SY020206</v>
          </cell>
          <cell r="M337" t="str">
            <v>C1339</v>
          </cell>
          <cell r="N337" t="str">
            <v>Big Sukariyeh\سكرية كبيرة</v>
          </cell>
          <cell r="P337" t="str">
            <v>C5710</v>
          </cell>
          <cell r="Q337" t="str">
            <v>SY1100064</v>
          </cell>
          <cell r="R337" t="str">
            <v>Ad Dari'yeh\الدرعية</v>
          </cell>
        </row>
        <row r="338">
          <cell r="L338" t="str">
            <v>SY020206</v>
          </cell>
          <cell r="M338" t="str">
            <v>C1348</v>
          </cell>
          <cell r="N338" t="str">
            <v>Bir Tafreeah\تفريعة كبيرة</v>
          </cell>
          <cell r="P338" t="str">
            <v>C5710</v>
          </cell>
          <cell r="Q338" t="str">
            <v>SY1100032</v>
          </cell>
          <cell r="R338" t="str">
            <v>Al- Thawrah\الثورة</v>
          </cell>
        </row>
        <row r="339">
          <cell r="L339" t="str">
            <v>SY020206</v>
          </cell>
          <cell r="M339" t="str">
            <v>C1325</v>
          </cell>
          <cell r="N339" t="str">
            <v>Hjeileh - Elbab\الحجلية- الباب</v>
          </cell>
          <cell r="P339" t="str">
            <v>C5710</v>
          </cell>
          <cell r="Q339" t="str">
            <v>SY1100012</v>
          </cell>
          <cell r="R339" t="str">
            <v>Amin\الأمين</v>
          </cell>
        </row>
        <row r="340">
          <cell r="L340" t="str">
            <v>SY020206</v>
          </cell>
          <cell r="M340" t="str">
            <v>C1323</v>
          </cell>
          <cell r="N340" t="str">
            <v>Hota\حوتة</v>
          </cell>
          <cell r="P340" t="str">
            <v>C5710</v>
          </cell>
          <cell r="Q340" t="str">
            <v>SY1100044</v>
          </cell>
          <cell r="R340" t="str">
            <v>Ammar Ibn Yaser\عمار بن ياسر</v>
          </cell>
        </row>
        <row r="341">
          <cell r="L341" t="str">
            <v>SY020206</v>
          </cell>
          <cell r="M341" t="str">
            <v>C1331</v>
          </cell>
          <cell r="N341" t="str">
            <v>Ilan\ايلان</v>
          </cell>
          <cell r="P341" t="str">
            <v>C5710</v>
          </cell>
          <cell r="Q341" t="str">
            <v>SY1100021</v>
          </cell>
          <cell r="R341" t="str">
            <v>Andalus\الأندلس</v>
          </cell>
        </row>
        <row r="342">
          <cell r="L342" t="str">
            <v>SY020206</v>
          </cell>
          <cell r="M342" t="str">
            <v>C1340</v>
          </cell>
          <cell r="N342" t="str">
            <v>Jablet Elhamra\جبلة الحمرة</v>
          </cell>
          <cell r="P342" t="str">
            <v>C5710</v>
          </cell>
          <cell r="Q342" t="str">
            <v>SY1100034</v>
          </cell>
          <cell r="R342" t="str">
            <v>Baath\البعث</v>
          </cell>
        </row>
        <row r="343">
          <cell r="L343" t="str">
            <v>SY020206</v>
          </cell>
          <cell r="M343" t="str">
            <v>C1333</v>
          </cell>
          <cell r="N343" t="str">
            <v>Jeb Eldam Elbab\جب الدم الباب</v>
          </cell>
          <cell r="P343" t="str">
            <v>C5710</v>
          </cell>
          <cell r="Q343" t="str">
            <v>SY1100045</v>
          </cell>
          <cell r="R343" t="str">
            <v>Batani\البتاني</v>
          </cell>
        </row>
        <row r="344">
          <cell r="L344" t="str">
            <v>SY020206</v>
          </cell>
          <cell r="M344" t="str">
            <v>C1337</v>
          </cell>
          <cell r="N344" t="str">
            <v>Jeb Naassan\جب نعسان</v>
          </cell>
          <cell r="P344" t="str">
            <v>C5710</v>
          </cell>
          <cell r="Q344" t="str">
            <v>SY1100013</v>
          </cell>
          <cell r="R344" t="str">
            <v>Furat\الفرات</v>
          </cell>
        </row>
        <row r="345">
          <cell r="L345" t="str">
            <v>SY020206</v>
          </cell>
          <cell r="M345" t="str">
            <v>C1335</v>
          </cell>
          <cell r="N345" t="str">
            <v>Jeb Sultan\جب سلطان</v>
          </cell>
          <cell r="P345" t="str">
            <v>C5710</v>
          </cell>
          <cell r="Q345" t="str">
            <v>SY1100061</v>
          </cell>
          <cell r="R345" t="str">
            <v>Hettin\حطين</v>
          </cell>
        </row>
        <row r="346">
          <cell r="L346" t="str">
            <v>SY020206</v>
          </cell>
          <cell r="M346" t="str">
            <v>C1327</v>
          </cell>
          <cell r="N346" t="str">
            <v>Jurneyyeh\الجرنية</v>
          </cell>
          <cell r="P346" t="str">
            <v>C5710</v>
          </cell>
          <cell r="Q346" t="str">
            <v>SY1100053</v>
          </cell>
          <cell r="R346" t="str">
            <v>Hisham Ibn Abd Al Malek\هشام بن عبد الملك</v>
          </cell>
        </row>
        <row r="347">
          <cell r="L347" t="str">
            <v>SY020206</v>
          </cell>
          <cell r="M347" t="str">
            <v>C1330</v>
          </cell>
          <cell r="N347" t="str">
            <v>Kreidiyeh\الكريدية</v>
          </cell>
          <cell r="P347" t="str">
            <v>C5710</v>
          </cell>
          <cell r="Q347" t="str">
            <v>SY1100023</v>
          </cell>
          <cell r="R347" t="str">
            <v>Hurriyeh\الحرية</v>
          </cell>
        </row>
        <row r="348">
          <cell r="L348" t="str">
            <v>SY020206</v>
          </cell>
          <cell r="M348" t="str">
            <v>C1322</v>
          </cell>
          <cell r="N348" t="str">
            <v>Little Sukariyeh\سكرية صغيرة</v>
          </cell>
          <cell r="P348" t="str">
            <v>C5710</v>
          </cell>
          <cell r="Q348" t="str">
            <v>SY1100043</v>
          </cell>
          <cell r="R348" t="str">
            <v>Ma'amoun\المأمون</v>
          </cell>
        </row>
        <row r="349">
          <cell r="L349" t="str">
            <v>SY020206</v>
          </cell>
          <cell r="M349" t="str">
            <v>C1347</v>
          </cell>
          <cell r="N349" t="str">
            <v>Little Tafreeah\تفريعة صغيرة</v>
          </cell>
          <cell r="P349" t="str">
            <v>C5710</v>
          </cell>
          <cell r="Q349" t="str">
            <v>SY1100042</v>
          </cell>
          <cell r="R349" t="str">
            <v>Mahdi\المهدي</v>
          </cell>
        </row>
        <row r="350">
          <cell r="L350" t="str">
            <v>SY020206</v>
          </cell>
          <cell r="M350" t="str">
            <v>C1350</v>
          </cell>
          <cell r="N350" t="str">
            <v>Madiq Bu Azar\مضيق بو غاز</v>
          </cell>
          <cell r="P350" t="str">
            <v>C5710</v>
          </cell>
          <cell r="Q350" t="str">
            <v>SY1100041</v>
          </cell>
          <cell r="R350" t="str">
            <v>Mansour\المنصور</v>
          </cell>
        </row>
        <row r="351">
          <cell r="L351" t="str">
            <v>SY020206</v>
          </cell>
          <cell r="M351" t="str">
            <v>C1324</v>
          </cell>
          <cell r="N351" t="str">
            <v>Mazrufeh\المزروفة</v>
          </cell>
          <cell r="P351" t="str">
            <v>C5710</v>
          </cell>
          <cell r="Q351" t="str">
            <v>SY1100011</v>
          </cell>
          <cell r="R351" t="str">
            <v>Nahda\النهضة</v>
          </cell>
        </row>
        <row r="352">
          <cell r="L352" t="str">
            <v>SY020206</v>
          </cell>
          <cell r="M352" t="str">
            <v>C1328</v>
          </cell>
          <cell r="N352" t="str">
            <v>Olasha\أولاشة</v>
          </cell>
          <cell r="P352" t="str">
            <v>C5710</v>
          </cell>
          <cell r="Q352" t="str">
            <v>SY1100062</v>
          </cell>
          <cell r="R352" t="str">
            <v>Qadessiyeh\القادسية</v>
          </cell>
        </row>
        <row r="353">
          <cell r="L353" t="str">
            <v>SY020206</v>
          </cell>
          <cell r="M353" t="str">
            <v>C1326</v>
          </cell>
          <cell r="N353" t="str">
            <v>Omyaniye - Korhyok\العميانة_كورهيوك</v>
          </cell>
          <cell r="P353" t="str">
            <v>C5710</v>
          </cell>
          <cell r="Q353" t="str">
            <v>SY1100051</v>
          </cell>
          <cell r="R353" t="str">
            <v>Rafqa\الرافقة</v>
          </cell>
        </row>
        <row r="354">
          <cell r="L354" t="str">
            <v>SY020206</v>
          </cell>
          <cell r="M354" t="str">
            <v>C1338</v>
          </cell>
          <cell r="N354" t="str">
            <v>Oruba Bab - Arab Wiran\العروبة الباب_عرب ويران</v>
          </cell>
          <cell r="P354" t="str">
            <v>C5710</v>
          </cell>
          <cell r="Q354" t="str">
            <v>SY1100052</v>
          </cell>
          <cell r="R354" t="str">
            <v>Rashidiyeh\الرشيد</v>
          </cell>
        </row>
        <row r="355">
          <cell r="L355" t="str">
            <v>SY020206</v>
          </cell>
          <cell r="M355" t="str">
            <v>C1343</v>
          </cell>
          <cell r="N355" t="str">
            <v>Shdar\شدار</v>
          </cell>
          <cell r="P355" t="str">
            <v>C5710</v>
          </cell>
          <cell r="Q355" t="str">
            <v>SY1100031</v>
          </cell>
          <cell r="R355" t="str">
            <v>Salhiyeh\الصالحية</v>
          </cell>
        </row>
        <row r="356">
          <cell r="L356" t="str">
            <v>SY020206</v>
          </cell>
          <cell r="M356" t="str">
            <v>C1344</v>
          </cell>
          <cell r="N356" t="str">
            <v>Shweiha \شويحة</v>
          </cell>
          <cell r="P356" t="str">
            <v>C5710</v>
          </cell>
          <cell r="Q356" t="str">
            <v>SY1100014</v>
          </cell>
          <cell r="R356" t="str">
            <v>Tas-heeh\التصحيح</v>
          </cell>
        </row>
        <row r="357">
          <cell r="L357" t="str">
            <v>SY020206</v>
          </cell>
          <cell r="M357" t="str">
            <v>C1332</v>
          </cell>
          <cell r="N357" t="str">
            <v>Sunbula - Saboyran\السنبلة_صابويران</v>
          </cell>
          <cell r="P357" t="str">
            <v>C5710</v>
          </cell>
          <cell r="Q357" t="str">
            <v>SY1100033</v>
          </cell>
          <cell r="R357" t="str">
            <v>Tishrine\تشرين</v>
          </cell>
        </row>
        <row r="358">
          <cell r="L358" t="str">
            <v>SY020206</v>
          </cell>
          <cell r="M358" t="str">
            <v>C1345</v>
          </cell>
          <cell r="N358" t="str">
            <v>Tarhin\ترحين</v>
          </cell>
          <cell r="P358" t="str">
            <v>C5710</v>
          </cell>
          <cell r="Q358" t="str">
            <v>SY1100022</v>
          </cell>
          <cell r="R358" t="str">
            <v>Wihdeh\الوحدة</v>
          </cell>
        </row>
        <row r="359">
          <cell r="L359" t="str">
            <v>SY020206</v>
          </cell>
          <cell r="M359" t="str">
            <v>C1336</v>
          </cell>
          <cell r="N359" t="str">
            <v>Thalabiyeh - Big Jqal\الثعلبية_جقال كبير</v>
          </cell>
          <cell r="P359" t="str">
            <v>C5710</v>
          </cell>
          <cell r="Q359" t="str">
            <v>SY1100063</v>
          </cell>
          <cell r="R359" t="str">
            <v>Yarmuk\اليرموك</v>
          </cell>
        </row>
        <row r="360">
          <cell r="L360" t="str">
            <v>SY020206</v>
          </cell>
          <cell r="M360" t="str">
            <v>C1342</v>
          </cell>
          <cell r="N360" t="str">
            <v>Um Adae Ajami \أم عدسةعجمي</v>
          </cell>
          <cell r="P360" t="str">
            <v>C5993</v>
          </cell>
          <cell r="Q360" t="str">
            <v>SY1200023</v>
          </cell>
          <cell r="R360" t="str">
            <v>Abbasiyeen\العباسيين</v>
          </cell>
        </row>
        <row r="361">
          <cell r="L361" t="str">
            <v>SY020206</v>
          </cell>
          <cell r="M361" t="str">
            <v>C1341</v>
          </cell>
          <cell r="N361" t="str">
            <v>Um Shakif\أم شكيف</v>
          </cell>
          <cell r="P361" t="str">
            <v>C5993</v>
          </cell>
          <cell r="Q361" t="str">
            <v>SY1200017</v>
          </cell>
          <cell r="R361" t="str">
            <v>Al Mantiqa Al Sina'iyeh\المنطقة الصناعية</v>
          </cell>
        </row>
        <row r="362">
          <cell r="L362" t="str">
            <v>SY020206</v>
          </cell>
          <cell r="M362" t="str">
            <v>C1334</v>
          </cell>
          <cell r="N362" t="str">
            <v>Wadi - Little Jqal\الوادي_جقال صغير</v>
          </cell>
          <cell r="P362" t="str">
            <v>C5993</v>
          </cell>
          <cell r="Q362" t="str">
            <v>SY1200042</v>
          </cell>
          <cell r="R362" t="str">
            <v>Al- Thawrah\الثورة</v>
          </cell>
        </row>
        <row r="363">
          <cell r="L363" t="str">
            <v>SY020300</v>
          </cell>
          <cell r="M363" t="str">
            <v>C1353</v>
          </cell>
          <cell r="N363" t="str">
            <v>Abin - Efrin\ابين- عفرين</v>
          </cell>
          <cell r="P363" t="str">
            <v>C5993</v>
          </cell>
          <cell r="Q363" t="str">
            <v>SY1200026</v>
          </cell>
          <cell r="R363" t="str">
            <v>Arbaine\الأربعين</v>
          </cell>
        </row>
        <row r="364">
          <cell r="L364" t="str">
            <v>SY020300</v>
          </cell>
          <cell r="M364" t="str">
            <v>C1366</v>
          </cell>
          <cell r="N364" t="str">
            <v>Afrin\عفرين</v>
          </cell>
          <cell r="P364" t="str">
            <v>C5993</v>
          </cell>
          <cell r="Q364" t="str">
            <v>SY1200018</v>
          </cell>
          <cell r="R364" t="str">
            <v>As Sadd\السد</v>
          </cell>
        </row>
        <row r="365">
          <cell r="L365" t="str">
            <v>SY020300</v>
          </cell>
          <cell r="M365" t="str">
            <v>C1351</v>
          </cell>
          <cell r="N365" t="str">
            <v>Bablit\بابليت</v>
          </cell>
          <cell r="P365" t="str">
            <v>C5993</v>
          </cell>
          <cell r="Q365" t="str">
            <v>SY1200032</v>
          </cell>
          <cell r="R365" t="str">
            <v>Baath\البعث</v>
          </cell>
        </row>
        <row r="366">
          <cell r="L366" t="str">
            <v>SY020300</v>
          </cell>
          <cell r="M366" t="str">
            <v>C1373</v>
          </cell>
          <cell r="N366" t="str">
            <v>Baee\باعي</v>
          </cell>
          <cell r="P366" t="str">
            <v>C5993</v>
          </cell>
          <cell r="Q366" t="str">
            <v>SY1200027</v>
          </cell>
          <cell r="R366" t="str">
            <v>Bahar\البحار</v>
          </cell>
        </row>
        <row r="367">
          <cell r="L367" t="str">
            <v>SY020300</v>
          </cell>
          <cell r="M367" t="str">
            <v>C1371</v>
          </cell>
          <cell r="N367" t="str">
            <v>Baselhaya\باصلحايا</v>
          </cell>
          <cell r="P367" t="str">
            <v>C5993</v>
          </cell>
          <cell r="Q367" t="str">
            <v>SY1200043</v>
          </cell>
          <cell r="R367" t="str">
            <v>Elshahid Basil Elasad\الشهيد باسل الأسد</v>
          </cell>
        </row>
        <row r="368">
          <cell r="L368" t="str">
            <v>SY020300</v>
          </cell>
          <cell r="M368" t="str">
            <v>C1374</v>
          </cell>
          <cell r="N368" t="str">
            <v>Basufan\باصوفان</v>
          </cell>
          <cell r="P368" t="str">
            <v>C5993</v>
          </cell>
          <cell r="Q368" t="str">
            <v>SY1200015</v>
          </cell>
          <cell r="R368" t="str">
            <v>Ghernata\ غرناطة</v>
          </cell>
        </row>
        <row r="369">
          <cell r="L369" t="str">
            <v>SY020300</v>
          </cell>
          <cell r="M369" t="str">
            <v>C1376</v>
          </cell>
          <cell r="N369" t="str">
            <v>Basuta\باسوطة</v>
          </cell>
          <cell r="P369" t="str">
            <v>C5993</v>
          </cell>
          <cell r="Q369" t="str">
            <v>SY1200014</v>
          </cell>
          <cell r="R369" t="str">
            <v>Hettin\حطين</v>
          </cell>
        </row>
        <row r="370">
          <cell r="L370" t="str">
            <v>SY020300</v>
          </cell>
          <cell r="M370" t="str">
            <v>C1375</v>
          </cell>
          <cell r="N370" t="str">
            <v>Brad\براد</v>
          </cell>
          <cell r="P370" t="str">
            <v>C5993</v>
          </cell>
          <cell r="Q370" t="str">
            <v>SY1200021</v>
          </cell>
          <cell r="R370" t="str">
            <v>Karak\الكرك</v>
          </cell>
        </row>
        <row r="371">
          <cell r="L371" t="str">
            <v>SY020300</v>
          </cell>
          <cell r="M371" t="str">
            <v>C1369</v>
          </cell>
          <cell r="N371" t="str">
            <v>Bseileh\البصلية</v>
          </cell>
          <cell r="P371" t="str">
            <v>C5993</v>
          </cell>
          <cell r="Q371" t="str">
            <v>SY1200024</v>
          </cell>
          <cell r="R371" t="str">
            <v>Manshiyeh\المنشية</v>
          </cell>
        </row>
        <row r="372">
          <cell r="L372" t="str">
            <v>SY020300</v>
          </cell>
          <cell r="M372" t="str">
            <v>C1372</v>
          </cell>
          <cell r="N372" t="str">
            <v>Bteita\بتيتة</v>
          </cell>
          <cell r="P372" t="str">
            <v>C5993</v>
          </cell>
          <cell r="Q372" t="str">
            <v>SY1200013</v>
          </cell>
          <cell r="R372" t="str">
            <v>Maysalun\ميسلون</v>
          </cell>
        </row>
        <row r="373">
          <cell r="L373" t="str">
            <v>SY020300</v>
          </cell>
          <cell r="M373" t="str">
            <v>C1377</v>
          </cell>
          <cell r="N373" t="str">
            <v>Burj Abdallah\برج عبد الله</v>
          </cell>
          <cell r="P373" t="str">
            <v>C5993</v>
          </cell>
          <cell r="Q373" t="str">
            <v>SY1200031</v>
          </cell>
          <cell r="R373" t="str">
            <v>Oumawiyeen\الأمويين</v>
          </cell>
        </row>
        <row r="374">
          <cell r="L374" t="str">
            <v>SY020300</v>
          </cell>
          <cell r="M374" t="str">
            <v>C1354</v>
          </cell>
          <cell r="N374" t="str">
            <v>Burj Haydar\برج حيدر</v>
          </cell>
          <cell r="P374" t="str">
            <v>C5993</v>
          </cell>
          <cell r="Q374" t="str">
            <v>SY1200025</v>
          </cell>
          <cell r="R374" t="str">
            <v>Qadessiyeh\القادسية</v>
          </cell>
        </row>
        <row r="375">
          <cell r="L375" t="str">
            <v>SY020300</v>
          </cell>
          <cell r="M375" t="str">
            <v>C1370</v>
          </cell>
          <cell r="N375" t="str">
            <v>Ein Dara\عين دارة</v>
          </cell>
          <cell r="P375" t="str">
            <v>C5993</v>
          </cell>
          <cell r="Q375" t="str">
            <v>SY1200016</v>
          </cell>
          <cell r="R375" t="str">
            <v>Quneitra\القنيطرة</v>
          </cell>
        </row>
        <row r="376">
          <cell r="L376" t="str">
            <v>SY020300</v>
          </cell>
          <cell r="M376" t="str">
            <v>C1367</v>
          </cell>
          <cell r="N376" t="str">
            <v>Enab\اناب</v>
          </cell>
          <cell r="P376" t="str">
            <v>C5993</v>
          </cell>
          <cell r="Q376" t="str">
            <v>SY1200011</v>
          </cell>
          <cell r="R376" t="str">
            <v>Shuhada\الشهداء</v>
          </cell>
        </row>
        <row r="377">
          <cell r="L377" t="str">
            <v>SY020300</v>
          </cell>
          <cell r="M377" t="str">
            <v>C1352</v>
          </cell>
          <cell r="N377" t="str">
            <v>Eskan\اسكان</v>
          </cell>
          <cell r="P377" t="str">
            <v>C5993</v>
          </cell>
          <cell r="Q377" t="str">
            <v>SY1200041</v>
          </cell>
          <cell r="R377" t="str">
            <v>Tishrine\تشرين</v>
          </cell>
        </row>
        <row r="378">
          <cell r="L378" t="str">
            <v>SY020300</v>
          </cell>
          <cell r="M378" t="str">
            <v>C1383</v>
          </cell>
          <cell r="N378" t="str">
            <v>Fafertein\فافرتين</v>
          </cell>
          <cell r="P378" t="str">
            <v>C5993</v>
          </cell>
          <cell r="Q378" t="str">
            <v>SY1200022</v>
          </cell>
          <cell r="R378" t="str">
            <v>Yarmuk\اليرموك</v>
          </cell>
        </row>
        <row r="379">
          <cell r="L379" t="str">
            <v>SY020300</v>
          </cell>
          <cell r="M379" t="str">
            <v>C1378</v>
          </cell>
          <cell r="N379" t="str">
            <v>Ghazawiyet Afrin\غزاوية عفرين</v>
          </cell>
          <cell r="P379" t="str">
            <v>C5993</v>
          </cell>
          <cell r="Q379" t="str">
            <v>SY1200012</v>
          </cell>
          <cell r="R379" t="str">
            <v>Zahraa\الزهراء</v>
          </cell>
        </row>
        <row r="380">
          <cell r="L380" t="str">
            <v>SY020300</v>
          </cell>
          <cell r="M380" t="str">
            <v>C1362</v>
          </cell>
          <cell r="N380" t="str">
            <v>Hawa\الهوى</v>
          </cell>
          <cell r="P380" t="str">
            <v>C6147</v>
          </cell>
          <cell r="Q380" t="str">
            <v>SY1300031</v>
          </cell>
          <cell r="R380" t="str">
            <v>Al- Thawrah\الثورة</v>
          </cell>
        </row>
        <row r="381">
          <cell r="L381" t="str">
            <v>SY020300</v>
          </cell>
          <cell r="M381" t="str">
            <v>C1360</v>
          </cell>
          <cell r="N381" t="str">
            <v>Jalbal\جلبل</v>
          </cell>
          <cell r="P381" t="str">
            <v>C6147</v>
          </cell>
          <cell r="Q381" t="str">
            <v>SY1300022</v>
          </cell>
          <cell r="R381" t="str">
            <v>Fursan\الفرسان</v>
          </cell>
        </row>
        <row r="382">
          <cell r="L382" t="str">
            <v>SY020300</v>
          </cell>
          <cell r="M382" t="str">
            <v>C1380</v>
          </cell>
          <cell r="N382" t="str">
            <v>Kabashin\كباشين</v>
          </cell>
          <cell r="P382" t="str">
            <v>C6147</v>
          </cell>
          <cell r="Q382" t="str">
            <v>SY1300012</v>
          </cell>
          <cell r="R382" t="str">
            <v>Hurriyeh\الحرية</v>
          </cell>
        </row>
        <row r="383">
          <cell r="L383" t="str">
            <v>SY020300</v>
          </cell>
          <cell r="M383" t="str">
            <v>C1390</v>
          </cell>
          <cell r="N383" t="str">
            <v>Kafir\كفير</v>
          </cell>
          <cell r="P383" t="str">
            <v>C6147</v>
          </cell>
          <cell r="Q383" t="str">
            <v>SY1300023</v>
          </cell>
          <cell r="R383" t="str">
            <v>Istiqlal\الاستقلال</v>
          </cell>
        </row>
        <row r="384">
          <cell r="L384" t="str">
            <v>SY020300</v>
          </cell>
          <cell r="M384" t="str">
            <v>C1388</v>
          </cell>
          <cell r="N384" t="str">
            <v>Kafr Batra\كفر بطرة</v>
          </cell>
          <cell r="P384" t="str">
            <v>C6147</v>
          </cell>
          <cell r="Q384" t="str">
            <v>SY1300032</v>
          </cell>
          <cell r="R384" t="str">
            <v>Jihad\الجهاد</v>
          </cell>
        </row>
        <row r="385">
          <cell r="L385" t="str">
            <v>SY020300</v>
          </cell>
          <cell r="M385" t="str">
            <v>C1389</v>
          </cell>
          <cell r="N385" t="str">
            <v>Kafr Zeid\كفر زيد</v>
          </cell>
          <cell r="P385" t="str">
            <v>C6147</v>
          </cell>
          <cell r="Q385" t="str">
            <v>SY1300041</v>
          </cell>
          <cell r="R385" t="str">
            <v>Joulan\الجولان</v>
          </cell>
        </row>
        <row r="386">
          <cell r="L386" t="str">
            <v>SY020300</v>
          </cell>
          <cell r="M386" t="str">
            <v>C1385</v>
          </cell>
          <cell r="N386" t="str">
            <v>Kafrshil\كفرشيل</v>
          </cell>
          <cell r="P386" t="str">
            <v>C6147</v>
          </cell>
          <cell r="Q386" t="str">
            <v>SY1300042</v>
          </cell>
          <cell r="R386" t="str">
            <v>Mazra'a\المزرعة</v>
          </cell>
        </row>
        <row r="387">
          <cell r="L387" t="str">
            <v>SY020300</v>
          </cell>
          <cell r="M387" t="str">
            <v>C1381</v>
          </cell>
          <cell r="N387" t="str">
            <v>Kawkabeh\كوكبة</v>
          </cell>
          <cell r="P387" t="str">
            <v>C6147</v>
          </cell>
          <cell r="Q387" t="str">
            <v>SY1300013</v>
          </cell>
          <cell r="R387" t="str">
            <v>Nahda\النهضة</v>
          </cell>
        </row>
        <row r="388">
          <cell r="L388" t="str">
            <v>SY020300</v>
          </cell>
          <cell r="M388" t="str">
            <v>C1365</v>
          </cell>
          <cell r="N388" t="str">
            <v>Khadraa\الخضراء</v>
          </cell>
          <cell r="P388" t="str">
            <v>C6147</v>
          </cell>
          <cell r="Q388" t="str">
            <v>SY1300021</v>
          </cell>
          <cell r="R388" t="str">
            <v>Shuhada\الشهداء</v>
          </cell>
        </row>
        <row r="389">
          <cell r="L389" t="str">
            <v>SY020300</v>
          </cell>
          <cell r="M389" t="str">
            <v>C1364</v>
          </cell>
          <cell r="N389" t="str">
            <v>Khaldiyet Afrin\خالدية عفرين</v>
          </cell>
          <cell r="P389" t="str">
            <v>C6147</v>
          </cell>
          <cell r="Q389" t="str">
            <v>SY1300011</v>
          </cell>
          <cell r="R389" t="str">
            <v>Wihdeh\الوحدة</v>
          </cell>
        </row>
        <row r="390">
          <cell r="L390" t="str">
            <v>SY020300</v>
          </cell>
          <cell r="M390" t="str">
            <v>C1382</v>
          </cell>
          <cell r="N390" t="str">
            <v>Kimar\كيمار</v>
          </cell>
        </row>
        <row r="391">
          <cell r="L391" t="str">
            <v>SY020300</v>
          </cell>
          <cell r="M391" t="str">
            <v>C1384</v>
          </cell>
          <cell r="N391" t="str">
            <v>Marata\معراتة</v>
          </cell>
        </row>
        <row r="392">
          <cell r="L392" t="str">
            <v>SY020300</v>
          </cell>
          <cell r="M392" t="str">
            <v>C1386</v>
          </cell>
          <cell r="N392" t="str">
            <v>Mreimin Afrin\مريمين عفرين</v>
          </cell>
        </row>
        <row r="393">
          <cell r="L393" t="str">
            <v>SY020300</v>
          </cell>
          <cell r="M393" t="str">
            <v>C1368</v>
          </cell>
          <cell r="N393" t="str">
            <v>Nireh\النيرة</v>
          </cell>
        </row>
        <row r="394">
          <cell r="L394" t="str">
            <v>SY020300</v>
          </cell>
          <cell r="M394" t="str">
            <v>C1361</v>
          </cell>
          <cell r="N394" t="str">
            <v>Oqayba\عقيبة</v>
          </cell>
        </row>
        <row r="395">
          <cell r="L395" t="str">
            <v>SY020300</v>
          </cell>
          <cell r="M395" t="str">
            <v>C1387</v>
          </cell>
          <cell r="N395" t="str">
            <v>Qarzihel\قرزيحل</v>
          </cell>
        </row>
        <row r="396">
          <cell r="L396" t="str">
            <v>SY020300</v>
          </cell>
          <cell r="M396" t="str">
            <v>C1357</v>
          </cell>
          <cell r="N396" t="str">
            <v>Shawarghet Elarz\شوارغة الأرز</v>
          </cell>
        </row>
        <row r="397">
          <cell r="L397" t="str">
            <v>SY020300</v>
          </cell>
          <cell r="M397" t="str">
            <v>C1356</v>
          </cell>
          <cell r="N397" t="str">
            <v>Shawarghet Eljoz\شوارغة الجوز</v>
          </cell>
        </row>
        <row r="398">
          <cell r="L398" t="str">
            <v>SY020300</v>
          </cell>
          <cell r="M398" t="str">
            <v>C1359</v>
          </cell>
          <cell r="N398" t="str">
            <v>Sheikh Eldeir\شيخ الدير</v>
          </cell>
        </row>
        <row r="399">
          <cell r="L399" t="str">
            <v>SY020300</v>
          </cell>
          <cell r="M399" t="str">
            <v>C6333</v>
          </cell>
          <cell r="N399" t="str">
            <v>Tal Tawil\تل طويل</v>
          </cell>
        </row>
        <row r="400">
          <cell r="L400" t="str">
            <v>SY020300</v>
          </cell>
          <cell r="M400" t="str">
            <v>C1355</v>
          </cell>
          <cell r="N400" t="str">
            <v>Tellef\تللف</v>
          </cell>
        </row>
        <row r="401">
          <cell r="L401" t="str">
            <v>SY020300</v>
          </cell>
          <cell r="M401" t="str">
            <v>C1363</v>
          </cell>
          <cell r="N401" t="str">
            <v>Tharifa\الظريفة</v>
          </cell>
        </row>
        <row r="402">
          <cell r="L402" t="str">
            <v>SY020300</v>
          </cell>
          <cell r="M402" t="str">
            <v>C1379</v>
          </cell>
          <cell r="N402" t="str">
            <v>Zahrat Elhayat\زهرةالحياة</v>
          </cell>
        </row>
        <row r="403">
          <cell r="L403" t="str">
            <v>SY020300</v>
          </cell>
          <cell r="M403" t="str">
            <v>C1358</v>
          </cell>
          <cell r="N403" t="str">
            <v>Ziyara Afrin\الزيارة عفرين</v>
          </cell>
        </row>
        <row r="404">
          <cell r="L404" t="str">
            <v>SY020301</v>
          </cell>
          <cell r="M404" t="str">
            <v>C1397</v>
          </cell>
          <cell r="N404" t="str">
            <v>Abel\أبل</v>
          </cell>
        </row>
        <row r="405">
          <cell r="L405" t="str">
            <v>SY020301</v>
          </cell>
          <cell r="M405" t="str">
            <v>C1408</v>
          </cell>
          <cell r="N405" t="str">
            <v>Ali Elatrash - Olikar\علي الأطرش_عليكار</v>
          </cell>
        </row>
        <row r="406">
          <cell r="L406" t="str">
            <v>SY020301</v>
          </cell>
          <cell r="M406" t="str">
            <v>C1411</v>
          </cell>
          <cell r="N406" t="str">
            <v>Ashani\عشاني</v>
          </cell>
        </row>
        <row r="407">
          <cell r="L407" t="str">
            <v>SY020301</v>
          </cell>
          <cell r="M407" t="str">
            <v>C1407</v>
          </cell>
          <cell r="N407" t="str">
            <v>Bali - Koy\بالي_كوي</v>
          </cell>
        </row>
        <row r="408">
          <cell r="L408" t="str">
            <v>SY020301</v>
          </cell>
          <cell r="M408" t="str">
            <v>C1391</v>
          </cell>
          <cell r="N408" t="str">
            <v>Bulbul\بلبل</v>
          </cell>
        </row>
        <row r="409">
          <cell r="L409" t="str">
            <v>SY020301</v>
          </cell>
          <cell r="M409" t="str">
            <v>C1399</v>
          </cell>
          <cell r="N409" t="str">
            <v>Deir Hasan\دير حسن</v>
          </cell>
        </row>
        <row r="410">
          <cell r="L410" t="str">
            <v>SY020301</v>
          </cell>
          <cell r="M410" t="str">
            <v>C1398</v>
          </cell>
          <cell r="N410" t="str">
            <v>Dik\الديك</v>
          </cell>
        </row>
        <row r="411">
          <cell r="L411" t="str">
            <v>SY020301</v>
          </cell>
          <cell r="M411" t="str">
            <v>C1402</v>
          </cell>
          <cell r="N411" t="str">
            <v>Hajeb - Qash Ogli\الحاجب_قاش أوغلي</v>
          </cell>
        </row>
        <row r="412">
          <cell r="L412" t="str">
            <v>SY020301</v>
          </cell>
          <cell r="M412" t="str">
            <v>C1417</v>
          </cell>
          <cell r="N412" t="str">
            <v>Hozan\هوزان</v>
          </cell>
        </row>
        <row r="413">
          <cell r="L413" t="str">
            <v>SY020301</v>
          </cell>
          <cell r="M413" t="str">
            <v>C1394</v>
          </cell>
          <cell r="N413" t="str">
            <v>Khader\خضر</v>
          </cell>
        </row>
        <row r="414">
          <cell r="L414" t="str">
            <v>SY020301</v>
          </cell>
          <cell r="M414" t="str">
            <v>C1404</v>
          </cell>
          <cell r="N414" t="str">
            <v>Khalil - Khleilak\الخليل_خليلاك</v>
          </cell>
        </row>
        <row r="415">
          <cell r="L415" t="str">
            <v>SY020301</v>
          </cell>
          <cell r="M415" t="str">
            <v>C1414</v>
          </cell>
          <cell r="N415" t="str">
            <v>Marwiyeh\المروية</v>
          </cell>
        </row>
        <row r="416">
          <cell r="L416" t="str">
            <v>SY020301</v>
          </cell>
          <cell r="M416" t="str">
            <v>C1413</v>
          </cell>
          <cell r="N416" t="str">
            <v>Mudallala Afrin - Eastern Kotanly\المدللة عفرين_كوتانلي شرقي</v>
          </cell>
        </row>
        <row r="417">
          <cell r="L417" t="str">
            <v>SY020301</v>
          </cell>
          <cell r="M417" t="str">
            <v>C1393</v>
          </cell>
          <cell r="N417" t="str">
            <v>Oba Beik Oba Basi\أوبة_بيك أوبه باسي</v>
          </cell>
        </row>
        <row r="418">
          <cell r="L418" t="str">
            <v>SY020301</v>
          </cell>
          <cell r="M418" t="str">
            <v>C1395</v>
          </cell>
          <cell r="N418" t="str">
            <v>Obudan\عبودان</v>
          </cell>
        </row>
        <row r="419">
          <cell r="L419" t="str">
            <v>SY020301</v>
          </cell>
          <cell r="M419" t="str">
            <v>C1409</v>
          </cell>
          <cell r="N419" t="str">
            <v>Okan\عوكان</v>
          </cell>
        </row>
        <row r="420">
          <cell r="L420" t="str">
            <v>SY020301</v>
          </cell>
          <cell r="M420" t="str">
            <v>C1416</v>
          </cell>
          <cell r="N420" t="str">
            <v>Qastal Miqdad\قسطل مقداد</v>
          </cell>
        </row>
        <row r="421">
          <cell r="L421" t="str">
            <v>SY020301</v>
          </cell>
          <cell r="M421" t="str">
            <v>C1418</v>
          </cell>
          <cell r="N421" t="str">
            <v>Qorna\قورنة</v>
          </cell>
        </row>
        <row r="422">
          <cell r="L422" t="str">
            <v>SY020301</v>
          </cell>
          <cell r="M422" t="str">
            <v>C1415</v>
          </cell>
          <cell r="N422" t="str">
            <v>Qotan\قوطان</v>
          </cell>
        </row>
        <row r="423">
          <cell r="L423" t="str">
            <v>SY020301</v>
          </cell>
          <cell r="M423" t="str">
            <v>C1403</v>
          </cell>
          <cell r="N423" t="str">
            <v>Ras Ahmar\الرأس الأحمر</v>
          </cell>
        </row>
        <row r="424">
          <cell r="L424" t="str">
            <v>SY020301</v>
          </cell>
          <cell r="M424" t="str">
            <v>C1405</v>
          </cell>
          <cell r="N424" t="str">
            <v>Sagher - Sagher Oba Si\صاغر_صاغر أوبه سي</v>
          </cell>
        </row>
        <row r="425">
          <cell r="L425" t="str">
            <v>SY020301</v>
          </cell>
          <cell r="M425" t="str">
            <v>C1392</v>
          </cell>
          <cell r="N425" t="str">
            <v>Samha Kilani\السمحة_كيلانلي</v>
          </cell>
        </row>
        <row r="426">
          <cell r="L426" t="str">
            <v>SY020301</v>
          </cell>
          <cell r="M426" t="str">
            <v>C1400</v>
          </cell>
          <cell r="N426" t="str">
            <v>Sara\السعرة</v>
          </cell>
        </row>
        <row r="427">
          <cell r="L427" t="str">
            <v>SY020301</v>
          </cell>
          <cell r="M427" t="str">
            <v>C1396</v>
          </cell>
          <cell r="N427" t="str">
            <v>Sharqan\شرقان</v>
          </cell>
        </row>
        <row r="428">
          <cell r="L428" t="str">
            <v>SY020301</v>
          </cell>
          <cell r="M428" t="str">
            <v>C1410</v>
          </cell>
          <cell r="N428" t="str">
            <v>Sheikh Khoraz\شيخ خورز</v>
          </cell>
        </row>
        <row r="429">
          <cell r="L429" t="str">
            <v>SY020301</v>
          </cell>
          <cell r="M429" t="str">
            <v>C1412</v>
          </cell>
          <cell r="N429" t="str">
            <v>Tafla\الطفلة</v>
          </cell>
        </row>
        <row r="430">
          <cell r="L430" t="str">
            <v>SY020301</v>
          </cell>
          <cell r="M430" t="str">
            <v>C1401</v>
          </cell>
          <cell r="N430" t="str">
            <v>Yabseh\اليابسة</v>
          </cell>
        </row>
        <row r="431">
          <cell r="L431" t="str">
            <v>SY020301</v>
          </cell>
          <cell r="M431" t="str">
            <v>C1406</v>
          </cell>
          <cell r="N431" t="str">
            <v>Za'ra\زعرة</v>
          </cell>
        </row>
        <row r="432">
          <cell r="L432" t="str">
            <v>SY020302</v>
          </cell>
          <cell r="M432" t="str">
            <v>C1434</v>
          </cell>
          <cell r="N432" t="str">
            <v>Bayada - Jendris\البياضة - جنديرس</v>
          </cell>
        </row>
        <row r="433">
          <cell r="L433" t="str">
            <v>SY020302</v>
          </cell>
          <cell r="M433" t="str">
            <v>C1428</v>
          </cell>
          <cell r="N433" t="str">
            <v>Burj Kmush\برج كموش</v>
          </cell>
        </row>
        <row r="434">
          <cell r="L434" t="str">
            <v>SY020302</v>
          </cell>
          <cell r="M434" t="str">
            <v>C1423</v>
          </cell>
          <cell r="N434" t="str">
            <v>Dakhm\الضخم</v>
          </cell>
        </row>
        <row r="435">
          <cell r="L435" t="str">
            <v>SY020302</v>
          </cell>
          <cell r="M435" t="str">
            <v>C1435</v>
          </cell>
          <cell r="N435" t="str">
            <v>Deir Ballut\دير بلوط</v>
          </cell>
        </row>
        <row r="436">
          <cell r="L436" t="str">
            <v>SY020302</v>
          </cell>
          <cell r="M436" t="str">
            <v>C1441</v>
          </cell>
          <cell r="N436" t="str">
            <v>Eastern Eshkan\اشكان شرقي</v>
          </cell>
        </row>
        <row r="437">
          <cell r="L437" t="str">
            <v>SY020302</v>
          </cell>
          <cell r="M437" t="str">
            <v>C1440</v>
          </cell>
          <cell r="N437" t="str">
            <v>Fasha\الفسحة</v>
          </cell>
        </row>
        <row r="438">
          <cell r="L438" t="str">
            <v>SY020302</v>
          </cell>
          <cell r="M438" t="str">
            <v>C1446</v>
          </cell>
          <cell r="N438" t="str">
            <v>Freiriyeh\فريرية</v>
          </cell>
        </row>
        <row r="439">
          <cell r="L439" t="str">
            <v>SY020302</v>
          </cell>
          <cell r="M439" t="str">
            <v>C1420</v>
          </cell>
          <cell r="N439" t="str">
            <v>Haj Eskandar\حاج اسكندر</v>
          </cell>
        </row>
        <row r="440">
          <cell r="L440" t="str">
            <v>SY020302</v>
          </cell>
          <cell r="M440" t="str">
            <v>C1427</v>
          </cell>
          <cell r="N440" t="str">
            <v>Hamam\الحمام</v>
          </cell>
        </row>
        <row r="441">
          <cell r="L441" t="str">
            <v>SY020302</v>
          </cell>
          <cell r="M441" t="str">
            <v>C1425</v>
          </cell>
          <cell r="N441" t="str">
            <v>Jalaq\جلق</v>
          </cell>
        </row>
        <row r="442">
          <cell r="L442" t="str">
            <v>SY020302</v>
          </cell>
          <cell r="M442" t="str">
            <v>C1424</v>
          </cell>
          <cell r="N442" t="str">
            <v>Jalma\جلمة</v>
          </cell>
        </row>
        <row r="443">
          <cell r="L443" t="str">
            <v>SY020302</v>
          </cell>
          <cell r="M443" t="str">
            <v>C1426</v>
          </cell>
          <cell r="N443" t="str">
            <v>Jandairis\جنديرس</v>
          </cell>
        </row>
        <row r="444">
          <cell r="L444" t="str">
            <v>SY020302</v>
          </cell>
          <cell r="M444" t="str">
            <v>C1421</v>
          </cell>
          <cell r="N444" t="str">
            <v>Jum Afrin\جوم عفرين</v>
          </cell>
        </row>
        <row r="445">
          <cell r="L445" t="str">
            <v>SY020302</v>
          </cell>
          <cell r="M445" t="str">
            <v>C1449</v>
          </cell>
          <cell r="N445" t="str">
            <v>Kafr Safra\كفر صفرة</v>
          </cell>
        </row>
        <row r="446">
          <cell r="L446" t="str">
            <v>SY020302</v>
          </cell>
          <cell r="M446" t="str">
            <v>C1432</v>
          </cell>
          <cell r="N446" t="str">
            <v>Kharzan \خرزان</v>
          </cell>
        </row>
        <row r="447">
          <cell r="L447" t="str">
            <v>SY020302</v>
          </cell>
          <cell r="M447" t="str">
            <v>C1447</v>
          </cell>
          <cell r="N447" t="str">
            <v>Koran Jandris\كوران جنديرس</v>
          </cell>
        </row>
        <row r="448">
          <cell r="L448" t="str">
            <v>SY020302</v>
          </cell>
          <cell r="M448" t="str">
            <v>C1445</v>
          </cell>
          <cell r="N448" t="str">
            <v>Kordan\كوردان</v>
          </cell>
        </row>
        <row r="449">
          <cell r="L449" t="str">
            <v>SY020302</v>
          </cell>
          <cell r="M449" t="str">
            <v>C1448</v>
          </cell>
          <cell r="N449" t="str">
            <v>Lower Kafardali\كفردلي تحتاني</v>
          </cell>
        </row>
        <row r="450">
          <cell r="L450" t="str">
            <v>SY020302</v>
          </cell>
          <cell r="M450" t="str">
            <v>C1439</v>
          </cell>
          <cell r="N450" t="str">
            <v>Nisriyeh\النسرية</v>
          </cell>
        </row>
        <row r="451">
          <cell r="L451" t="str">
            <v>SY020302</v>
          </cell>
          <cell r="M451" t="str">
            <v>C1422</v>
          </cell>
          <cell r="N451" t="str">
            <v>Ramadiyeh\رمادية</v>
          </cell>
        </row>
        <row r="452">
          <cell r="L452" t="str">
            <v>SY020302</v>
          </cell>
          <cell r="M452" t="str">
            <v>C1429</v>
          </cell>
          <cell r="N452" t="str">
            <v>Ras Elosud - Qarablish\راس الأسود_قراباش</v>
          </cell>
        </row>
        <row r="453">
          <cell r="L453" t="str">
            <v>SY020302</v>
          </cell>
          <cell r="M453" t="str">
            <v>C1419</v>
          </cell>
          <cell r="N453" t="str">
            <v>Sheikh Abel Rahman\شيخ عبد الرحمن</v>
          </cell>
        </row>
        <row r="454">
          <cell r="L454" t="str">
            <v>SY020302</v>
          </cell>
          <cell r="M454" t="str">
            <v>C1430</v>
          </cell>
          <cell r="N454" t="str">
            <v>Tal Hamo\تل حمو</v>
          </cell>
        </row>
        <row r="455">
          <cell r="L455" t="str">
            <v>SY020302</v>
          </cell>
          <cell r="M455" t="str">
            <v>C1433</v>
          </cell>
          <cell r="N455" t="str">
            <v>Tal Slur\تل سلور</v>
          </cell>
        </row>
        <row r="456">
          <cell r="L456" t="str">
            <v>SY020302</v>
          </cell>
          <cell r="M456" t="str">
            <v>C1431</v>
          </cell>
          <cell r="N456" t="str">
            <v>Upper Diwan\ديوان فوقاني</v>
          </cell>
        </row>
        <row r="457">
          <cell r="L457" t="str">
            <v>SY020302</v>
          </cell>
          <cell r="M457" t="str">
            <v>C1442</v>
          </cell>
          <cell r="N457" t="str">
            <v>Upper Kafardali\كفردلي فوقاني</v>
          </cell>
        </row>
        <row r="458">
          <cell r="L458" t="str">
            <v>SY020302</v>
          </cell>
          <cell r="M458" t="str">
            <v>C1443</v>
          </cell>
          <cell r="N458" t="str">
            <v>Upper Marwana\مروانة فوقاني</v>
          </cell>
        </row>
        <row r="459">
          <cell r="L459" t="str">
            <v>SY020302</v>
          </cell>
          <cell r="M459" t="str">
            <v>C1444</v>
          </cell>
          <cell r="N459" t="str">
            <v>Upper Maskeh\مسكة فوقاني</v>
          </cell>
        </row>
        <row r="460">
          <cell r="L460" t="str">
            <v>SY020302</v>
          </cell>
          <cell r="M460" t="str">
            <v>C1437</v>
          </cell>
          <cell r="N460" t="str">
            <v>Western Eshkab\اشكان غربي</v>
          </cell>
        </row>
        <row r="461">
          <cell r="L461" t="str">
            <v>SY020302</v>
          </cell>
          <cell r="M461" t="str">
            <v>C1436</v>
          </cell>
          <cell r="N461" t="str">
            <v>Western Khaltan\خلطان غربي</v>
          </cell>
        </row>
        <row r="462">
          <cell r="L462" t="str">
            <v>SY020302</v>
          </cell>
          <cell r="M462" t="str">
            <v>C1438</v>
          </cell>
          <cell r="N462" t="str">
            <v>Zanda\زندة</v>
          </cell>
        </row>
        <row r="463">
          <cell r="L463" t="str">
            <v>SY020303</v>
          </cell>
          <cell r="M463" t="str">
            <v>C1458</v>
          </cell>
          <cell r="N463" t="str">
            <v>Aaliaa - Ali Baski\العلياء_علي بسكي</v>
          </cell>
        </row>
        <row r="464">
          <cell r="L464" t="str">
            <v>SY020303</v>
          </cell>
          <cell r="M464" t="str">
            <v>C1479</v>
          </cell>
          <cell r="N464" t="str">
            <v>Ada\ادة</v>
          </cell>
        </row>
        <row r="465">
          <cell r="L465" t="str">
            <v>SY020303</v>
          </cell>
          <cell r="M465" t="str">
            <v>C1467</v>
          </cell>
          <cell r="N465" t="str">
            <v>Almadar\علمدار</v>
          </cell>
        </row>
        <row r="466">
          <cell r="L466" t="str">
            <v>SY020303</v>
          </cell>
          <cell r="M466" t="str">
            <v>C1481</v>
          </cell>
          <cell r="N466" t="str">
            <v>Atman\عطمان</v>
          </cell>
        </row>
        <row r="467">
          <cell r="L467" t="str">
            <v>SY020303</v>
          </cell>
          <cell r="M467" t="str">
            <v>C1465</v>
          </cell>
          <cell r="N467" t="str">
            <v>Barband\بربند</v>
          </cell>
        </row>
        <row r="468">
          <cell r="L468" t="str">
            <v>SY020303</v>
          </cell>
          <cell r="M468" t="str">
            <v>C1459</v>
          </cell>
          <cell r="N468" t="str">
            <v>Batra\البتراء</v>
          </cell>
        </row>
        <row r="469">
          <cell r="L469" t="str">
            <v>SY020303</v>
          </cell>
          <cell r="M469" t="str">
            <v>C1473</v>
          </cell>
          <cell r="N469" t="str">
            <v>Beit Adin\بيت عدين</v>
          </cell>
        </row>
        <row r="470">
          <cell r="L470" t="str">
            <v>SY020303</v>
          </cell>
          <cell r="M470" t="str">
            <v>C1478</v>
          </cell>
          <cell r="N470" t="str">
            <v>Big Siwan\الصوان الكبير</v>
          </cell>
        </row>
        <row r="471">
          <cell r="L471" t="str">
            <v>SY020303</v>
          </cell>
          <cell r="M471" t="str">
            <v>C1468</v>
          </cell>
          <cell r="N471" t="str">
            <v>Bilaliyeh - Blaliko\بلالية_بلاليكو</v>
          </cell>
        </row>
        <row r="472">
          <cell r="L472" t="str">
            <v>SY020303</v>
          </cell>
          <cell r="M472" t="str">
            <v>C1471</v>
          </cell>
          <cell r="N472" t="str">
            <v>Birein - Jtal Qoyo\البئرين_جتال قويو</v>
          </cell>
        </row>
        <row r="473">
          <cell r="L473" t="str">
            <v>SY020303</v>
          </cell>
          <cell r="M473" t="str">
            <v>C1456</v>
          </cell>
          <cell r="N473" t="str">
            <v>Darwishiyeh\الدرويشية</v>
          </cell>
        </row>
        <row r="474">
          <cell r="L474" t="str">
            <v>SY020303</v>
          </cell>
          <cell r="M474" t="str">
            <v>C1454</v>
          </cell>
          <cell r="N474" t="str">
            <v>Dawdaw\ضوضو</v>
          </cell>
        </row>
        <row r="475">
          <cell r="L475" t="str">
            <v>SY020303</v>
          </cell>
          <cell r="M475" t="str">
            <v>C1451</v>
          </cell>
          <cell r="N475" t="str">
            <v>Ghizlan - Jilani\الغزلان_جيلاني</v>
          </cell>
        </row>
        <row r="476">
          <cell r="L476" t="str">
            <v>SY020303</v>
          </cell>
          <cell r="M476" t="str">
            <v>C1455</v>
          </cell>
          <cell r="N476" t="str">
            <v>Haj Khalil\حاج خليل</v>
          </cell>
        </row>
        <row r="477">
          <cell r="L477" t="str">
            <v>SY020303</v>
          </cell>
          <cell r="M477" t="str">
            <v>C1463</v>
          </cell>
          <cell r="N477" t="str">
            <v>Hajman\حجمان</v>
          </cell>
        </row>
        <row r="478">
          <cell r="L478" t="str">
            <v>SY020303</v>
          </cell>
          <cell r="M478" t="str">
            <v>C1489</v>
          </cell>
          <cell r="N478" t="str">
            <v>Halil - Holilo\هليل_هوليلو</v>
          </cell>
        </row>
        <row r="479">
          <cell r="L479" t="str">
            <v>SY020303</v>
          </cell>
          <cell r="M479" t="str">
            <v>C1452</v>
          </cell>
          <cell r="N479" t="str">
            <v>Hamshu - Hamashtlak\حمشو_حمشتلك</v>
          </cell>
        </row>
        <row r="480">
          <cell r="L480" t="str">
            <v>SY020303</v>
          </cell>
          <cell r="M480" t="str">
            <v>C1485</v>
          </cell>
          <cell r="N480" t="str">
            <v>Hjeij - Haji Kanli\الحجيج_حجي كانلي</v>
          </cell>
        </row>
        <row r="481">
          <cell r="L481" t="str">
            <v>SY020303</v>
          </cell>
          <cell r="M481" t="str">
            <v>C1475</v>
          </cell>
          <cell r="N481" t="str">
            <v>Jablieh - Tag Obeh Si\الجبلية_طاغ أوبه سي</v>
          </cell>
        </row>
        <row r="482">
          <cell r="L482" t="str">
            <v>SY020303</v>
          </cell>
          <cell r="M482" t="str">
            <v>C1477</v>
          </cell>
          <cell r="N482" t="str">
            <v>Jalqama\جلقمة</v>
          </cell>
        </row>
        <row r="483">
          <cell r="L483" t="str">
            <v>SY020303</v>
          </cell>
          <cell r="M483" t="str">
            <v>C1476</v>
          </cell>
          <cell r="N483" t="str">
            <v>Janjaleh\جنجلة</v>
          </cell>
        </row>
        <row r="484">
          <cell r="L484" t="str">
            <v>SY020303</v>
          </cell>
          <cell r="M484" t="str">
            <v>C1492</v>
          </cell>
          <cell r="N484" t="str">
            <v>Koran Afrin\كوران عفرين</v>
          </cell>
        </row>
        <row r="485">
          <cell r="L485" t="str">
            <v>SY020303</v>
          </cell>
          <cell r="M485" t="str">
            <v>C1490</v>
          </cell>
          <cell r="N485" t="str">
            <v>Kusan\كوسان</v>
          </cell>
        </row>
        <row r="486">
          <cell r="L486" t="str">
            <v>SY020303</v>
          </cell>
          <cell r="M486" t="str">
            <v>C1470</v>
          </cell>
          <cell r="N486" t="str">
            <v>Little Siwan - Little Jaqmaq\الصوان الصغير_جقمق صغير</v>
          </cell>
        </row>
        <row r="487">
          <cell r="L487" t="str">
            <v>SY020303</v>
          </cell>
          <cell r="M487" t="str">
            <v>C1474</v>
          </cell>
          <cell r="N487" t="str">
            <v>Lower Dhak - Kolyan\الضحاك التحتاني_كوليان</v>
          </cell>
        </row>
        <row r="488">
          <cell r="L488" t="str">
            <v>SY020303</v>
          </cell>
          <cell r="M488" t="str">
            <v>C1457</v>
          </cell>
          <cell r="N488" t="str">
            <v>Maamel - Oshagi\المعامل_أوشاغي</v>
          </cell>
        </row>
        <row r="489">
          <cell r="L489" t="str">
            <v>SY020303</v>
          </cell>
          <cell r="M489" t="str">
            <v>C1491</v>
          </cell>
          <cell r="N489" t="str">
            <v>Masikan\ماسيكان</v>
          </cell>
        </row>
        <row r="490">
          <cell r="L490" t="str">
            <v>SY020303</v>
          </cell>
          <cell r="M490" t="str">
            <v>C1488</v>
          </cell>
          <cell r="N490" t="str">
            <v>Meidan Ekbis\ميدان أكبس</v>
          </cell>
        </row>
        <row r="491">
          <cell r="L491" t="str">
            <v>SY020303</v>
          </cell>
          <cell r="M491" t="str">
            <v>C1460</v>
          </cell>
          <cell r="N491" t="str">
            <v>Murtafiah\المرتفعة_قودة كوي</v>
          </cell>
        </row>
        <row r="492">
          <cell r="L492" t="str">
            <v>SY020303</v>
          </cell>
          <cell r="M492" t="str">
            <v>C1487</v>
          </cell>
          <cell r="N492" t="str">
            <v>Musiyeh - Oba Si\موسيه_أوبه سي</v>
          </cell>
        </row>
        <row r="493">
          <cell r="L493" t="str">
            <v>SY020303</v>
          </cell>
          <cell r="M493" t="str">
            <v>C1461</v>
          </cell>
          <cell r="N493" t="str">
            <v>Omar - Omar Oshaghi\عمر_عمر أوشاغي</v>
          </cell>
        </row>
        <row r="494">
          <cell r="L494" t="str">
            <v>SY020303</v>
          </cell>
          <cell r="M494" t="str">
            <v>C1486</v>
          </cell>
          <cell r="N494" t="str">
            <v>Omsiya - Donbaly\الأمسية_دونبللي</v>
          </cell>
        </row>
        <row r="495">
          <cell r="L495" t="str">
            <v>SY020303</v>
          </cell>
          <cell r="M495" t="str">
            <v>C1480</v>
          </cell>
          <cell r="N495" t="str">
            <v>Qalam - Bandrak\القلم_بندرك</v>
          </cell>
        </row>
        <row r="496">
          <cell r="L496" t="str">
            <v>SY020303</v>
          </cell>
          <cell r="M496" t="str">
            <v>C1462</v>
          </cell>
          <cell r="N496" t="str">
            <v>Raee - Jobanli\الراعي_جوبانلي</v>
          </cell>
        </row>
        <row r="497">
          <cell r="L497" t="str">
            <v>SY020303</v>
          </cell>
          <cell r="M497" t="str">
            <v>C1484</v>
          </cell>
          <cell r="N497" t="str">
            <v>Raju\راجو</v>
          </cell>
        </row>
        <row r="498">
          <cell r="L498" t="str">
            <v>SY020303</v>
          </cell>
          <cell r="M498" t="str">
            <v>C1482</v>
          </cell>
          <cell r="N498" t="str">
            <v>Shankal\شنكل</v>
          </cell>
        </row>
        <row r="499">
          <cell r="L499" t="str">
            <v>SY020303</v>
          </cell>
          <cell r="M499" t="str">
            <v>C1453</v>
          </cell>
          <cell r="N499" t="str">
            <v>Sheikh Mohammed\شيخ محمد</v>
          </cell>
        </row>
        <row r="500">
          <cell r="L500" t="str">
            <v>SY020303</v>
          </cell>
          <cell r="M500" t="str">
            <v>C1450</v>
          </cell>
          <cell r="N500" t="str">
            <v>Shyukh - Sheikh Oba Si\الشيوخ_شيخ أوبه سي</v>
          </cell>
        </row>
        <row r="501">
          <cell r="L501" t="str">
            <v>SY020303</v>
          </cell>
          <cell r="M501" t="str">
            <v>C1483</v>
          </cell>
          <cell r="N501" t="str">
            <v>Talleh - Zarkani\الطلة_زركانلي</v>
          </cell>
        </row>
        <row r="502">
          <cell r="L502" t="str">
            <v>SY020303</v>
          </cell>
          <cell r="M502" t="str">
            <v>C1464</v>
          </cell>
          <cell r="N502" t="str">
            <v>Taqiyeh - Kamrash\الطاقية_كمرش</v>
          </cell>
        </row>
        <row r="503">
          <cell r="L503" t="str">
            <v>SY020303</v>
          </cell>
          <cell r="M503" t="str">
            <v>C1472</v>
          </cell>
          <cell r="N503" t="str">
            <v>Thadi - Mamali\الثدي_مامالي</v>
          </cell>
        </row>
        <row r="504">
          <cell r="L504" t="str">
            <v>SY020303</v>
          </cell>
          <cell r="M504" t="str">
            <v>C1469</v>
          </cell>
          <cell r="N504" t="str">
            <v>Tholathiyeh\الثلاثية</v>
          </cell>
        </row>
        <row r="505">
          <cell r="L505" t="str">
            <v>SY020303</v>
          </cell>
          <cell r="M505" t="str">
            <v>C1466</v>
          </cell>
          <cell r="N505" t="str">
            <v>Upper Dhak - Upper Kolyan \الضحاك فوقاني_كوليان فوقاني</v>
          </cell>
        </row>
        <row r="506">
          <cell r="L506" t="str">
            <v>SY020304</v>
          </cell>
          <cell r="M506" t="str">
            <v>C1512</v>
          </cell>
          <cell r="N506" t="str">
            <v>Ali Bazan\علي بازان</v>
          </cell>
        </row>
        <row r="507">
          <cell r="L507" t="str">
            <v>SY020304</v>
          </cell>
          <cell r="M507" t="str">
            <v>C1511</v>
          </cell>
          <cell r="N507" t="str">
            <v>Amud\العمود</v>
          </cell>
        </row>
        <row r="508">
          <cell r="L508" t="str">
            <v>SY020304</v>
          </cell>
          <cell r="M508" t="str">
            <v>C1507</v>
          </cell>
          <cell r="N508" t="str">
            <v>Bafelyun\بافليون</v>
          </cell>
        </row>
        <row r="509">
          <cell r="L509" t="str">
            <v>SY020304</v>
          </cell>
          <cell r="M509" t="str">
            <v>C1503</v>
          </cell>
          <cell r="N509" t="str">
            <v>Bayaa\البياعة</v>
          </cell>
        </row>
        <row r="510">
          <cell r="L510" t="str">
            <v>SY020304</v>
          </cell>
          <cell r="M510" t="str">
            <v>C1496</v>
          </cell>
          <cell r="N510" t="str">
            <v>Big Bostan\البستان الكبير</v>
          </cell>
        </row>
        <row r="511">
          <cell r="L511" t="str">
            <v>SY020304</v>
          </cell>
          <cell r="M511" t="str">
            <v>C1513</v>
          </cell>
          <cell r="N511" t="str">
            <v>Big Dib\الديب الكبير</v>
          </cell>
        </row>
        <row r="512">
          <cell r="L512" t="str">
            <v>SY020304</v>
          </cell>
          <cell r="M512" t="str">
            <v>C1504</v>
          </cell>
          <cell r="N512" t="str">
            <v>Big Hallubi\حلوبي كبير</v>
          </cell>
        </row>
        <row r="513">
          <cell r="L513" t="str">
            <v>SY020304</v>
          </cell>
          <cell r="M513" t="str">
            <v>C1495</v>
          </cell>
          <cell r="N513" t="str">
            <v>Dama - Ayki Dam\دامة_أيكي دام</v>
          </cell>
        </row>
        <row r="514">
          <cell r="L514" t="str">
            <v>SY020304</v>
          </cell>
          <cell r="M514" t="str">
            <v>C1494</v>
          </cell>
          <cell r="N514" t="str">
            <v>Deir Siwan\ديرصوان</v>
          </cell>
        </row>
        <row r="515">
          <cell r="L515" t="str">
            <v>SY020304</v>
          </cell>
          <cell r="M515" t="str">
            <v>C1515</v>
          </cell>
          <cell r="N515" t="str">
            <v>Doha\الضحى</v>
          </cell>
        </row>
        <row r="516">
          <cell r="L516" t="str">
            <v>SY020304</v>
          </cell>
          <cell r="M516" t="str">
            <v>C1506</v>
          </cell>
          <cell r="N516" t="str">
            <v>Doraq\دوراقا</v>
          </cell>
        </row>
        <row r="517">
          <cell r="L517" t="str">
            <v>SY020304</v>
          </cell>
          <cell r="M517" t="str">
            <v>C1493</v>
          </cell>
          <cell r="N517" t="str">
            <v>Jiman\جمان</v>
          </cell>
        </row>
        <row r="518">
          <cell r="L518" t="str">
            <v>SY020304</v>
          </cell>
          <cell r="M518" t="str">
            <v>C1518</v>
          </cell>
          <cell r="N518" t="str">
            <v>Kafr Janna\كفر جنة</v>
          </cell>
        </row>
        <row r="519">
          <cell r="L519" t="str">
            <v>SY020304</v>
          </cell>
          <cell r="M519" t="str">
            <v>C1522</v>
          </cell>
          <cell r="N519" t="str">
            <v>Kafroum\كفرروم</v>
          </cell>
        </row>
        <row r="520">
          <cell r="L520" t="str">
            <v>SY020304</v>
          </cell>
          <cell r="M520" t="str">
            <v>C1516</v>
          </cell>
          <cell r="N520" t="str">
            <v>Little Dib\الديب الصغير</v>
          </cell>
        </row>
        <row r="521">
          <cell r="L521" t="str">
            <v>SY020304</v>
          </cell>
          <cell r="M521" t="str">
            <v>C1501</v>
          </cell>
          <cell r="N521" t="str">
            <v>Little Hallubi\حلوبي صغير</v>
          </cell>
        </row>
        <row r="522">
          <cell r="L522" t="str">
            <v>SY020304</v>
          </cell>
          <cell r="M522" t="str">
            <v>C1523</v>
          </cell>
          <cell r="N522" t="str">
            <v>Marsawa\مرساوا</v>
          </cell>
        </row>
        <row r="523">
          <cell r="L523" t="str">
            <v>SY020304</v>
          </cell>
          <cell r="M523" t="str">
            <v>C1520</v>
          </cell>
          <cell r="N523" t="str">
            <v>Mashaala\مشعلة</v>
          </cell>
        </row>
        <row r="524">
          <cell r="L524" t="str">
            <v>SY020304</v>
          </cell>
          <cell r="M524" t="str">
            <v>C1505</v>
          </cell>
          <cell r="N524" t="str">
            <v>Maydan Afrin\الميدان عفرين</v>
          </cell>
        </row>
        <row r="525">
          <cell r="L525" t="str">
            <v>SY020304</v>
          </cell>
          <cell r="M525" t="str">
            <v>C1502</v>
          </cell>
          <cell r="N525" t="str">
            <v>Mhabbaba - Naz Oshaghi\المحببة_ناز أوشاغي</v>
          </cell>
        </row>
        <row r="526">
          <cell r="L526" t="str">
            <v>SY020304</v>
          </cell>
          <cell r="M526" t="str">
            <v>C1510</v>
          </cell>
          <cell r="N526" t="str">
            <v>Omariyeh Afrin\العمرية عفرين</v>
          </cell>
        </row>
        <row r="527">
          <cell r="L527" t="str">
            <v>SY020304</v>
          </cell>
          <cell r="M527" t="str">
            <v>C1509</v>
          </cell>
          <cell r="N527" t="str">
            <v>Qarra\القارة</v>
          </cell>
        </row>
        <row r="528">
          <cell r="L528" t="str">
            <v>SY020304</v>
          </cell>
          <cell r="M528" t="str">
            <v>C1514</v>
          </cell>
          <cell r="N528" t="str">
            <v>Qastal\القسطل</v>
          </cell>
        </row>
        <row r="529">
          <cell r="L529" t="str">
            <v>SY020304</v>
          </cell>
          <cell r="M529" t="str">
            <v>C1521</v>
          </cell>
          <cell r="N529" t="str">
            <v>Qastal Jend\قسطل جند</v>
          </cell>
        </row>
        <row r="530">
          <cell r="L530" t="str">
            <v>SY020304</v>
          </cell>
          <cell r="M530" t="str">
            <v>C1519</v>
          </cell>
          <cell r="N530" t="str">
            <v>Qatireh\قطيرة</v>
          </cell>
        </row>
        <row r="531">
          <cell r="L531" t="str">
            <v>SY020304</v>
          </cell>
          <cell r="M531" t="str">
            <v>C1524</v>
          </cell>
          <cell r="N531" t="str">
            <v>Qatmet Efrin\قاطمة عفرين</v>
          </cell>
        </row>
        <row r="532">
          <cell r="L532" t="str">
            <v>SY020304</v>
          </cell>
          <cell r="M532" t="str">
            <v>C1508</v>
          </cell>
          <cell r="N532" t="str">
            <v>Ser - Sarnjak\السعر_سعرنجاك</v>
          </cell>
        </row>
        <row r="533">
          <cell r="L533" t="str">
            <v>SY020304</v>
          </cell>
          <cell r="M533" t="str">
            <v>C1497</v>
          </cell>
          <cell r="N533" t="str">
            <v>Sharan\شران</v>
          </cell>
        </row>
        <row r="534">
          <cell r="L534" t="str">
            <v>SY020304</v>
          </cell>
          <cell r="M534" t="str">
            <v>C1517</v>
          </cell>
          <cell r="N534" t="str">
            <v>Sim Omariyeh\السيم_العمرية</v>
          </cell>
        </row>
        <row r="535">
          <cell r="L535" t="str">
            <v>SY020304</v>
          </cell>
          <cell r="M535" t="str">
            <v>C1498</v>
          </cell>
          <cell r="N535" t="str">
            <v>Tal Elosud\تل الاسود</v>
          </cell>
        </row>
        <row r="536">
          <cell r="L536" t="str">
            <v>SY020304</v>
          </cell>
          <cell r="M536" t="str">
            <v>C1500</v>
          </cell>
          <cell r="N536" t="str">
            <v>Yiji\اليجي</v>
          </cell>
        </row>
        <row r="537">
          <cell r="L537" t="str">
            <v>SY020304</v>
          </cell>
          <cell r="M537" t="str">
            <v>C1499</v>
          </cell>
          <cell r="N537" t="str">
            <v>Zaytuneh\زيتونة</v>
          </cell>
        </row>
        <row r="538">
          <cell r="L538" t="str">
            <v>SY020305</v>
          </cell>
          <cell r="M538" t="str">
            <v>C1528</v>
          </cell>
          <cell r="N538" t="str">
            <v>Anqala\انقلة</v>
          </cell>
        </row>
        <row r="539">
          <cell r="L539" t="str">
            <v>SY020305</v>
          </cell>
          <cell r="M539" t="str">
            <v>C1531</v>
          </cell>
          <cell r="N539" t="str">
            <v>Darmash - Darmashkanli\درمش_درمشكانلي</v>
          </cell>
        </row>
        <row r="540">
          <cell r="L540" t="str">
            <v>SY020305</v>
          </cell>
          <cell r="M540" t="str">
            <v>C1527</v>
          </cell>
          <cell r="N540" t="str">
            <v>Khazafiyeh - Qorret Matlaq\خزفية_قرة متلق</v>
          </cell>
        </row>
        <row r="541">
          <cell r="L541" t="str">
            <v>SY020305</v>
          </cell>
          <cell r="M541" t="str">
            <v>C1533</v>
          </cell>
          <cell r="N541" t="str">
            <v>Maghar - Maghar Jeq\مغار_مغار جق</v>
          </cell>
        </row>
        <row r="542">
          <cell r="L542" t="str">
            <v>SY020305</v>
          </cell>
          <cell r="M542" t="str">
            <v>C1530</v>
          </cell>
          <cell r="N542" t="str">
            <v>Mazineh - Aranda\المزينة_أرندة</v>
          </cell>
        </row>
        <row r="543">
          <cell r="L543" t="str">
            <v>SY020305</v>
          </cell>
          <cell r="M543" t="str">
            <v>C1534</v>
          </cell>
          <cell r="N543" t="str">
            <v>Mostakan\مستكان</v>
          </cell>
        </row>
        <row r="544">
          <cell r="L544" t="str">
            <v>SY020305</v>
          </cell>
          <cell r="M544" t="str">
            <v>C1525</v>
          </cell>
          <cell r="N544" t="str">
            <v>Sheikh El-Hadid\شيخ الحديد</v>
          </cell>
        </row>
        <row r="545">
          <cell r="L545" t="str">
            <v>SY020305</v>
          </cell>
          <cell r="M545" t="str">
            <v>C1529</v>
          </cell>
          <cell r="N545" t="str">
            <v>Sinnara\سنارة</v>
          </cell>
        </row>
        <row r="546">
          <cell r="L546" t="str">
            <v>SY020305</v>
          </cell>
          <cell r="M546" t="str">
            <v>C1526</v>
          </cell>
          <cell r="N546" t="str">
            <v>Tal Elthaaleb - Sheikh Jqali\تل الثعالب_شيخ جقاللي</v>
          </cell>
        </row>
        <row r="547">
          <cell r="L547" t="str">
            <v>SY020305</v>
          </cell>
          <cell r="M547" t="str">
            <v>C1532</v>
          </cell>
          <cell r="N547" t="str">
            <v>Wadi Elthaalab - Lower Jqal\وادي الثعالب_جقال تحتاني</v>
          </cell>
        </row>
        <row r="548">
          <cell r="L548" t="str">
            <v>SY020306</v>
          </cell>
          <cell r="M548" t="str">
            <v>C1547</v>
          </cell>
          <cell r="N548" t="str">
            <v>Abraz\أبرز</v>
          </cell>
        </row>
        <row r="549">
          <cell r="L549" t="str">
            <v>SY020306</v>
          </cell>
          <cell r="M549" t="str">
            <v>C1543</v>
          </cell>
          <cell r="N549" t="str">
            <v>Amiriya - Meirkan\الأميرية_ميركان</v>
          </cell>
        </row>
        <row r="550">
          <cell r="L550" t="str">
            <v>SY020306</v>
          </cell>
          <cell r="M550" t="str">
            <v>C1549</v>
          </cell>
          <cell r="N550" t="str">
            <v>Anbar\أنبار</v>
          </cell>
        </row>
        <row r="551">
          <cell r="L551" t="str">
            <v>SY020306</v>
          </cell>
          <cell r="M551" t="str">
            <v>C1537</v>
          </cell>
          <cell r="N551" t="str">
            <v>Ashur\عاشور</v>
          </cell>
        </row>
        <row r="552">
          <cell r="L552" t="str">
            <v>SY020306</v>
          </cell>
          <cell r="M552" t="str">
            <v>C1548</v>
          </cell>
          <cell r="N552" t="str">
            <v>Awlad el Arab - Arab Oshagi\أولاد العرب_عرب أوشاغي</v>
          </cell>
        </row>
        <row r="553">
          <cell r="L553" t="str">
            <v>SY020306</v>
          </cell>
          <cell r="M553" t="str">
            <v>C1535</v>
          </cell>
          <cell r="N553" t="str">
            <v>Bermaja\برماجة</v>
          </cell>
        </row>
        <row r="554">
          <cell r="L554" t="str">
            <v>SY020306</v>
          </cell>
          <cell r="M554" t="str">
            <v>C1542</v>
          </cell>
          <cell r="N554" t="str">
            <v>Big Dar\دار كبير</v>
          </cell>
        </row>
        <row r="555">
          <cell r="L555" t="str">
            <v>SY020306</v>
          </cell>
          <cell r="M555" t="str">
            <v>C1541</v>
          </cell>
          <cell r="N555" t="str">
            <v>Haj Qassem\حاج قاسم</v>
          </cell>
        </row>
        <row r="556">
          <cell r="L556" t="str">
            <v>SY020306</v>
          </cell>
          <cell r="M556" t="str">
            <v>C1538</v>
          </cell>
          <cell r="N556" t="str">
            <v>Hamu Raju\حمو راجو</v>
          </cell>
        </row>
        <row r="557">
          <cell r="L557" t="str">
            <v>SY020306</v>
          </cell>
          <cell r="M557" t="str">
            <v>C1551</v>
          </cell>
          <cell r="N557" t="str">
            <v>Jazruniyeh\الجزرونية</v>
          </cell>
        </row>
        <row r="558">
          <cell r="L558" t="str">
            <v>SY020306</v>
          </cell>
          <cell r="M558" t="str">
            <v>C1544</v>
          </cell>
          <cell r="N558" t="str">
            <v>Jomrokiyeh\الجمركية</v>
          </cell>
        </row>
        <row r="559">
          <cell r="L559" t="str">
            <v>SY020306</v>
          </cell>
          <cell r="M559" t="str">
            <v>C1546</v>
          </cell>
          <cell r="N559" t="str">
            <v>Maasara - Maasaret Jaq\المعصرة_معصرةجق</v>
          </cell>
        </row>
        <row r="560">
          <cell r="L560" t="str">
            <v>SY020306</v>
          </cell>
          <cell r="M560" t="str">
            <v>C1552</v>
          </cell>
          <cell r="N560" t="str">
            <v>Ma'btali\المعبطلي</v>
          </cell>
        </row>
        <row r="561">
          <cell r="L561" t="str">
            <v>SY020306</v>
          </cell>
          <cell r="M561" t="str">
            <v>C1553</v>
          </cell>
          <cell r="N561" t="str">
            <v>Mazuleh - Rotanli\المعزولة_روطانلي</v>
          </cell>
        </row>
        <row r="562">
          <cell r="L562" t="str">
            <v>SY020306</v>
          </cell>
          <cell r="M562" t="str">
            <v>C1554</v>
          </cell>
          <cell r="N562" t="str">
            <v>Sheikh Aqraa - Kilo\الشيخ الأقرع_كيلو</v>
          </cell>
        </row>
        <row r="563">
          <cell r="L563" t="str">
            <v>SY020306</v>
          </cell>
          <cell r="M563" t="str">
            <v>C1540</v>
          </cell>
          <cell r="N563" t="str">
            <v>Sherkan - Sherkanli\شيركان_شيركانلي</v>
          </cell>
        </row>
        <row r="564">
          <cell r="L564" t="str">
            <v>SY020306</v>
          </cell>
          <cell r="M564" t="str">
            <v>C1539</v>
          </cell>
          <cell r="N564" t="str">
            <v>Shorba\الشوربة</v>
          </cell>
        </row>
        <row r="565">
          <cell r="L565" t="str">
            <v>SY020306</v>
          </cell>
          <cell r="M565" t="str">
            <v>C1550</v>
          </cell>
          <cell r="N565" t="str">
            <v>Smal\السمال</v>
          </cell>
        </row>
        <row r="566">
          <cell r="L566" t="str">
            <v>SY020306</v>
          </cell>
          <cell r="M566" t="str">
            <v>C1536</v>
          </cell>
          <cell r="N566" t="str">
            <v>Surra - Kobak\الصرة_كوباك</v>
          </cell>
        </row>
        <row r="567">
          <cell r="L567" t="str">
            <v>SY020306</v>
          </cell>
          <cell r="M567" t="str">
            <v>C1555</v>
          </cell>
          <cell r="N567" t="str">
            <v>Yakhur - Ayki Yakhur\ياخور_أيكي أخور</v>
          </cell>
        </row>
        <row r="568">
          <cell r="L568" t="str">
            <v>SY020306</v>
          </cell>
          <cell r="M568" t="str">
            <v>C1545</v>
          </cell>
          <cell r="N568" t="str">
            <v>Yatimeh - Oksozli\اليتيمة_أوكسوزلي</v>
          </cell>
        </row>
        <row r="569">
          <cell r="L569" t="str">
            <v>SY020400</v>
          </cell>
          <cell r="M569" t="str">
            <v>C1563</v>
          </cell>
          <cell r="N569" t="str">
            <v>Al-Malikeyyeh\المالكية</v>
          </cell>
        </row>
        <row r="570">
          <cell r="L570" t="str">
            <v>SY020400</v>
          </cell>
          <cell r="M570" t="str">
            <v>C1564</v>
          </cell>
          <cell r="N570" t="str">
            <v>Azaz\أعزاز</v>
          </cell>
        </row>
        <row r="571">
          <cell r="L571" t="str">
            <v>SY020400</v>
          </cell>
          <cell r="M571" t="str">
            <v>C1560</v>
          </cell>
          <cell r="N571" t="str">
            <v>Ferziyeh\الفيرزية</v>
          </cell>
        </row>
        <row r="572">
          <cell r="L572" t="str">
            <v>SY020400</v>
          </cell>
          <cell r="M572" t="str">
            <v>C1562</v>
          </cell>
          <cell r="N572" t="str">
            <v>Jarez\جارز</v>
          </cell>
        </row>
        <row r="573">
          <cell r="L573" t="str">
            <v>SY020400</v>
          </cell>
          <cell r="M573" t="str">
            <v>C1568</v>
          </cell>
          <cell r="N573" t="str">
            <v>Kafr Kalbein\كفر كلبين</v>
          </cell>
        </row>
        <row r="574">
          <cell r="L574" t="str">
            <v>SY020400</v>
          </cell>
          <cell r="M574" t="str">
            <v>C1567</v>
          </cell>
          <cell r="N574" t="str">
            <v>Kafr Khasher\كفر خاشر</v>
          </cell>
        </row>
        <row r="575">
          <cell r="L575" t="str">
            <v>SY020400</v>
          </cell>
          <cell r="M575" t="str">
            <v>C1575</v>
          </cell>
          <cell r="N575" t="str">
            <v>Kaljibrin\كلجبرين</v>
          </cell>
        </row>
        <row r="576">
          <cell r="L576" t="str">
            <v>SY020400</v>
          </cell>
          <cell r="M576" t="str">
            <v>C1565</v>
          </cell>
          <cell r="N576" t="str">
            <v>Krum\الكروم</v>
          </cell>
        </row>
        <row r="577">
          <cell r="L577" t="str">
            <v>SY020400</v>
          </cell>
          <cell r="M577" t="str">
            <v>C1574</v>
          </cell>
          <cell r="N577" t="str">
            <v>Maarin\معرين</v>
          </cell>
        </row>
        <row r="578">
          <cell r="L578" t="str">
            <v>SY020400</v>
          </cell>
          <cell r="M578" t="str">
            <v>C1569</v>
          </cell>
          <cell r="N578" t="str">
            <v>Manaq\منق</v>
          </cell>
        </row>
        <row r="579">
          <cell r="L579" t="str">
            <v>SY020400</v>
          </cell>
          <cell r="M579" t="str">
            <v>C1570</v>
          </cell>
          <cell r="N579" t="str">
            <v>Maraanaz\مرعناز</v>
          </cell>
        </row>
        <row r="580">
          <cell r="L580" t="str">
            <v>SY020400</v>
          </cell>
          <cell r="M580" t="str">
            <v>C1573</v>
          </cell>
          <cell r="N580" t="str">
            <v>Nayara\نيارة</v>
          </cell>
        </row>
        <row r="581">
          <cell r="L581" t="str">
            <v>SY020400</v>
          </cell>
          <cell r="M581" t="str">
            <v>C1572</v>
          </cell>
          <cell r="N581" t="str">
            <v>Niddeh \ندة</v>
          </cell>
        </row>
        <row r="582">
          <cell r="L582" t="str">
            <v>SY020400</v>
          </cell>
          <cell r="M582" t="str">
            <v>C1561</v>
          </cell>
          <cell r="N582" t="str">
            <v>Salama\السلامة</v>
          </cell>
        </row>
        <row r="583">
          <cell r="L583" t="str">
            <v>SY020400</v>
          </cell>
          <cell r="M583" t="str">
            <v>C1566</v>
          </cell>
          <cell r="N583" t="str">
            <v>Shamarin\شمارين</v>
          </cell>
        </row>
        <row r="584">
          <cell r="L584" t="str">
            <v>SY020400</v>
          </cell>
          <cell r="M584" t="str">
            <v>C1557</v>
          </cell>
          <cell r="N584" t="str">
            <v>Shmarekh\شمارخ</v>
          </cell>
        </row>
        <row r="585">
          <cell r="L585" t="str">
            <v>SY020400</v>
          </cell>
          <cell r="M585" t="str">
            <v>C1556</v>
          </cell>
          <cell r="N585" t="str">
            <v>Sijraz\سيجراز</v>
          </cell>
        </row>
        <row r="586">
          <cell r="L586" t="str">
            <v>SY020400</v>
          </cell>
          <cell r="M586" t="str">
            <v>C1559</v>
          </cell>
          <cell r="N586" t="str">
            <v>Talil Elsham\تليل الشام</v>
          </cell>
        </row>
        <row r="587">
          <cell r="L587" t="str">
            <v>SY020400</v>
          </cell>
          <cell r="M587" t="str">
            <v>C1558</v>
          </cell>
          <cell r="N587" t="str">
            <v>Tatiyeh\طاطية</v>
          </cell>
        </row>
        <row r="588">
          <cell r="L588" t="str">
            <v>SY020400</v>
          </cell>
          <cell r="M588" t="str">
            <v>C1571</v>
          </cell>
          <cell r="N588" t="str">
            <v>Yahmul\يحمول</v>
          </cell>
        </row>
        <row r="589">
          <cell r="L589" t="str">
            <v>SY020401</v>
          </cell>
          <cell r="M589" t="str">
            <v>C1584</v>
          </cell>
          <cell r="N589" t="str">
            <v>Abla\عبلة</v>
          </cell>
        </row>
        <row r="590">
          <cell r="L590" t="str">
            <v>SY020401</v>
          </cell>
          <cell r="M590" t="str">
            <v>C1581</v>
          </cell>
          <cell r="N590" t="str">
            <v>Akhtrein\أخترين</v>
          </cell>
        </row>
        <row r="591">
          <cell r="L591" t="str">
            <v>SY020401</v>
          </cell>
          <cell r="M591" t="str">
            <v>C6334</v>
          </cell>
          <cell r="N591" t="str">
            <v>Arshaf\ارشاف</v>
          </cell>
        </row>
        <row r="592">
          <cell r="L592" t="str">
            <v>SY020401</v>
          </cell>
          <cell r="M592" t="str">
            <v>C1578</v>
          </cell>
          <cell r="N592" t="str">
            <v>Aziziyeh\العزيزية</v>
          </cell>
        </row>
        <row r="593">
          <cell r="L593" t="str">
            <v>SY020401</v>
          </cell>
          <cell r="M593" t="str">
            <v>C1582</v>
          </cell>
          <cell r="N593" t="str">
            <v>Baruz\باروزة</v>
          </cell>
        </row>
        <row r="594">
          <cell r="L594" t="str">
            <v>SY020401</v>
          </cell>
          <cell r="M594" t="str">
            <v>C1580</v>
          </cell>
          <cell r="N594" t="str">
            <v>Bayada - Aq Burhan\البياضية_آق برهان</v>
          </cell>
        </row>
        <row r="595">
          <cell r="L595" t="str">
            <v>SY020401</v>
          </cell>
          <cell r="M595" t="str">
            <v>C1593</v>
          </cell>
          <cell r="N595" t="str">
            <v>Bgheidine\بغيدين</v>
          </cell>
        </row>
        <row r="596">
          <cell r="L596" t="str">
            <v>SY020401</v>
          </cell>
          <cell r="M596" t="str">
            <v>C1577</v>
          </cell>
          <cell r="N596" t="str">
            <v>Bhorta\بحورته</v>
          </cell>
        </row>
        <row r="597">
          <cell r="L597" t="str">
            <v>SY020401</v>
          </cell>
          <cell r="M597" t="str">
            <v>C1583</v>
          </cell>
          <cell r="N597" t="str">
            <v>Bleikha\بليخة</v>
          </cell>
        </row>
        <row r="598">
          <cell r="L598" t="str">
            <v>SY020401</v>
          </cell>
          <cell r="M598" t="str">
            <v>C1597</v>
          </cell>
          <cell r="N598" t="str">
            <v>Dabeq\دابق</v>
          </cell>
        </row>
        <row r="599">
          <cell r="L599" t="str">
            <v>SY020401</v>
          </cell>
          <cell r="M599" t="str">
            <v>C1591</v>
          </cell>
          <cell r="N599" t="str">
            <v>Dweidan\دوديان</v>
          </cell>
        </row>
        <row r="600">
          <cell r="L600" t="str">
            <v>SY020401</v>
          </cell>
          <cell r="M600" t="str">
            <v>C1586</v>
          </cell>
          <cell r="N600" t="str">
            <v>Dweir Elhawa\دوير الهوا</v>
          </cell>
        </row>
        <row r="601">
          <cell r="L601" t="str">
            <v>SY020401</v>
          </cell>
          <cell r="M601" t="str">
            <v>C1594</v>
          </cell>
          <cell r="N601" t="str">
            <v>Eastern Tal Aar\تل عار شرقية</v>
          </cell>
        </row>
        <row r="602">
          <cell r="L602" t="str">
            <v>SY020401</v>
          </cell>
          <cell r="M602" t="str">
            <v>C1601</v>
          </cell>
          <cell r="N602" t="str">
            <v>Eastern Tal Battal\تل بطال شرقي</v>
          </cell>
        </row>
        <row r="603">
          <cell r="L603" t="str">
            <v>SY020401</v>
          </cell>
          <cell r="M603" t="str">
            <v>C1604</v>
          </cell>
          <cell r="N603" t="str">
            <v>Ein Elosud\عين الاسود</v>
          </cell>
        </row>
        <row r="604">
          <cell r="L604" t="str">
            <v>SY020401</v>
          </cell>
          <cell r="M604" t="str">
            <v>C1598</v>
          </cell>
          <cell r="N604" t="str">
            <v>Eskar\اكسار</v>
          </cell>
        </row>
        <row r="605">
          <cell r="L605" t="str">
            <v>SY020401</v>
          </cell>
          <cell r="M605" t="str">
            <v>C1614</v>
          </cell>
          <cell r="N605" t="str">
            <v>Ghaytun\غيطون</v>
          </cell>
        </row>
        <row r="606">
          <cell r="L606" t="str">
            <v>SY020401</v>
          </cell>
          <cell r="M606" t="str">
            <v>C1608</v>
          </cell>
          <cell r="N606" t="str">
            <v>Gheilaniyeh\الغيلانية</v>
          </cell>
        </row>
        <row r="607">
          <cell r="L607" t="str">
            <v>SY020401</v>
          </cell>
          <cell r="M607" t="str">
            <v>C1603</v>
          </cell>
          <cell r="N607" t="str">
            <v>Ghorur\غرور</v>
          </cell>
        </row>
        <row r="608">
          <cell r="L608" t="str">
            <v>SY020401</v>
          </cell>
          <cell r="M608" t="str">
            <v>C1607</v>
          </cell>
          <cell r="N608" t="str">
            <v>Ghoz\الغوز</v>
          </cell>
        </row>
        <row r="609">
          <cell r="L609" t="str">
            <v>SY020401</v>
          </cell>
          <cell r="M609" t="str">
            <v>C1585</v>
          </cell>
          <cell r="N609" t="str">
            <v>Hardana\الحردانة</v>
          </cell>
        </row>
        <row r="610">
          <cell r="L610" t="str">
            <v>SY020401</v>
          </cell>
          <cell r="M610" t="str">
            <v>C1600</v>
          </cell>
          <cell r="N610" t="str">
            <v>Jakkeh\جكة</v>
          </cell>
        </row>
        <row r="611">
          <cell r="L611" t="str">
            <v>SY020401</v>
          </cell>
          <cell r="M611" t="str">
            <v>C1609</v>
          </cell>
          <cell r="N611" t="str">
            <v>Kaeebeh\كعيبة</v>
          </cell>
        </row>
        <row r="612">
          <cell r="L612" t="str">
            <v>SY020401</v>
          </cell>
          <cell r="M612" t="str">
            <v>C1610</v>
          </cell>
          <cell r="N612" t="str">
            <v>Kardish\كدريش</v>
          </cell>
        </row>
        <row r="613">
          <cell r="L613" t="str">
            <v>SY020401</v>
          </cell>
          <cell r="M613" t="str">
            <v>C1576</v>
          </cell>
          <cell r="N613" t="str">
            <v>Khalfatli\خلفتلي</v>
          </cell>
        </row>
        <row r="614">
          <cell r="L614" t="str">
            <v>SY020401</v>
          </cell>
          <cell r="M614" t="str">
            <v>C1599</v>
          </cell>
          <cell r="N614" t="str">
            <v>Masudiyeh\المسعودية</v>
          </cell>
        </row>
        <row r="615">
          <cell r="L615" t="str">
            <v>SY020401</v>
          </cell>
          <cell r="M615" t="str">
            <v>C1587</v>
          </cell>
          <cell r="N615" t="str">
            <v>Oweilin\عويلين</v>
          </cell>
        </row>
        <row r="616">
          <cell r="L616" t="str">
            <v>SY020401</v>
          </cell>
          <cell r="M616" t="str">
            <v>C1616</v>
          </cell>
          <cell r="N616" t="str">
            <v>Qaar Kalbein\قعر كلبين</v>
          </cell>
        </row>
        <row r="617">
          <cell r="L617" t="str">
            <v>SY020401</v>
          </cell>
          <cell r="M617" t="str">
            <v>C1611</v>
          </cell>
          <cell r="N617" t="str">
            <v>Qabtan\قبتان</v>
          </cell>
        </row>
        <row r="618">
          <cell r="L618" t="str">
            <v>SY020401</v>
          </cell>
          <cell r="M618" t="str">
            <v>C1613</v>
          </cell>
          <cell r="N618" t="str">
            <v>Qazam - Qesset Jak\قزم_قصه جك</v>
          </cell>
        </row>
        <row r="619">
          <cell r="L619" t="str">
            <v>SY020401</v>
          </cell>
          <cell r="M619" t="str">
            <v>C1612</v>
          </cell>
          <cell r="N619" t="str">
            <v>Qorra Mazraa\قره مزرعة</v>
          </cell>
        </row>
        <row r="620">
          <cell r="L620" t="str">
            <v>SY020401</v>
          </cell>
          <cell r="M620" t="str">
            <v>C1596</v>
          </cell>
          <cell r="N620" t="str">
            <v>Samuqet Aazaz\سموقة اعزاز</v>
          </cell>
        </row>
        <row r="621">
          <cell r="L621" t="str">
            <v>SY020401</v>
          </cell>
          <cell r="M621" t="str">
            <v>C1588</v>
          </cell>
          <cell r="N621" t="str">
            <v>Sandara\صندرة</v>
          </cell>
        </row>
        <row r="622">
          <cell r="L622" t="str">
            <v>SY020401</v>
          </cell>
          <cell r="M622" t="str">
            <v>C1590</v>
          </cell>
          <cell r="N622" t="str">
            <v>Taanah\طعانة</v>
          </cell>
        </row>
        <row r="623">
          <cell r="L623" t="str">
            <v>SY020401</v>
          </cell>
          <cell r="M623" t="str">
            <v>C1592</v>
          </cell>
          <cell r="N623" t="str">
            <v>Tal Sheer Aazaz\تل شعير اعزاز</v>
          </cell>
        </row>
        <row r="624">
          <cell r="L624" t="str">
            <v>SY020401</v>
          </cell>
          <cell r="M624" t="str">
            <v>C1602</v>
          </cell>
          <cell r="N624" t="str">
            <v>Tat Hims\طاط حمس</v>
          </cell>
        </row>
        <row r="625">
          <cell r="L625" t="str">
            <v>SY020401</v>
          </cell>
          <cell r="M625" t="str">
            <v>C1606</v>
          </cell>
          <cell r="N625" t="str">
            <v>Teltana\تلتانة</v>
          </cell>
        </row>
        <row r="626">
          <cell r="L626" t="str">
            <v>SY020401</v>
          </cell>
          <cell r="M626" t="str">
            <v>C1605</v>
          </cell>
          <cell r="N626" t="str">
            <v>Turkman Bareh\تركمان بارح</v>
          </cell>
        </row>
        <row r="627">
          <cell r="L627" t="str">
            <v>SY020401</v>
          </cell>
          <cell r="M627" t="str">
            <v>C1589</v>
          </cell>
          <cell r="N627" t="str">
            <v>Tweis\طويس</v>
          </cell>
        </row>
        <row r="628">
          <cell r="L628" t="str">
            <v>SY020401</v>
          </cell>
          <cell r="M628" t="str">
            <v>C1615</v>
          </cell>
          <cell r="N628" t="str">
            <v>Wash\واش</v>
          </cell>
        </row>
        <row r="629">
          <cell r="L629" t="str">
            <v>SY020401</v>
          </cell>
          <cell r="M629" t="str">
            <v>C1595</v>
          </cell>
          <cell r="N629" t="str">
            <v>Western Tal Aar\تل عار غربية</v>
          </cell>
        </row>
        <row r="630">
          <cell r="L630" t="str">
            <v>SY020401</v>
          </cell>
          <cell r="M630" t="str">
            <v>C1579</v>
          </cell>
          <cell r="N630" t="str">
            <v>Zayadiyeh\زيادية</v>
          </cell>
        </row>
        <row r="631">
          <cell r="L631" t="str">
            <v>SY020402</v>
          </cell>
          <cell r="M631" t="str">
            <v>C1623</v>
          </cell>
          <cell r="N631" t="str">
            <v>Ahras\احرص</v>
          </cell>
        </row>
        <row r="632">
          <cell r="L632" t="str">
            <v>SY020402</v>
          </cell>
          <cell r="M632" t="str">
            <v>C1620</v>
          </cell>
          <cell r="N632" t="str">
            <v>Deir Jmal\دير جمال</v>
          </cell>
        </row>
        <row r="633">
          <cell r="L633" t="str">
            <v>SY020402</v>
          </cell>
          <cell r="M633" t="str">
            <v>C1628</v>
          </cell>
          <cell r="N633" t="str">
            <v>Kafr Naseh Tal Refaat\كفر ناصح تل رفعت</v>
          </cell>
        </row>
        <row r="634">
          <cell r="L634" t="str">
            <v>SY020402</v>
          </cell>
          <cell r="M634" t="str">
            <v>C1626</v>
          </cell>
          <cell r="N634" t="str">
            <v>Kafrnaya\كفرنايا</v>
          </cell>
        </row>
        <row r="635">
          <cell r="L635" t="str">
            <v>SY020402</v>
          </cell>
          <cell r="M635" t="str">
            <v>C1625</v>
          </cell>
          <cell r="N635" t="str">
            <v>Kashtaar\كشتعار</v>
          </cell>
        </row>
        <row r="636">
          <cell r="L636" t="str">
            <v>SY020402</v>
          </cell>
          <cell r="M636" t="str">
            <v>C1627</v>
          </cell>
          <cell r="N636" t="str">
            <v>Masqan\مسقان</v>
          </cell>
        </row>
        <row r="637">
          <cell r="L637" t="str">
            <v>SY020402</v>
          </cell>
          <cell r="M637" t="str">
            <v>C1624</v>
          </cell>
          <cell r="N637" t="str">
            <v>Sheikh Issa\الشيخ عيسى</v>
          </cell>
        </row>
        <row r="638">
          <cell r="L638" t="str">
            <v>SY020402</v>
          </cell>
          <cell r="M638" t="str">
            <v>C1617</v>
          </cell>
          <cell r="N638" t="str">
            <v>Tal Jbine\تل جبين</v>
          </cell>
        </row>
        <row r="639">
          <cell r="L639" t="str">
            <v>SY020402</v>
          </cell>
          <cell r="M639" t="str">
            <v>C1621</v>
          </cell>
          <cell r="N639" t="str">
            <v>Tall Refaat\تل رفعت</v>
          </cell>
        </row>
        <row r="640">
          <cell r="L640" t="str">
            <v>SY020402</v>
          </cell>
          <cell r="M640" t="str">
            <v>C1619</v>
          </cell>
          <cell r="N640" t="str">
            <v>Tanab\تنب</v>
          </cell>
        </row>
        <row r="641">
          <cell r="L641" t="str">
            <v>SY020402</v>
          </cell>
          <cell r="M641" t="str">
            <v>C1622</v>
          </cell>
          <cell r="N641" t="str">
            <v>Tatemrash\طاطمراش</v>
          </cell>
        </row>
        <row r="642">
          <cell r="L642" t="str">
            <v>SY020402</v>
          </cell>
          <cell r="M642" t="str">
            <v>C1618</v>
          </cell>
          <cell r="N642" t="str">
            <v>Tellejar\تلعجار</v>
          </cell>
        </row>
        <row r="643">
          <cell r="L643" t="str">
            <v>SY020403</v>
          </cell>
          <cell r="M643" t="str">
            <v>C1633</v>
          </cell>
          <cell r="N643" t="str">
            <v>Alsayed Ali\السيد علي</v>
          </cell>
        </row>
        <row r="644">
          <cell r="L644" t="str">
            <v>SY020403</v>
          </cell>
          <cell r="M644" t="str">
            <v>C1629</v>
          </cell>
          <cell r="N644" t="str">
            <v>Asanbal\اسنبل</v>
          </cell>
        </row>
        <row r="645">
          <cell r="L645" t="str">
            <v>SY020403</v>
          </cell>
          <cell r="M645" t="str">
            <v>C1640</v>
          </cell>
          <cell r="N645" t="str">
            <v>Fafin\فافين</v>
          </cell>
        </row>
        <row r="646">
          <cell r="L646" t="str">
            <v>SY020403</v>
          </cell>
          <cell r="M646" t="str">
            <v>C1631</v>
          </cell>
          <cell r="N646" t="str">
            <v>Harbal\حربل</v>
          </cell>
        </row>
        <row r="647">
          <cell r="L647" t="str">
            <v>SY020403</v>
          </cell>
          <cell r="M647" t="str">
            <v>C1637</v>
          </cell>
          <cell r="N647" t="str">
            <v>Hissiyeh\الحصية</v>
          </cell>
        </row>
        <row r="648">
          <cell r="L648" t="str">
            <v>SY020403</v>
          </cell>
          <cell r="M648" t="str">
            <v>C1636</v>
          </cell>
          <cell r="N648" t="str">
            <v>Hiwar Elnahr\حوار النهر</v>
          </cell>
        </row>
        <row r="649">
          <cell r="L649" t="str">
            <v>SY020403</v>
          </cell>
          <cell r="M649" t="str">
            <v>C1634</v>
          </cell>
          <cell r="N649" t="str">
            <v>Hosniyeh - Hsajek\الحسنية_حساجك</v>
          </cell>
        </row>
        <row r="650">
          <cell r="L650" t="str">
            <v>SY020403</v>
          </cell>
          <cell r="M650" t="str">
            <v>C1642</v>
          </cell>
          <cell r="N650" t="str">
            <v>Kafr Elward\كفر الورد</v>
          </cell>
        </row>
        <row r="651">
          <cell r="L651" t="str">
            <v>SY020403</v>
          </cell>
          <cell r="M651" t="str">
            <v>C1641</v>
          </cell>
          <cell r="N651" t="str">
            <v>Maratet Um Hosh\معراتة أم حوش</v>
          </cell>
        </row>
        <row r="652">
          <cell r="L652" t="str">
            <v>SY020403</v>
          </cell>
          <cell r="M652" t="str">
            <v>C1643</v>
          </cell>
          <cell r="N652" t="str">
            <v>Mare'\مارع</v>
          </cell>
        </row>
        <row r="653">
          <cell r="L653" t="str">
            <v>SY020403</v>
          </cell>
          <cell r="M653" t="str">
            <v>C1639</v>
          </cell>
          <cell r="N653" t="str">
            <v>Qaramel\قرامل</v>
          </cell>
        </row>
        <row r="654">
          <cell r="L654" t="str">
            <v>SY020403</v>
          </cell>
          <cell r="M654" t="str">
            <v>C1630</v>
          </cell>
          <cell r="N654" t="str">
            <v>Saed - Qlsroj\الساعد_قولسروج</v>
          </cell>
        </row>
        <row r="655">
          <cell r="L655" t="str">
            <v>SY020403</v>
          </cell>
          <cell r="M655" t="str">
            <v>C1635</v>
          </cell>
          <cell r="N655" t="str">
            <v>Tal Madeeq\تل مضيق</v>
          </cell>
        </row>
        <row r="656">
          <cell r="L656" t="str">
            <v>SY020403</v>
          </cell>
          <cell r="M656" t="str">
            <v>C1638</v>
          </cell>
          <cell r="N656" t="str">
            <v>Telqraq\تلقراح</v>
          </cell>
        </row>
        <row r="657">
          <cell r="L657" t="str">
            <v>SY020403</v>
          </cell>
          <cell r="M657" t="str">
            <v>C1632</v>
          </cell>
          <cell r="N657" t="str">
            <v>Tlaline\تلالين</v>
          </cell>
        </row>
        <row r="658">
          <cell r="L658" t="str">
            <v>SY020403</v>
          </cell>
          <cell r="M658" t="str">
            <v>C1644</v>
          </cell>
          <cell r="N658" t="str">
            <v>Wahshiyeh\وحشية</v>
          </cell>
        </row>
        <row r="659">
          <cell r="L659" t="str">
            <v>SY020404</v>
          </cell>
          <cell r="M659" t="str">
            <v>C1650</v>
          </cell>
          <cell r="N659" t="str">
            <v>Bashmra\باشمرة</v>
          </cell>
        </row>
        <row r="660">
          <cell r="L660" t="str">
            <v>SY020404</v>
          </cell>
          <cell r="M660" t="str">
            <v>C1645</v>
          </cell>
          <cell r="N660" t="str">
            <v>Big Zawraq\زوق الكبير</v>
          </cell>
        </row>
        <row r="661">
          <cell r="L661" t="str">
            <v>SY020404</v>
          </cell>
          <cell r="M661" t="str">
            <v>C1648</v>
          </cell>
          <cell r="N661" t="str">
            <v>Burj Elqas\برج القاص</v>
          </cell>
        </row>
        <row r="662">
          <cell r="L662" t="str">
            <v>SY020404</v>
          </cell>
          <cell r="M662" t="str">
            <v>C1649</v>
          </cell>
          <cell r="N662" t="str">
            <v>Byanun\بيانون</v>
          </cell>
        </row>
        <row r="663">
          <cell r="L663" t="str">
            <v>SY020404</v>
          </cell>
          <cell r="M663" t="str">
            <v>C1647</v>
          </cell>
          <cell r="N663" t="str">
            <v>Hardatnin\حردتنين</v>
          </cell>
        </row>
        <row r="664">
          <cell r="L664" t="str">
            <v>SY020404</v>
          </cell>
          <cell r="M664" t="str">
            <v>C1652</v>
          </cell>
          <cell r="N664" t="str">
            <v>Kafin\كفين</v>
          </cell>
        </row>
        <row r="665">
          <cell r="L665" t="str">
            <v>SY020404</v>
          </cell>
          <cell r="M665" t="str">
            <v>C1653</v>
          </cell>
          <cell r="N665" t="str">
            <v>Maarset Elkhan\معرسة الخان</v>
          </cell>
        </row>
        <row r="666">
          <cell r="L666" t="str">
            <v>SY020404</v>
          </cell>
          <cell r="M666" t="str">
            <v>C1654</v>
          </cell>
          <cell r="N666" t="str">
            <v>Mayasa\مياسة</v>
          </cell>
        </row>
        <row r="667">
          <cell r="L667" t="str">
            <v>SY020404</v>
          </cell>
          <cell r="M667" t="str">
            <v>C1656</v>
          </cell>
          <cell r="N667" t="str">
            <v>Mayer\ماير</v>
          </cell>
        </row>
        <row r="668">
          <cell r="L668" t="str">
            <v>SY020404</v>
          </cell>
          <cell r="M668" t="str">
            <v>C1655</v>
          </cell>
          <cell r="N668" t="str">
            <v>Nabul\نبل</v>
          </cell>
        </row>
        <row r="669">
          <cell r="L669" t="str">
            <v>SY020404</v>
          </cell>
          <cell r="M669" t="str">
            <v>C1651</v>
          </cell>
          <cell r="N669" t="str">
            <v>Retyan\رتيان</v>
          </cell>
        </row>
        <row r="670">
          <cell r="L670" t="str">
            <v>SY020404</v>
          </cell>
          <cell r="M670" t="str">
            <v>C1646</v>
          </cell>
          <cell r="N670" t="str">
            <v>Zahraa\الزهراء</v>
          </cell>
        </row>
        <row r="671">
          <cell r="L671" t="str">
            <v>SY020405</v>
          </cell>
          <cell r="M671" t="str">
            <v>C1669</v>
          </cell>
          <cell r="N671" t="str">
            <v>Albil\البل</v>
          </cell>
        </row>
        <row r="672">
          <cell r="L672" t="str">
            <v>SY020405</v>
          </cell>
          <cell r="M672" t="str">
            <v>C1663</v>
          </cell>
          <cell r="N672" t="str">
            <v>Baraghideh\براغيدة</v>
          </cell>
        </row>
        <row r="673">
          <cell r="L673" t="str">
            <v>SY020405</v>
          </cell>
          <cell r="M673" t="str">
            <v>C1659</v>
          </cell>
          <cell r="N673" t="str">
            <v>Dweibeq\دويبق</v>
          </cell>
        </row>
        <row r="674">
          <cell r="L674" t="str">
            <v>SY020405</v>
          </cell>
          <cell r="M674" t="str">
            <v>C1667</v>
          </cell>
          <cell r="N674" t="str">
            <v>Ehteimlat\احتيملات</v>
          </cell>
        </row>
        <row r="675">
          <cell r="L675" t="str">
            <v>SY020405</v>
          </cell>
          <cell r="M675" t="str">
            <v>C1661</v>
          </cell>
          <cell r="N675" t="str">
            <v>Hiwar Kalas\حوار كلس</v>
          </cell>
        </row>
        <row r="676">
          <cell r="L676" t="str">
            <v>SY020405</v>
          </cell>
          <cell r="M676" t="str">
            <v>C1662</v>
          </cell>
          <cell r="N676" t="str">
            <v>Jdideh\الجديدة</v>
          </cell>
        </row>
        <row r="677">
          <cell r="L677" t="str">
            <v>SY020405</v>
          </cell>
          <cell r="M677" t="str">
            <v>C1671</v>
          </cell>
          <cell r="N677" t="str">
            <v>Kafr Barja\كفر بارجة</v>
          </cell>
        </row>
        <row r="678">
          <cell r="L678" t="str">
            <v>SY020405</v>
          </cell>
          <cell r="M678" t="str">
            <v>C1672</v>
          </cell>
          <cell r="N678" t="str">
            <v>Kafra\كفرة</v>
          </cell>
        </row>
        <row r="679">
          <cell r="L679" t="str">
            <v>SY020405</v>
          </cell>
          <cell r="M679" t="str">
            <v>C1673</v>
          </cell>
          <cell r="N679" t="str">
            <v>Kafrshush\كفرشوش</v>
          </cell>
        </row>
        <row r="680">
          <cell r="L680" t="str">
            <v>SY020405</v>
          </cell>
          <cell r="M680" t="str">
            <v>C1670</v>
          </cell>
          <cell r="N680" t="str">
            <v>Mreigel\مريغل</v>
          </cell>
        </row>
        <row r="681">
          <cell r="L681" t="str">
            <v>SY020405</v>
          </cell>
          <cell r="M681" t="str">
            <v>C1668</v>
          </cell>
          <cell r="N681" t="str">
            <v>Odaya\العدية</v>
          </cell>
        </row>
        <row r="682">
          <cell r="L682" t="str">
            <v>SY020405</v>
          </cell>
          <cell r="M682" t="str">
            <v>C1665</v>
          </cell>
          <cell r="N682" t="str">
            <v>Rael\راعل</v>
          </cell>
        </row>
        <row r="683">
          <cell r="L683" t="str">
            <v>SY020405</v>
          </cell>
          <cell r="M683" t="str">
            <v>C1660</v>
          </cell>
          <cell r="N683" t="str">
            <v>Shweirin\شويرين</v>
          </cell>
        </row>
        <row r="684">
          <cell r="L684" t="str">
            <v>SY020405</v>
          </cell>
          <cell r="M684" t="str">
            <v>C1664</v>
          </cell>
          <cell r="N684" t="str">
            <v>Suran\صوران</v>
          </cell>
        </row>
        <row r="685">
          <cell r="L685" t="str">
            <v>SY020405</v>
          </cell>
          <cell r="M685" t="str">
            <v>C1666</v>
          </cell>
          <cell r="N685" t="str">
            <v>Thaheriya Azaz\الظاهرية أعزاز</v>
          </cell>
        </row>
        <row r="686">
          <cell r="L686" t="str">
            <v>SY020405</v>
          </cell>
          <cell r="M686" t="str">
            <v>C1657</v>
          </cell>
          <cell r="N686" t="str">
            <v>Yarobiyeh\اليعربية</v>
          </cell>
        </row>
        <row r="687">
          <cell r="L687" t="str">
            <v>SY020405</v>
          </cell>
          <cell r="M687" t="str">
            <v>C1658</v>
          </cell>
          <cell r="N687" t="str">
            <v>Zayzafun - Ekdeh\الزيزفون_إيكدة</v>
          </cell>
        </row>
        <row r="688">
          <cell r="L688" t="str">
            <v>SY020500</v>
          </cell>
          <cell r="M688" t="str">
            <v>C1713</v>
          </cell>
          <cell r="N688" t="str">
            <v>Abu Jrin Manbaj\أبو جرين منبج</v>
          </cell>
        </row>
        <row r="689">
          <cell r="L689" t="str">
            <v>SY020500</v>
          </cell>
          <cell r="M689" t="str">
            <v>C1757</v>
          </cell>
          <cell r="N689" t="str">
            <v>Abu Kahf\أبو كهف</v>
          </cell>
        </row>
        <row r="690">
          <cell r="L690" t="str">
            <v>SY020500</v>
          </cell>
          <cell r="M690" t="str">
            <v>C1740</v>
          </cell>
          <cell r="N690" t="str">
            <v>Abu Mandil\ابو منديل</v>
          </cell>
        </row>
        <row r="691">
          <cell r="L691" t="str">
            <v>SY020500</v>
          </cell>
          <cell r="M691" t="str">
            <v>C1751</v>
          </cell>
          <cell r="N691" t="str">
            <v>Abu Tawil\أبو طويل</v>
          </cell>
        </row>
        <row r="692">
          <cell r="L692" t="str">
            <v>SY020500</v>
          </cell>
          <cell r="M692" t="str">
            <v>C1693</v>
          </cell>
          <cell r="N692" t="str">
            <v>Amudiyeh\عامودية</v>
          </cell>
        </row>
        <row r="693">
          <cell r="L693" t="str">
            <v>SY020500</v>
          </cell>
          <cell r="M693" t="str">
            <v>C1699</v>
          </cell>
          <cell r="N693" t="str">
            <v>Anzawiyeh Manbaj\عنزاوية منبج</v>
          </cell>
        </row>
        <row r="694">
          <cell r="L694" t="str">
            <v>SY020500</v>
          </cell>
          <cell r="M694" t="str">
            <v>C1758</v>
          </cell>
          <cell r="N694" t="str">
            <v>Arnabiet Doshan\ارنبية_دوشان</v>
          </cell>
        </row>
        <row r="695">
          <cell r="L695" t="str">
            <v>SY020500</v>
          </cell>
          <cell r="M695" t="str">
            <v>C1678</v>
          </cell>
          <cell r="N695" t="str">
            <v>Asaliyeh\عسلية</v>
          </cell>
        </row>
        <row r="696">
          <cell r="L696" t="str">
            <v>SY020500</v>
          </cell>
          <cell r="M696" t="str">
            <v>C1759</v>
          </cell>
          <cell r="N696" t="str">
            <v>Big Abu Jadha \أبو جدحة كبير</v>
          </cell>
        </row>
        <row r="697">
          <cell r="L697" t="str">
            <v>SY020500</v>
          </cell>
          <cell r="M697" t="str">
            <v>C1683</v>
          </cell>
          <cell r="N697" t="str">
            <v>Big Arab Hasan\عرب حسن كبير</v>
          </cell>
        </row>
        <row r="698">
          <cell r="L698" t="str">
            <v>SY020500</v>
          </cell>
          <cell r="M698" t="str">
            <v>C1731</v>
          </cell>
          <cell r="N698" t="str">
            <v>Big Hayyeh\حية كبيرة</v>
          </cell>
        </row>
        <row r="699">
          <cell r="L699" t="str">
            <v>SY020500</v>
          </cell>
          <cell r="M699" t="str">
            <v>C1706</v>
          </cell>
          <cell r="N699" t="str">
            <v>Big Jeb Elkalb\جب الكلب كبير</v>
          </cell>
        </row>
        <row r="700">
          <cell r="L700" t="str">
            <v>SY020500</v>
          </cell>
          <cell r="M700" t="str">
            <v>C1756</v>
          </cell>
          <cell r="N700" t="str">
            <v>Big Jern\جرن كبير</v>
          </cell>
        </row>
        <row r="701">
          <cell r="L701" t="str">
            <v>SY020500</v>
          </cell>
          <cell r="M701" t="str">
            <v>C1783</v>
          </cell>
          <cell r="N701" t="str">
            <v>Big Kaber - Big Kaberjeh\كابر كبير_كابرجة كبيرة</v>
          </cell>
        </row>
        <row r="702">
          <cell r="L702" t="str">
            <v>SY020500</v>
          </cell>
          <cell r="M702" t="str">
            <v>C1754</v>
          </cell>
          <cell r="N702" t="str">
            <v>Big Kharufiyeh\خاروفية كبيرة</v>
          </cell>
        </row>
        <row r="703">
          <cell r="L703" t="str">
            <v>SY020500</v>
          </cell>
          <cell r="M703" t="str">
            <v>C1781</v>
          </cell>
          <cell r="N703" t="str">
            <v>Big Madneh\مدنة كبيرة</v>
          </cell>
        </row>
        <row r="704">
          <cell r="L704" t="str">
            <v>SY020500</v>
          </cell>
          <cell r="M704" t="str">
            <v>C1792</v>
          </cell>
          <cell r="N704" t="str">
            <v>Big Maqtaa Elhajar\مقطع حجر كبير</v>
          </cell>
        </row>
        <row r="705">
          <cell r="L705" t="str">
            <v>SY020500</v>
          </cell>
          <cell r="M705" t="str">
            <v>C1782</v>
          </cell>
          <cell r="N705" t="str">
            <v>Big Mohtaraq\محترق كبير</v>
          </cell>
        </row>
        <row r="706">
          <cell r="L706" t="str">
            <v>SY020500</v>
          </cell>
          <cell r="M706" t="str">
            <v>C1687</v>
          </cell>
          <cell r="N706" t="str">
            <v>Big Osajli\عوسجلي كبير</v>
          </cell>
        </row>
        <row r="707">
          <cell r="L707" t="str">
            <v>SY020500</v>
          </cell>
          <cell r="M707" t="str">
            <v>C1749</v>
          </cell>
          <cell r="N707" t="str">
            <v>Big Tahna\طحنة كبيرة</v>
          </cell>
        </row>
        <row r="708">
          <cell r="L708" t="str">
            <v>SY020500</v>
          </cell>
          <cell r="M708" t="str">
            <v>C1714</v>
          </cell>
          <cell r="N708" t="str">
            <v>Bir Kello\بئر خللو</v>
          </cell>
        </row>
        <row r="709">
          <cell r="L709" t="str">
            <v>SY020500</v>
          </cell>
          <cell r="M709" t="str">
            <v>C1779</v>
          </cell>
          <cell r="N709" t="str">
            <v>Bir Quraa\قرعة كبيرة</v>
          </cell>
        </row>
        <row r="710">
          <cell r="L710" t="str">
            <v>SY020500</v>
          </cell>
          <cell r="M710" t="str">
            <v>C1692</v>
          </cell>
          <cell r="N710" t="str">
            <v>Biret Manbaj\البيرة منبج</v>
          </cell>
        </row>
        <row r="711">
          <cell r="L711" t="str">
            <v>SY020500</v>
          </cell>
          <cell r="M711" t="str">
            <v>C1707</v>
          </cell>
          <cell r="N711" t="str">
            <v>Boyer\بوير</v>
          </cell>
        </row>
        <row r="712">
          <cell r="L712" t="str">
            <v>SY020500</v>
          </cell>
          <cell r="M712" t="str">
            <v>C1677</v>
          </cell>
          <cell r="N712" t="str">
            <v>Btoshiyet Manbaj\بطوشية منبج</v>
          </cell>
        </row>
        <row r="713">
          <cell r="L713" t="str">
            <v>SY020500</v>
          </cell>
          <cell r="M713" t="str">
            <v>C1717</v>
          </cell>
          <cell r="N713" t="str">
            <v>Dadat\دادات</v>
          </cell>
        </row>
        <row r="714">
          <cell r="L714" t="str">
            <v>SY020500</v>
          </cell>
          <cell r="M714" t="str">
            <v>C1688</v>
          </cell>
          <cell r="N714" t="str">
            <v>Dandaniya\دندنية</v>
          </cell>
        </row>
        <row r="715">
          <cell r="L715" t="str">
            <v>SY020500</v>
          </cell>
          <cell r="M715" t="str">
            <v>C1729</v>
          </cell>
          <cell r="N715" t="str">
            <v>Ein Elnakhil\عين النخيل</v>
          </cell>
        </row>
        <row r="716">
          <cell r="L716" t="str">
            <v>SY020500</v>
          </cell>
          <cell r="M716" t="str">
            <v>C1679</v>
          </cell>
          <cell r="N716" t="str">
            <v>Farat\الفارات</v>
          </cell>
        </row>
        <row r="717">
          <cell r="L717" t="str">
            <v>SY020500</v>
          </cell>
          <cell r="M717" t="str">
            <v>C1755</v>
          </cell>
          <cell r="N717" t="str">
            <v>Hajar Abyad\الحجر الأبيض</v>
          </cell>
        </row>
        <row r="718">
          <cell r="L718" t="str">
            <v>SY020500</v>
          </cell>
          <cell r="M718" t="str">
            <v>C1728</v>
          </cell>
          <cell r="N718" t="str">
            <v>Halisiyeh\حليسية</v>
          </cell>
        </row>
        <row r="719">
          <cell r="L719" t="str">
            <v>SY020500</v>
          </cell>
          <cell r="M719" t="str">
            <v>C1712</v>
          </cell>
          <cell r="N719" t="str">
            <v>Hamduniyeh\الحمدونية</v>
          </cell>
        </row>
        <row r="720">
          <cell r="L720" t="str">
            <v>SY020500</v>
          </cell>
          <cell r="M720" t="str">
            <v>C1727</v>
          </cell>
          <cell r="N720" t="str">
            <v>Hamran\الحمران</v>
          </cell>
        </row>
        <row r="721">
          <cell r="L721" t="str">
            <v>SY020500</v>
          </cell>
          <cell r="M721" t="str">
            <v>C1725</v>
          </cell>
          <cell r="N721" t="str">
            <v>Himar Jis\حيمر جيس</v>
          </cell>
        </row>
        <row r="722">
          <cell r="L722" t="str">
            <v>SY020500</v>
          </cell>
          <cell r="M722" t="str">
            <v>C1764</v>
          </cell>
          <cell r="N722" t="str">
            <v>Hudhud\هدهد</v>
          </cell>
        </row>
        <row r="723">
          <cell r="L723" t="str">
            <v>SY020500</v>
          </cell>
          <cell r="M723" t="str">
            <v>C1702</v>
          </cell>
          <cell r="N723" t="str">
            <v>Jamusiyeh\جاموسية</v>
          </cell>
        </row>
        <row r="724">
          <cell r="L724" t="str">
            <v>SY020500</v>
          </cell>
          <cell r="M724" t="str">
            <v>C1745</v>
          </cell>
          <cell r="N724" t="str">
            <v>Janat Abu Jadha Jarkas\جناة ابو جدحةجركس</v>
          </cell>
        </row>
        <row r="725">
          <cell r="L725" t="str">
            <v>SY020500</v>
          </cell>
          <cell r="M725" t="str">
            <v>C1744</v>
          </cell>
          <cell r="N725" t="str">
            <v>Janat Saleh Eltayyeb\جناة صالح الطيب</v>
          </cell>
        </row>
        <row r="726">
          <cell r="L726" t="str">
            <v>SY020500</v>
          </cell>
          <cell r="M726" t="str">
            <v>C1701</v>
          </cell>
          <cell r="N726" t="str">
            <v>Jeb Abyad\جب ابيض</v>
          </cell>
        </row>
        <row r="727">
          <cell r="L727" t="str">
            <v>SY020500</v>
          </cell>
          <cell r="M727" t="str">
            <v>C1722</v>
          </cell>
          <cell r="N727" t="str">
            <v>Jeb Elarus\جب العروس</v>
          </cell>
        </row>
        <row r="728">
          <cell r="L728" t="str">
            <v>SY020500</v>
          </cell>
          <cell r="M728" t="str">
            <v>C1695</v>
          </cell>
          <cell r="N728" t="str">
            <v>Jeb Elhamam Sultan\جب الحمام سلطان</v>
          </cell>
        </row>
        <row r="729">
          <cell r="L729" t="str">
            <v>SY020500</v>
          </cell>
          <cell r="M729" t="str">
            <v>C1703</v>
          </cell>
          <cell r="N729" t="str">
            <v>Jeb Elkhafi - Manbaj\جب الخفي_منبج</v>
          </cell>
        </row>
        <row r="730">
          <cell r="L730" t="str">
            <v>SY020500</v>
          </cell>
          <cell r="M730" t="str">
            <v>C1684</v>
          </cell>
          <cell r="N730" t="str">
            <v>Jeb Elqader\جب القادر</v>
          </cell>
        </row>
        <row r="731">
          <cell r="L731" t="str">
            <v>SY020500</v>
          </cell>
          <cell r="M731" t="str">
            <v>C1697</v>
          </cell>
          <cell r="N731" t="str">
            <v>Jeb Elthor - Akrash\جب الثور_عكرش</v>
          </cell>
        </row>
        <row r="732">
          <cell r="L732" t="str">
            <v>SY020500</v>
          </cell>
          <cell r="M732" t="str">
            <v>C1690</v>
          </cell>
          <cell r="N732" t="str">
            <v>Jeb Makhzum\جب مخزوم</v>
          </cell>
        </row>
        <row r="733">
          <cell r="L733" t="str">
            <v>SY020500</v>
          </cell>
          <cell r="M733" t="str">
            <v>C1741</v>
          </cell>
          <cell r="N733" t="str">
            <v>Jota\جوتة</v>
          </cell>
        </row>
        <row r="734">
          <cell r="L734" t="str">
            <v>SY020500</v>
          </cell>
          <cell r="M734" t="str">
            <v>C1748</v>
          </cell>
          <cell r="N734" t="str">
            <v>Kabiret Manbaj - Bashli\الكبيرة منبج_باشلي</v>
          </cell>
        </row>
        <row r="735">
          <cell r="L735" t="str">
            <v>SY020500</v>
          </cell>
          <cell r="M735" t="str">
            <v>C1768</v>
          </cell>
          <cell r="N735" t="str">
            <v>Karsan\كرسان</v>
          </cell>
        </row>
        <row r="736">
          <cell r="L736" t="str">
            <v>SY020500</v>
          </cell>
          <cell r="M736" t="str">
            <v>C1675</v>
          </cell>
          <cell r="N736" t="str">
            <v>Kherbet Elhsan\خربة الحصان</v>
          </cell>
        </row>
        <row r="737">
          <cell r="L737" t="str">
            <v>SY020500</v>
          </cell>
          <cell r="M737" t="str">
            <v>C1680</v>
          </cell>
          <cell r="N737" t="str">
            <v>Kherbet Elsheyab\خربة الشياب</v>
          </cell>
        </row>
        <row r="738">
          <cell r="L738" t="str">
            <v>SY020500</v>
          </cell>
          <cell r="M738" t="str">
            <v>C1708</v>
          </cell>
          <cell r="N738" t="str">
            <v>Kherbet Massi\خربة ماصي</v>
          </cell>
        </row>
        <row r="739">
          <cell r="L739" t="str">
            <v>SY020500</v>
          </cell>
          <cell r="M739" t="str">
            <v>C1709</v>
          </cell>
          <cell r="N739" t="str">
            <v>Kherbet Nafakh\خربة نفخ</v>
          </cell>
        </row>
        <row r="740">
          <cell r="L740" t="str">
            <v>SY020500</v>
          </cell>
          <cell r="M740" t="str">
            <v>C1716</v>
          </cell>
          <cell r="N740" t="str">
            <v>Khirfan\خرفان</v>
          </cell>
        </row>
        <row r="741">
          <cell r="L741" t="str">
            <v>SY020500</v>
          </cell>
          <cell r="M741" t="str">
            <v>C1696</v>
          </cell>
          <cell r="N741" t="str">
            <v>Khishfet Um Adaseh\خشفة ام عدسة</v>
          </cell>
        </row>
        <row r="742">
          <cell r="L742" t="str">
            <v>SY020500</v>
          </cell>
          <cell r="M742" t="str">
            <v>C1786</v>
          </cell>
          <cell r="N742" t="str">
            <v>Labda - Milo Yran\لابدة_ميلو يران</v>
          </cell>
        </row>
        <row r="743">
          <cell r="L743" t="str">
            <v>SY020500</v>
          </cell>
          <cell r="M743" t="str">
            <v>C1732</v>
          </cell>
          <cell r="N743" t="str">
            <v>Little Arbaa \أربعة صغيرة</v>
          </cell>
        </row>
        <row r="744">
          <cell r="L744" t="str">
            <v>SY020500</v>
          </cell>
          <cell r="M744" t="str">
            <v>C1724</v>
          </cell>
          <cell r="N744" t="str">
            <v>Little Hamam\حمام صغير</v>
          </cell>
        </row>
        <row r="745">
          <cell r="L745" t="str">
            <v>SY020500</v>
          </cell>
          <cell r="M745" t="str">
            <v>C1752</v>
          </cell>
          <cell r="N745" t="str">
            <v>Little Hayyeh\حية صغيرة</v>
          </cell>
        </row>
        <row r="746">
          <cell r="L746" t="str">
            <v>SY020500</v>
          </cell>
          <cell r="M746" t="str">
            <v>C1761</v>
          </cell>
          <cell r="N746" t="str">
            <v>Little Jern\جرن صغير</v>
          </cell>
        </row>
        <row r="747">
          <cell r="L747" t="str">
            <v>SY020500</v>
          </cell>
          <cell r="M747" t="str">
            <v>C1790</v>
          </cell>
          <cell r="N747" t="str">
            <v>Little Kaber - Little Kaberjeh\كابر صغير_كابرجة صغيرة</v>
          </cell>
        </row>
        <row r="748">
          <cell r="L748" t="str">
            <v>SY020500</v>
          </cell>
          <cell r="M748" t="str">
            <v>C1733</v>
          </cell>
          <cell r="N748" t="str">
            <v>Little Kharufiyeh\خاروفية صغيرة</v>
          </cell>
        </row>
        <row r="749">
          <cell r="L749" t="str">
            <v>SY020500</v>
          </cell>
          <cell r="M749" t="str">
            <v>C1780</v>
          </cell>
          <cell r="N749" t="str">
            <v>Little Madneh\مدنة صغير</v>
          </cell>
        </row>
        <row r="750">
          <cell r="L750" t="str">
            <v>SY020500</v>
          </cell>
          <cell r="M750" t="str">
            <v>C1794</v>
          </cell>
          <cell r="N750" t="str">
            <v>Little Maqtaa Elhajar\مقطع الحجر صغير</v>
          </cell>
        </row>
        <row r="751">
          <cell r="L751" t="str">
            <v>SY020500</v>
          </cell>
          <cell r="M751" t="str">
            <v>C1784</v>
          </cell>
          <cell r="N751" t="str">
            <v>Little Mohtaraq\محترق صغير</v>
          </cell>
        </row>
        <row r="752">
          <cell r="L752" t="str">
            <v>SY020500</v>
          </cell>
          <cell r="M752" t="str">
            <v>C1682</v>
          </cell>
          <cell r="N752" t="str">
            <v>Little Osajli\عوسجلي صغير</v>
          </cell>
        </row>
        <row r="753">
          <cell r="L753" t="str">
            <v>SY020500</v>
          </cell>
          <cell r="M753" t="str">
            <v>C1763</v>
          </cell>
          <cell r="N753" t="str">
            <v>Lower Majra\مجرى تحتاني</v>
          </cell>
        </row>
        <row r="754">
          <cell r="L754" t="str">
            <v>SY020500</v>
          </cell>
          <cell r="M754" t="str">
            <v>C1723</v>
          </cell>
          <cell r="N754" t="str">
            <v>Mahsana - Bak Weiran\المحسنة_باك ويران</v>
          </cell>
        </row>
        <row r="755">
          <cell r="L755" t="str">
            <v>SY020500</v>
          </cell>
          <cell r="M755" t="str">
            <v>C1772</v>
          </cell>
          <cell r="N755" t="str">
            <v>Manilla Asaad\منلا اسعد</v>
          </cell>
        </row>
        <row r="756">
          <cell r="L756" t="str">
            <v>SY020500</v>
          </cell>
          <cell r="M756" t="str">
            <v>C1738</v>
          </cell>
          <cell r="N756" t="str">
            <v>Mankubeh\المنكوبة</v>
          </cell>
        </row>
        <row r="757">
          <cell r="L757" t="str">
            <v>SY020500</v>
          </cell>
          <cell r="M757" t="str">
            <v>C1766</v>
          </cell>
          <cell r="N757" t="str">
            <v>Manther Eljarf\مناظر الجرف</v>
          </cell>
        </row>
        <row r="758">
          <cell r="L758" t="str">
            <v>SY020500</v>
          </cell>
          <cell r="M758" t="str">
            <v>C1787</v>
          </cell>
          <cell r="N758" t="str">
            <v>Maqtala\مقتلة</v>
          </cell>
        </row>
        <row r="759">
          <cell r="L759" t="str">
            <v>SY020500</v>
          </cell>
          <cell r="M759" t="str">
            <v>C1775</v>
          </cell>
          <cell r="N759" t="str">
            <v>Mashrafet Elbweir\مشرفة البوير</v>
          </cell>
        </row>
        <row r="760">
          <cell r="L760" t="str">
            <v>SY020500</v>
          </cell>
          <cell r="M760" t="str">
            <v>C1767</v>
          </cell>
          <cell r="N760" t="str">
            <v>Menbij\منبج</v>
          </cell>
        </row>
        <row r="761">
          <cell r="L761" t="str">
            <v>SY020500</v>
          </cell>
          <cell r="M761" t="str">
            <v>C1765</v>
          </cell>
          <cell r="N761" t="str">
            <v>Mgheirat\مغيرات</v>
          </cell>
        </row>
        <row r="762">
          <cell r="L762" t="str">
            <v>SY020500</v>
          </cell>
          <cell r="M762" t="str">
            <v>C1793</v>
          </cell>
          <cell r="N762" t="str">
            <v>Middle Majra\مجرى وسطاني</v>
          </cell>
        </row>
        <row r="763">
          <cell r="L763" t="str">
            <v>SY020500</v>
          </cell>
          <cell r="M763" t="str">
            <v>C1774</v>
          </cell>
          <cell r="N763" t="str">
            <v>Middle Warideh\وريدة المركز</v>
          </cell>
        </row>
        <row r="764">
          <cell r="L764" t="str">
            <v>SY020500</v>
          </cell>
          <cell r="M764" t="str">
            <v>C1795</v>
          </cell>
          <cell r="N764" t="str">
            <v>Miloyran\ميلويران</v>
          </cell>
        </row>
        <row r="765">
          <cell r="L765" t="str">
            <v>SY020500</v>
          </cell>
          <cell r="M765" t="str">
            <v>C1789</v>
          </cell>
          <cell r="N765" t="str">
            <v>Moaysera\معيصرة</v>
          </cell>
        </row>
        <row r="766">
          <cell r="L766" t="str">
            <v>SY020500</v>
          </cell>
          <cell r="M766" t="str">
            <v>C1788</v>
          </cell>
          <cell r="N766" t="str">
            <v>Moruh Manbaj\مروح منبج</v>
          </cell>
        </row>
        <row r="767">
          <cell r="L767" t="str">
            <v>SY020500</v>
          </cell>
          <cell r="M767" t="str">
            <v>C1770</v>
          </cell>
          <cell r="N767" t="str">
            <v>Mostarihet Jafatlak\مستريحة جفتلك</v>
          </cell>
        </row>
        <row r="768">
          <cell r="L768" t="str">
            <v>SY020500</v>
          </cell>
          <cell r="M768" t="str">
            <v>C1778</v>
          </cell>
          <cell r="N768" t="str">
            <v>Muqbilet Elbireh\مقبلة البيرة</v>
          </cell>
        </row>
        <row r="769">
          <cell r="L769" t="str">
            <v>SY020500</v>
          </cell>
          <cell r="M769" t="str">
            <v>C1776</v>
          </cell>
          <cell r="N769" t="str">
            <v>Nahliya - Nahliya\نحلية_ناحلية</v>
          </cell>
        </row>
        <row r="770">
          <cell r="L770" t="str">
            <v>SY020500</v>
          </cell>
          <cell r="M770" t="str">
            <v>C1777</v>
          </cell>
          <cell r="N770" t="str">
            <v>Nejem Castle\قلعة نجم</v>
          </cell>
        </row>
        <row r="771">
          <cell r="L771" t="str">
            <v>SY020500</v>
          </cell>
          <cell r="M771" t="str">
            <v>C1710</v>
          </cell>
          <cell r="N771" t="str">
            <v>Omriyeh\عمرية</v>
          </cell>
        </row>
        <row r="772">
          <cell r="L772" t="str">
            <v>SY020500</v>
          </cell>
          <cell r="M772" t="str">
            <v>C1762</v>
          </cell>
          <cell r="N772" t="str">
            <v>Oshrieh\أوشرية</v>
          </cell>
        </row>
        <row r="773">
          <cell r="L773" t="str">
            <v>SY020500</v>
          </cell>
          <cell r="M773" t="str">
            <v>C1791</v>
          </cell>
          <cell r="N773" t="str">
            <v>Qabab Bonyeh - Qarajleh\قبب بنية_قراجلة</v>
          </cell>
        </row>
        <row r="774">
          <cell r="L774" t="str">
            <v>SY020500</v>
          </cell>
          <cell r="M774" t="str">
            <v>C1785</v>
          </cell>
          <cell r="N774" t="str">
            <v>Qaber Imu\قبر إيمو</v>
          </cell>
        </row>
        <row r="775">
          <cell r="L775" t="str">
            <v>SY020500</v>
          </cell>
          <cell r="M775" t="str">
            <v>C1769</v>
          </cell>
          <cell r="N775" t="str">
            <v>Qanat Elghrra\قناة الغرة</v>
          </cell>
        </row>
        <row r="776">
          <cell r="L776" t="str">
            <v>SY020500</v>
          </cell>
          <cell r="M776" t="str">
            <v>C1771</v>
          </cell>
          <cell r="N776" t="str">
            <v>Qatmet Manbaj - Qatma\قاطمة منبج_قطمة</v>
          </cell>
        </row>
        <row r="777">
          <cell r="L777" t="str">
            <v>SY020500</v>
          </cell>
          <cell r="M777" t="str">
            <v>C1704</v>
          </cell>
          <cell r="N777" t="str">
            <v>Rafeeah\رفيعة</v>
          </cell>
        </row>
        <row r="778">
          <cell r="L778" t="str">
            <v>SY020500</v>
          </cell>
          <cell r="M778" t="str">
            <v>C1739</v>
          </cell>
          <cell r="N778" t="str">
            <v>Rasm Elakhdar\رسم الأخضر</v>
          </cell>
        </row>
        <row r="779">
          <cell r="L779" t="str">
            <v>SY020500</v>
          </cell>
          <cell r="M779" t="str">
            <v>C1674</v>
          </cell>
          <cell r="N779" t="str">
            <v>Rasm Elmashrafeh\رسم المشرفة</v>
          </cell>
        </row>
        <row r="780">
          <cell r="L780" t="str">
            <v>SY020500</v>
          </cell>
          <cell r="M780" t="str">
            <v>C1742</v>
          </cell>
          <cell r="N780" t="str">
            <v>Ratwaniyeh\راطونية</v>
          </cell>
        </row>
        <row r="781">
          <cell r="L781" t="str">
            <v>SY020500</v>
          </cell>
          <cell r="M781" t="str">
            <v>C1715</v>
          </cell>
          <cell r="N781" t="str">
            <v>Saan Elghazal - Buz Kij\سعن الغزال_بوز كيج</v>
          </cell>
        </row>
        <row r="782">
          <cell r="L782" t="str">
            <v>SY020500</v>
          </cell>
          <cell r="M782" t="str">
            <v>C1753</v>
          </cell>
          <cell r="N782" t="str">
            <v>Safi\صافي</v>
          </cell>
        </row>
        <row r="783">
          <cell r="L783" t="str">
            <v>SY020500</v>
          </cell>
          <cell r="M783" t="str">
            <v>C1720</v>
          </cell>
          <cell r="N783" t="str">
            <v>Saidiyeh\سعيدية</v>
          </cell>
        </row>
        <row r="784">
          <cell r="L784" t="str">
            <v>SY020500</v>
          </cell>
          <cell r="M784" t="str">
            <v>C1737</v>
          </cell>
          <cell r="N784" t="str">
            <v>Sayada\صيادة</v>
          </cell>
        </row>
        <row r="785">
          <cell r="L785" t="str">
            <v>SY020500</v>
          </cell>
          <cell r="M785" t="str">
            <v>C1735</v>
          </cell>
          <cell r="N785" t="str">
            <v>Sghireh\صغيرة</v>
          </cell>
        </row>
        <row r="786">
          <cell r="L786" t="str">
            <v>SY020500</v>
          </cell>
          <cell r="M786" t="str">
            <v>C1747</v>
          </cell>
          <cell r="N786" t="str">
            <v>Shanhasa\شنهصة</v>
          </cell>
        </row>
        <row r="787">
          <cell r="L787" t="str">
            <v>SY020500</v>
          </cell>
          <cell r="M787" t="str">
            <v>C1750</v>
          </cell>
          <cell r="N787" t="str">
            <v>Sheikh Yehya\شيخ يحيى</v>
          </cell>
        </row>
        <row r="788">
          <cell r="L788" t="str">
            <v>SY020500</v>
          </cell>
          <cell r="M788" t="str">
            <v>C1743</v>
          </cell>
          <cell r="N788" t="str">
            <v>Shweihet Kheznawi\شويحة خزناوي</v>
          </cell>
        </row>
        <row r="789">
          <cell r="L789" t="str">
            <v>SY020500</v>
          </cell>
          <cell r="M789" t="str">
            <v>C1721</v>
          </cell>
          <cell r="N789" t="str">
            <v>Sultahiyeh\سلطانية</v>
          </cell>
        </row>
        <row r="790">
          <cell r="L790" t="str">
            <v>SY020500</v>
          </cell>
          <cell r="M790" t="str">
            <v>C1694</v>
          </cell>
          <cell r="N790" t="str">
            <v>Tal Abu Jadha - Tayara\تل أبو جدحة_طيارة</v>
          </cell>
        </row>
        <row r="791">
          <cell r="L791" t="str">
            <v>SY020500</v>
          </cell>
          <cell r="M791" t="str">
            <v>C1711</v>
          </cell>
          <cell r="N791" t="str">
            <v>Tal Akhdar\تل اخضر</v>
          </cell>
        </row>
        <row r="792">
          <cell r="L792" t="str">
            <v>SY020500</v>
          </cell>
          <cell r="M792" t="str">
            <v>C1689</v>
          </cell>
          <cell r="N792" t="str">
            <v>Tal Rafei\تل رفيع</v>
          </cell>
        </row>
        <row r="793">
          <cell r="L793" t="str">
            <v>SY020500</v>
          </cell>
          <cell r="M793" t="str">
            <v>C1676</v>
          </cell>
          <cell r="N793" t="str">
            <v>Tal Yasti\تل ياسطي</v>
          </cell>
        </row>
        <row r="794">
          <cell r="L794" t="str">
            <v>SY020500</v>
          </cell>
          <cell r="M794" t="str">
            <v>C1760</v>
          </cell>
          <cell r="N794" t="str">
            <v>Tayha\تايهة</v>
          </cell>
        </row>
        <row r="795">
          <cell r="L795" t="str">
            <v>SY020500</v>
          </cell>
          <cell r="M795" t="str">
            <v>C1705</v>
          </cell>
          <cell r="N795" t="str">
            <v>Tlilet Manbaj\تليلة منبج</v>
          </cell>
        </row>
        <row r="796">
          <cell r="L796" t="str">
            <v>SY020500</v>
          </cell>
          <cell r="M796" t="str">
            <v>C1686</v>
          </cell>
          <cell r="N796" t="str">
            <v>Toq Elkhalil\طوق الخليل</v>
          </cell>
        </row>
        <row r="797">
          <cell r="L797" t="str">
            <v>SY020500</v>
          </cell>
          <cell r="M797" t="str">
            <v>C1691</v>
          </cell>
          <cell r="N797" t="str">
            <v>Twal\طوال</v>
          </cell>
        </row>
        <row r="798">
          <cell r="L798" t="str">
            <v>SY020500</v>
          </cell>
          <cell r="M798" t="str">
            <v>C1726</v>
          </cell>
          <cell r="N798" t="str">
            <v>Um Adase near Manbaj\أم عدسة قرب منبج</v>
          </cell>
        </row>
        <row r="799">
          <cell r="L799" t="str">
            <v>SY020500</v>
          </cell>
          <cell r="M799" t="str">
            <v>C1730</v>
          </cell>
          <cell r="N799" t="str">
            <v>Um Adaset Elfarat\أم عدسة الفارات</v>
          </cell>
        </row>
        <row r="800">
          <cell r="L800" t="str">
            <v>SY020500</v>
          </cell>
          <cell r="M800" t="str">
            <v>C1746</v>
          </cell>
          <cell r="N800" t="str">
            <v>Um Edam\أم عظام</v>
          </cell>
        </row>
        <row r="801">
          <cell r="L801" t="str">
            <v>SY020500</v>
          </cell>
          <cell r="M801" t="str">
            <v>C6335</v>
          </cell>
          <cell r="N801" t="str">
            <v>Um Elsafa\أم الصفا</v>
          </cell>
        </row>
        <row r="802">
          <cell r="L802" t="str">
            <v>SY020500</v>
          </cell>
          <cell r="M802" t="str">
            <v>C1700</v>
          </cell>
          <cell r="N802" t="str">
            <v>Um Elsateh\أم السطح</v>
          </cell>
        </row>
        <row r="803">
          <cell r="L803" t="str">
            <v>SY020500</v>
          </cell>
          <cell r="M803" t="str">
            <v>C1685</v>
          </cell>
          <cell r="N803" t="str">
            <v>Um Jalal\أم جلال</v>
          </cell>
        </row>
        <row r="804">
          <cell r="L804" t="str">
            <v>SY020500</v>
          </cell>
          <cell r="M804" t="str">
            <v>C1681</v>
          </cell>
          <cell r="N804" t="str">
            <v>Um Jlud\أم جلود</v>
          </cell>
        </row>
        <row r="805">
          <cell r="L805" t="str">
            <v>SY020500</v>
          </cell>
          <cell r="M805" t="str">
            <v>C1698</v>
          </cell>
          <cell r="N805" t="str">
            <v>Um Khorzet Manbaj\أم خرزة منبج</v>
          </cell>
        </row>
        <row r="806">
          <cell r="L806" t="str">
            <v>SY020500</v>
          </cell>
          <cell r="M806" t="str">
            <v>C1734</v>
          </cell>
          <cell r="N806" t="str">
            <v>Um Myal Jafatlak\أم ميال جفتلك</v>
          </cell>
        </row>
        <row r="807">
          <cell r="L807" t="str">
            <v>SY020500</v>
          </cell>
          <cell r="M807" t="str">
            <v>C1736</v>
          </cell>
          <cell r="N807" t="str">
            <v>Um Myal Miri\أم ميال ميري</v>
          </cell>
        </row>
        <row r="808">
          <cell r="L808" t="str">
            <v>SY020500</v>
          </cell>
          <cell r="M808" t="str">
            <v>C1773</v>
          </cell>
          <cell r="N808" t="str">
            <v>Upper Majra\مجرى فوقاني</v>
          </cell>
        </row>
        <row r="809">
          <cell r="L809" t="str">
            <v>SY020500</v>
          </cell>
          <cell r="M809" t="str">
            <v>C1719</v>
          </cell>
          <cell r="N809" t="str">
            <v>Zornaqal\زونقل</v>
          </cell>
        </row>
        <row r="810">
          <cell r="L810" t="str">
            <v>SY020501</v>
          </cell>
          <cell r="M810" t="str">
            <v>C1798</v>
          </cell>
          <cell r="N810" t="str">
            <v>Abu Qalqal\أبو قلقل</v>
          </cell>
        </row>
        <row r="811">
          <cell r="L811" t="str">
            <v>SY020501</v>
          </cell>
          <cell r="M811" t="str">
            <v>C1830</v>
          </cell>
          <cell r="N811" t="str">
            <v>Big Fors\فرس كبير</v>
          </cell>
        </row>
        <row r="812">
          <cell r="L812" t="str">
            <v>SY020501</v>
          </cell>
          <cell r="M812" t="str">
            <v>C1810</v>
          </cell>
          <cell r="N812" t="str">
            <v>Big Ghorra\غرة كبيرة</v>
          </cell>
        </row>
        <row r="813">
          <cell r="L813" t="str">
            <v>SY020501</v>
          </cell>
          <cell r="M813" t="str">
            <v>C1805</v>
          </cell>
          <cell r="N813" t="str">
            <v>Big Hama\حما كبير</v>
          </cell>
        </row>
        <row r="814">
          <cell r="L814" t="str">
            <v>SY020501</v>
          </cell>
          <cell r="M814" t="str">
            <v>C1813</v>
          </cell>
          <cell r="N814" t="str">
            <v>Big Sandaliyeh\صندلية كبيرة</v>
          </cell>
        </row>
        <row r="815">
          <cell r="L815" t="str">
            <v>SY020501</v>
          </cell>
          <cell r="M815" t="str">
            <v>C1800</v>
          </cell>
          <cell r="N815" t="str">
            <v>Halula\حالولة</v>
          </cell>
        </row>
        <row r="816">
          <cell r="L816" t="str">
            <v>SY020501</v>
          </cell>
          <cell r="M816" t="str">
            <v>C1796</v>
          </cell>
          <cell r="N816" t="str">
            <v>Himar Labda\حيمر لابدة</v>
          </cell>
        </row>
        <row r="817">
          <cell r="L817" t="str">
            <v>SY020501</v>
          </cell>
          <cell r="M817" t="str">
            <v>C1808</v>
          </cell>
          <cell r="N817" t="str">
            <v>Hizeh\الحيزة</v>
          </cell>
        </row>
        <row r="818">
          <cell r="L818" t="str">
            <v>SY020501</v>
          </cell>
          <cell r="M818" t="str">
            <v>C1801</v>
          </cell>
          <cell r="N818" t="str">
            <v>Jdidet Faras\جديدة فرس</v>
          </cell>
        </row>
        <row r="819">
          <cell r="L819" t="str">
            <v>SY020501</v>
          </cell>
          <cell r="M819" t="str">
            <v>C1802</v>
          </cell>
          <cell r="N819" t="str">
            <v>Jeb Elbashama\جب النشامة</v>
          </cell>
        </row>
        <row r="820">
          <cell r="L820" t="str">
            <v>SY020501</v>
          </cell>
          <cell r="M820" t="str">
            <v>C1804</v>
          </cell>
          <cell r="N820" t="str">
            <v>Jeb Elkajli\جب الكجلي</v>
          </cell>
        </row>
        <row r="821">
          <cell r="L821" t="str">
            <v>SY020501</v>
          </cell>
          <cell r="M821" t="str">
            <v>C1811</v>
          </cell>
          <cell r="N821" t="str">
            <v>Jeb Eltawil\جب الطويل</v>
          </cell>
        </row>
        <row r="822">
          <cell r="L822" t="str">
            <v>SY020501</v>
          </cell>
          <cell r="M822" t="str">
            <v>C1822</v>
          </cell>
          <cell r="N822" t="str">
            <v>Jeb Hamza\جب حمزة</v>
          </cell>
        </row>
        <row r="823">
          <cell r="L823" t="str">
            <v>SY020501</v>
          </cell>
          <cell r="M823" t="str">
            <v>C1819</v>
          </cell>
          <cell r="N823" t="str">
            <v>Jeb Hassan Agha\جب حسن آغا</v>
          </cell>
        </row>
        <row r="824">
          <cell r="L824" t="str">
            <v>SY020501</v>
          </cell>
          <cell r="M824" t="str">
            <v>C1817</v>
          </cell>
          <cell r="N824" t="str">
            <v>Jeb Nahid\جب ناهد</v>
          </cell>
        </row>
        <row r="825">
          <cell r="L825" t="str">
            <v>SY020501</v>
          </cell>
          <cell r="M825" t="str">
            <v>C1823</v>
          </cell>
          <cell r="N825" t="str">
            <v>Jeb Sheikh Obeid\جب شيخ عبيد</v>
          </cell>
        </row>
        <row r="826">
          <cell r="L826" t="str">
            <v>SY020501</v>
          </cell>
          <cell r="M826" t="str">
            <v>C1807</v>
          </cell>
          <cell r="N826" t="str">
            <v>Jeifiyet Elmashi \جعيفية الماشي</v>
          </cell>
        </row>
        <row r="827">
          <cell r="L827" t="str">
            <v>SY020501</v>
          </cell>
          <cell r="M827" t="str">
            <v>C1816</v>
          </cell>
          <cell r="N827" t="str">
            <v>Kherbet Bashar\خربة بشار</v>
          </cell>
        </row>
        <row r="828">
          <cell r="L828" t="str">
            <v>SY020501</v>
          </cell>
          <cell r="M828" t="str">
            <v>C1799</v>
          </cell>
          <cell r="N828" t="str">
            <v>Kherbet Elashra\خربة العشرة</v>
          </cell>
        </row>
        <row r="829">
          <cell r="L829" t="str">
            <v>SY020501</v>
          </cell>
          <cell r="M829" t="str">
            <v>C1814</v>
          </cell>
          <cell r="N829" t="str">
            <v>Kherbet Elrus\خربة الروس</v>
          </cell>
        </row>
        <row r="830">
          <cell r="L830" t="str">
            <v>SY020501</v>
          </cell>
          <cell r="M830" t="str">
            <v>C1812</v>
          </cell>
          <cell r="N830" t="str">
            <v>Kherbet Elsawda Manbaj\خربة السودة منبج</v>
          </cell>
        </row>
        <row r="831">
          <cell r="L831" t="str">
            <v>SY020501</v>
          </cell>
          <cell r="M831" t="str">
            <v>C1821</v>
          </cell>
          <cell r="N831" t="str">
            <v>Kherbet Khaled\خربة خالد</v>
          </cell>
        </row>
        <row r="832">
          <cell r="L832" t="str">
            <v>SY020501</v>
          </cell>
          <cell r="M832" t="str">
            <v>C6336</v>
          </cell>
          <cell r="N832" t="str">
            <v>Kherbet Tweini \خربة تويني</v>
          </cell>
        </row>
        <row r="833">
          <cell r="L833" t="str">
            <v>SY020501</v>
          </cell>
          <cell r="M833" t="str">
            <v>C1820</v>
          </cell>
          <cell r="N833" t="str">
            <v>Kherbet Zamala\خربة زمالة</v>
          </cell>
        </row>
        <row r="834">
          <cell r="L834" t="str">
            <v>SY020501</v>
          </cell>
          <cell r="M834" t="str">
            <v>C1797</v>
          </cell>
          <cell r="N834" t="str">
            <v>Khofiyet Abu Qalqal\خفية أبو قلقل</v>
          </cell>
        </row>
        <row r="835">
          <cell r="L835" t="str">
            <v>SY020501</v>
          </cell>
          <cell r="M835" t="str">
            <v>C1833</v>
          </cell>
          <cell r="N835" t="str">
            <v>Little Fors\فرس صغير</v>
          </cell>
        </row>
        <row r="836">
          <cell r="L836" t="str">
            <v>SY020501</v>
          </cell>
          <cell r="M836" t="str">
            <v>C1815</v>
          </cell>
          <cell r="N836" t="str">
            <v>Little Ghorra\غرة صغيرة</v>
          </cell>
        </row>
        <row r="837">
          <cell r="L837" t="str">
            <v>SY020501</v>
          </cell>
          <cell r="M837" t="str">
            <v>C1831</v>
          </cell>
          <cell r="N837" t="str">
            <v>Little Quraa\قرعة صغيرة</v>
          </cell>
        </row>
        <row r="838">
          <cell r="L838" t="str">
            <v>SY020501</v>
          </cell>
          <cell r="M838" t="str">
            <v>C1824</v>
          </cell>
          <cell r="N838" t="str">
            <v>Lower Qana\قنا تحتاني</v>
          </cell>
        </row>
        <row r="839">
          <cell r="L839" t="str">
            <v>SY020501</v>
          </cell>
          <cell r="M839" t="str">
            <v>C1836</v>
          </cell>
          <cell r="N839" t="str">
            <v>Madinet Sad Tishrine\مدينة سد تشرين</v>
          </cell>
        </row>
        <row r="840">
          <cell r="L840" t="str">
            <v>SY020501</v>
          </cell>
          <cell r="M840" t="str">
            <v>C1832</v>
          </cell>
          <cell r="N840" t="str">
            <v>Mahshiet Elsheikh Obeid\محشية الشيخ عبيد</v>
          </cell>
        </row>
        <row r="841">
          <cell r="L841" t="str">
            <v>SY020501</v>
          </cell>
          <cell r="M841" t="str">
            <v>C1828</v>
          </cell>
          <cell r="N841" t="str">
            <v>Mahshiet Eltawahin\محشية الطواحين</v>
          </cell>
        </row>
        <row r="842">
          <cell r="L842" t="str">
            <v>SY020501</v>
          </cell>
          <cell r="M842" t="str">
            <v>C1835</v>
          </cell>
          <cell r="N842" t="str">
            <v>Nmuqbilet Hassan Agha\مقبلة حسن آغا</v>
          </cell>
        </row>
        <row r="843">
          <cell r="L843" t="str">
            <v>SY020501</v>
          </cell>
          <cell r="M843" t="str">
            <v>C1837</v>
          </cell>
          <cell r="N843" t="str">
            <v>Noaimeh\نعيمة</v>
          </cell>
        </row>
        <row r="844">
          <cell r="L844" t="str">
            <v>SY020501</v>
          </cell>
          <cell r="M844" t="str">
            <v>C1825</v>
          </cell>
          <cell r="N844" t="str">
            <v>Northern Qana\قنا شمالي</v>
          </cell>
        </row>
        <row r="845">
          <cell r="L845" t="str">
            <v>SY020501</v>
          </cell>
          <cell r="M845" t="str">
            <v>C1826</v>
          </cell>
          <cell r="N845" t="str">
            <v>Qanaqebli\قناقبلي</v>
          </cell>
        </row>
        <row r="846">
          <cell r="L846" t="str">
            <v>SY020501</v>
          </cell>
          <cell r="M846" t="str">
            <v>C1834</v>
          </cell>
          <cell r="N846" t="str">
            <v>Qeshlet Yusef Basha\قشلة يوسف باشا</v>
          </cell>
        </row>
        <row r="847">
          <cell r="L847" t="str">
            <v>SY020501</v>
          </cell>
          <cell r="M847" t="str">
            <v>C1829</v>
          </cell>
          <cell r="N847" t="str">
            <v>Qokhar\قوخار</v>
          </cell>
        </row>
        <row r="848">
          <cell r="L848" t="str">
            <v>SY020501</v>
          </cell>
          <cell r="M848" t="str">
            <v>C1809</v>
          </cell>
          <cell r="N848" t="str">
            <v>Sakawiyeh\سكاوية</v>
          </cell>
        </row>
        <row r="849">
          <cell r="L849" t="str">
            <v>SY020501</v>
          </cell>
          <cell r="M849" t="str">
            <v>C1806</v>
          </cell>
          <cell r="N849" t="str">
            <v>Shjif Dahabiyeh\شجيف ذهبية</v>
          </cell>
        </row>
        <row r="850">
          <cell r="L850" t="str">
            <v>SY020501</v>
          </cell>
          <cell r="M850" t="str">
            <v>C1818</v>
          </cell>
          <cell r="N850" t="str">
            <v>Southern Tal Arish\تل عريش جنوبي</v>
          </cell>
        </row>
        <row r="851">
          <cell r="L851" t="str">
            <v>SY020501</v>
          </cell>
          <cell r="M851" t="str">
            <v>C1803</v>
          </cell>
          <cell r="N851" t="str">
            <v>Um Jern Manbaj\أم جرن منبج</v>
          </cell>
        </row>
        <row r="852">
          <cell r="L852" t="str">
            <v>SY020501</v>
          </cell>
          <cell r="M852" t="str">
            <v>C1827</v>
          </cell>
          <cell r="N852" t="str">
            <v>Walia - Akirdali\والية_اكيردالي</v>
          </cell>
        </row>
        <row r="853">
          <cell r="L853" t="str">
            <v>SY020502</v>
          </cell>
          <cell r="M853" t="str">
            <v>C1857</v>
          </cell>
          <cell r="N853" t="str">
            <v>Abaja\عباجة</v>
          </cell>
        </row>
        <row r="854">
          <cell r="L854" t="str">
            <v>SY020502</v>
          </cell>
          <cell r="M854" t="str">
            <v>C1864</v>
          </cell>
          <cell r="N854" t="str">
            <v>Abu Hanaya\أبو حنايا</v>
          </cell>
        </row>
        <row r="855">
          <cell r="L855" t="str">
            <v>SY020502</v>
          </cell>
          <cell r="M855" t="str">
            <v>C1871</v>
          </cell>
          <cell r="N855" t="str">
            <v>Abu Maqbara\أبو مقبرة</v>
          </cell>
        </row>
        <row r="856">
          <cell r="L856" t="str">
            <v>SY020502</v>
          </cell>
          <cell r="M856" t="str">
            <v>C1848</v>
          </cell>
          <cell r="N856" t="str">
            <v>Ajuziyeh\العاجوزية</v>
          </cell>
        </row>
        <row r="857">
          <cell r="L857" t="str">
            <v>SY020502</v>
          </cell>
          <cell r="M857" t="str">
            <v>C1894</v>
          </cell>
          <cell r="N857" t="str">
            <v>Al-Khafsa\الخفسة</v>
          </cell>
        </row>
        <row r="858">
          <cell r="L858" t="str">
            <v>SY020502</v>
          </cell>
          <cell r="M858" t="str">
            <v>C6338</v>
          </cell>
          <cell r="N858" t="str">
            <v>Aridiyeh\العريضية</v>
          </cell>
        </row>
        <row r="859">
          <cell r="L859" t="str">
            <v>SY020502</v>
          </cell>
          <cell r="M859" t="str">
            <v>C1850</v>
          </cell>
          <cell r="N859" t="str">
            <v>Ashini\عشيني</v>
          </cell>
        </row>
        <row r="860">
          <cell r="L860" t="str">
            <v>SY020502</v>
          </cell>
          <cell r="M860" t="str">
            <v>C1879</v>
          </cell>
          <cell r="N860" t="str">
            <v>Atireh\عطيرة</v>
          </cell>
        </row>
        <row r="861">
          <cell r="L861" t="str">
            <v>SY020502</v>
          </cell>
          <cell r="M861" t="str">
            <v>C1872</v>
          </cell>
          <cell r="N861" t="str">
            <v>Atshana Jeb Mirri\عطشانة جب ميري</v>
          </cell>
        </row>
        <row r="862">
          <cell r="L862" t="str">
            <v>SY020502</v>
          </cell>
          <cell r="M862" t="str">
            <v>C1883</v>
          </cell>
          <cell r="N862" t="str">
            <v>Big Arbaa \أربعة كبيرة</v>
          </cell>
        </row>
        <row r="863">
          <cell r="L863" t="str">
            <v>SY020502</v>
          </cell>
          <cell r="M863" t="str">
            <v>C1844</v>
          </cell>
          <cell r="N863" t="str">
            <v>Big Aruda\عارودة كبير</v>
          </cell>
        </row>
        <row r="864">
          <cell r="L864" t="str">
            <v>SY020502</v>
          </cell>
          <cell r="M864" t="str">
            <v>C1901</v>
          </cell>
          <cell r="N864" t="str">
            <v>Big Drubiyeh\الدروبية كبيرة</v>
          </cell>
        </row>
        <row r="865">
          <cell r="L865" t="str">
            <v>SY020502</v>
          </cell>
          <cell r="M865" t="str">
            <v>C1896</v>
          </cell>
          <cell r="N865" t="str">
            <v>Big Eastern Rasm Elkhamis \رسم الخميس شرقي كبير</v>
          </cell>
        </row>
        <row r="866">
          <cell r="L866" t="str">
            <v>SY020502</v>
          </cell>
          <cell r="M866" t="str">
            <v>C1902</v>
          </cell>
          <cell r="N866" t="str">
            <v>Big Habbuba\حبوبة كبيرة</v>
          </cell>
        </row>
        <row r="867">
          <cell r="L867" t="str">
            <v>SY020502</v>
          </cell>
          <cell r="M867" t="str">
            <v>C1862</v>
          </cell>
          <cell r="N867" t="str">
            <v>Big Jarrah\جراح كبير</v>
          </cell>
        </row>
        <row r="868">
          <cell r="L868" t="str">
            <v>SY020502</v>
          </cell>
          <cell r="M868" t="str">
            <v>C1908</v>
          </cell>
          <cell r="N868" t="str">
            <v>Big Maarada\معرضة كبيرة</v>
          </cell>
        </row>
        <row r="869">
          <cell r="L869" t="str">
            <v>SY020502</v>
          </cell>
          <cell r="M869" t="str">
            <v>C1905</v>
          </cell>
          <cell r="N869" t="str">
            <v>Big Qobab\قبب كبير</v>
          </cell>
        </row>
        <row r="870">
          <cell r="L870" t="str">
            <v>SY020502</v>
          </cell>
          <cell r="M870" t="str">
            <v>C1852</v>
          </cell>
          <cell r="N870" t="str">
            <v>Big Rasm Elharmal\رسم الحرمل الكبير</v>
          </cell>
        </row>
        <row r="871">
          <cell r="L871" t="str">
            <v>SY020502</v>
          </cell>
          <cell r="M871" t="str">
            <v>C1884</v>
          </cell>
          <cell r="N871" t="str">
            <v>Big Sheib Elhomor\شعيب الحمركبير</v>
          </cell>
        </row>
        <row r="872">
          <cell r="L872" t="str">
            <v>SY020502</v>
          </cell>
          <cell r="M872" t="str">
            <v>C1878</v>
          </cell>
          <cell r="N872" t="str">
            <v>Dakhireh\دخيرة</v>
          </cell>
        </row>
        <row r="873">
          <cell r="L873" t="str">
            <v>SY020502</v>
          </cell>
          <cell r="M873" t="str">
            <v>C1893</v>
          </cell>
          <cell r="N873" t="str">
            <v>Dreisiyeh\دريسية</v>
          </cell>
        </row>
        <row r="874">
          <cell r="L874" t="str">
            <v>SY020502</v>
          </cell>
          <cell r="M874" t="str">
            <v>C1845</v>
          </cell>
          <cell r="N874" t="str">
            <v>Ghadini\غديني</v>
          </cell>
        </row>
        <row r="875">
          <cell r="L875" t="str">
            <v>SY020502</v>
          </cell>
          <cell r="M875" t="str">
            <v>C1840</v>
          </cell>
          <cell r="N875" t="str">
            <v>Hadidi\حديدي</v>
          </cell>
        </row>
        <row r="876">
          <cell r="L876" t="str">
            <v>SY020502</v>
          </cell>
          <cell r="M876" t="str">
            <v>C1885</v>
          </cell>
          <cell r="N876" t="str">
            <v>Jafr Mansur Manbaj\جفر منصور منبج</v>
          </cell>
        </row>
        <row r="877">
          <cell r="L877" t="str">
            <v>SY020502</v>
          </cell>
          <cell r="M877" t="str">
            <v>C1866</v>
          </cell>
          <cell r="N877" t="str">
            <v>Janat Salameh\جناة سلامة</v>
          </cell>
        </row>
        <row r="878">
          <cell r="L878" t="str">
            <v>SY020502</v>
          </cell>
          <cell r="M878" t="str">
            <v>C1849</v>
          </cell>
          <cell r="N878" t="str">
            <v>Jdidet Elhomor\جديدة الحمر</v>
          </cell>
        </row>
        <row r="879">
          <cell r="L879" t="str">
            <v>SY020502</v>
          </cell>
          <cell r="M879" t="str">
            <v>C1854</v>
          </cell>
          <cell r="N879" t="str">
            <v>Jdidet Mistaha\جديدة مسطاحة</v>
          </cell>
        </row>
        <row r="880">
          <cell r="L880" t="str">
            <v>SY020502</v>
          </cell>
          <cell r="M880" t="str">
            <v>C1868</v>
          </cell>
          <cell r="N880" t="str">
            <v>Jeb Elhamam Mestaha\جب الحمام مسطاحة</v>
          </cell>
        </row>
        <row r="881">
          <cell r="L881" t="str">
            <v>SY020502</v>
          </cell>
          <cell r="M881" t="str">
            <v>C1875</v>
          </cell>
          <cell r="N881" t="str">
            <v>Jeb Hamad Elshlal\جب حمد الشلال</v>
          </cell>
        </row>
        <row r="882">
          <cell r="L882" t="str">
            <v>SY020502</v>
          </cell>
          <cell r="M882" t="str">
            <v>C1874</v>
          </cell>
          <cell r="N882" t="str">
            <v>Jeb Khamis\جب خميس</v>
          </cell>
        </row>
        <row r="883">
          <cell r="L883" t="str">
            <v>SY020502</v>
          </cell>
          <cell r="M883" t="str">
            <v>C1839</v>
          </cell>
          <cell r="N883" t="str">
            <v>Jeb Madi\جب ماضي</v>
          </cell>
        </row>
        <row r="884">
          <cell r="L884" t="str">
            <v>SY020502</v>
          </cell>
          <cell r="M884" t="str">
            <v>C1847</v>
          </cell>
          <cell r="N884" t="str">
            <v>Jeb Qahwa\جب قهوة</v>
          </cell>
        </row>
        <row r="885">
          <cell r="L885" t="str">
            <v>SY020502</v>
          </cell>
          <cell r="M885" t="str">
            <v>C1898</v>
          </cell>
          <cell r="N885" t="str">
            <v>Jfeiret Ghazal\جفيرة غزال</v>
          </cell>
        </row>
        <row r="886">
          <cell r="L886" t="str">
            <v>SY020502</v>
          </cell>
          <cell r="M886" t="str">
            <v>C1876</v>
          </cell>
          <cell r="N886" t="str">
            <v>Kasra\الكسرة</v>
          </cell>
        </row>
        <row r="887">
          <cell r="L887" t="str">
            <v>SY020502</v>
          </cell>
          <cell r="M887" t="str">
            <v>C1881</v>
          </cell>
          <cell r="N887" t="str">
            <v>Khan Elhomor\خان الحمر</v>
          </cell>
        </row>
        <row r="888">
          <cell r="L888" t="str">
            <v>SY020502</v>
          </cell>
          <cell r="M888" t="str">
            <v>C1838</v>
          </cell>
          <cell r="N888" t="str">
            <v>Kherbet Barguth\خربة برغوث</v>
          </cell>
        </row>
        <row r="889">
          <cell r="L889" t="str">
            <v>SY020502</v>
          </cell>
          <cell r="M889" t="str">
            <v>C1851</v>
          </cell>
          <cell r="N889" t="str">
            <v>Kherbet Elkhathdraf\خربة الخذراف</v>
          </cell>
        </row>
        <row r="890">
          <cell r="L890" t="str">
            <v>SY020502</v>
          </cell>
          <cell r="M890" t="str">
            <v>C1890</v>
          </cell>
          <cell r="N890" t="str">
            <v>Kherbet Salameh\خربة سلامة</v>
          </cell>
        </row>
        <row r="891">
          <cell r="L891" t="str">
            <v>SY020502</v>
          </cell>
          <cell r="M891" t="str">
            <v>C1899</v>
          </cell>
          <cell r="N891" t="str">
            <v>Kherbet Shihab \خربة شهاب</v>
          </cell>
        </row>
        <row r="892">
          <cell r="L892" t="str">
            <v>SY020502</v>
          </cell>
          <cell r="M892" t="str">
            <v>C1880</v>
          </cell>
          <cell r="N892" t="str">
            <v>Khofiyet Elhomor\خفية الحمر</v>
          </cell>
        </row>
        <row r="893">
          <cell r="L893" t="str">
            <v>SY020502</v>
          </cell>
          <cell r="M893" t="str">
            <v>C1897</v>
          </cell>
          <cell r="N893" t="str">
            <v>Kisumeh\الكيصومة</v>
          </cell>
        </row>
        <row r="894">
          <cell r="L894" t="str">
            <v>SY020502</v>
          </cell>
          <cell r="M894" t="str">
            <v>C1904</v>
          </cell>
          <cell r="N894" t="str">
            <v>Kiyariya\كيارية</v>
          </cell>
        </row>
        <row r="895">
          <cell r="L895" t="str">
            <v>SY020502</v>
          </cell>
          <cell r="M895" t="str">
            <v>C1903</v>
          </cell>
          <cell r="N895" t="str">
            <v>Lala Mohammed\لاله محمد</v>
          </cell>
        </row>
        <row r="896">
          <cell r="L896" t="str">
            <v>SY020502</v>
          </cell>
          <cell r="M896" t="str">
            <v>C1846</v>
          </cell>
          <cell r="N896" t="str">
            <v>Little Aruda\عارودة صغيرة</v>
          </cell>
        </row>
        <row r="897">
          <cell r="L897" t="str">
            <v>SY020502</v>
          </cell>
          <cell r="M897" t="str">
            <v>C1888</v>
          </cell>
          <cell r="N897" t="str">
            <v>Little Habbuba\حبوبة صغيرة</v>
          </cell>
        </row>
        <row r="898">
          <cell r="L898" t="str">
            <v>SY020502</v>
          </cell>
          <cell r="M898" t="str">
            <v>C1910</v>
          </cell>
          <cell r="N898" t="str">
            <v>Little Qobab\قبب صغير</v>
          </cell>
        </row>
        <row r="899">
          <cell r="L899" t="str">
            <v>SY020502</v>
          </cell>
          <cell r="M899" t="str">
            <v>C1867</v>
          </cell>
          <cell r="N899" t="str">
            <v>Little Western Rasm Elkhamis\رسم الخميس غربي صغير</v>
          </cell>
        </row>
        <row r="900">
          <cell r="L900" t="str">
            <v>SY020502</v>
          </cell>
          <cell r="M900" t="str">
            <v>C1886</v>
          </cell>
          <cell r="N900" t="str">
            <v>Mahsana Khefseh\المحسنة خفسة</v>
          </cell>
        </row>
        <row r="901">
          <cell r="L901" t="str">
            <v>SY020502</v>
          </cell>
          <cell r="M901" t="str">
            <v>C1909</v>
          </cell>
          <cell r="N901" t="str">
            <v>Majmaa Mbaqer Maskana\مجمع مباقر مسكنة</v>
          </cell>
        </row>
        <row r="902">
          <cell r="L902" t="str">
            <v>SY020502</v>
          </cell>
          <cell r="M902" t="str">
            <v>C1859</v>
          </cell>
          <cell r="N902" t="str">
            <v>Mamura - Mahdum\المعمورة_المهدوم</v>
          </cell>
        </row>
        <row r="903">
          <cell r="L903" t="str">
            <v>SY020502</v>
          </cell>
          <cell r="M903" t="str">
            <v>C1916</v>
          </cell>
          <cell r="N903" t="str">
            <v>Mashrafet Qurb Khifseh - Elhamed\مشرفة قرب خفسة_الحامض</v>
          </cell>
        </row>
        <row r="904">
          <cell r="L904" t="str">
            <v>SY020502</v>
          </cell>
          <cell r="M904" t="str">
            <v>C1907</v>
          </cell>
          <cell r="N904" t="str">
            <v>Mazyunet Elhomor\مزيونة الحمر</v>
          </cell>
        </row>
        <row r="905">
          <cell r="L905" t="str">
            <v>SY020502</v>
          </cell>
          <cell r="M905" t="str">
            <v>C1906</v>
          </cell>
          <cell r="N905" t="str">
            <v>Mazyunet Eljaberi\مزيونة الجابري</v>
          </cell>
        </row>
        <row r="906">
          <cell r="L906" t="str">
            <v>SY020502</v>
          </cell>
          <cell r="M906" t="str">
            <v>C1856</v>
          </cell>
          <cell r="N906" t="str">
            <v>Northern Jeb Abyad\جب ابيض شمالي</v>
          </cell>
        </row>
        <row r="907">
          <cell r="L907" t="str">
            <v>SY020502</v>
          </cell>
          <cell r="M907" t="str">
            <v>C1912</v>
          </cell>
          <cell r="N907" t="str">
            <v>Qasr Hadleh\قصر هدلة</v>
          </cell>
        </row>
        <row r="908">
          <cell r="L908" t="str">
            <v>SY020502</v>
          </cell>
          <cell r="M908" t="str">
            <v>C1915</v>
          </cell>
          <cell r="N908" t="str">
            <v>Qasr Sallum - Tannuza\قصر سلوم_طنوزة</v>
          </cell>
        </row>
        <row r="909">
          <cell r="L909" t="str">
            <v>SY020502</v>
          </cell>
          <cell r="M909" t="str">
            <v>C1855</v>
          </cell>
          <cell r="N909" t="str">
            <v>Ras El Ein Homor\رأس العين حمر</v>
          </cell>
        </row>
        <row r="910">
          <cell r="L910" t="str">
            <v>SY020502</v>
          </cell>
          <cell r="M910" t="str">
            <v>C1873</v>
          </cell>
          <cell r="N910" t="str">
            <v>Rasm Abbud Jaftalak\رسم عبود جفتلك</v>
          </cell>
        </row>
        <row r="911">
          <cell r="L911" t="str">
            <v>SY020502</v>
          </cell>
          <cell r="M911" t="str">
            <v>C1841</v>
          </cell>
          <cell r="N911" t="str">
            <v>Rasm Elahmar\رسم الأحمر</v>
          </cell>
        </row>
        <row r="912">
          <cell r="L912" t="str">
            <v>SY020502</v>
          </cell>
          <cell r="M912" t="str">
            <v>C6337</v>
          </cell>
          <cell r="N912" t="str">
            <v>Rasm Elfaleh \رسم الفالح</v>
          </cell>
        </row>
        <row r="913">
          <cell r="L913" t="str">
            <v>SY020502</v>
          </cell>
          <cell r="M913" t="str">
            <v>C1882</v>
          </cell>
          <cell r="N913" t="str">
            <v>Rasm Elhamam Miri\رسم الحمام ميري</v>
          </cell>
        </row>
        <row r="914">
          <cell r="L914" t="str">
            <v>SY020502</v>
          </cell>
          <cell r="M914" t="str">
            <v>C1869</v>
          </cell>
          <cell r="N914" t="str">
            <v>Rasm Eljis\رسم الجيس</v>
          </cell>
        </row>
        <row r="915">
          <cell r="L915" t="str">
            <v>SY020502</v>
          </cell>
          <cell r="M915" t="str">
            <v>C1843</v>
          </cell>
          <cell r="N915" t="str">
            <v>Rasm Elmasatiha\رسم المسطاحة</v>
          </cell>
        </row>
        <row r="916">
          <cell r="L916" t="str">
            <v>SY020502</v>
          </cell>
          <cell r="M916" t="str">
            <v>C1860</v>
          </cell>
          <cell r="N916" t="str">
            <v>Rummana\رمانة</v>
          </cell>
        </row>
        <row r="917">
          <cell r="L917" t="str">
            <v>SY020502</v>
          </cell>
          <cell r="M917" t="str">
            <v>C1889</v>
          </cell>
          <cell r="N917" t="str">
            <v>Shajra\شجرة</v>
          </cell>
        </row>
        <row r="918">
          <cell r="L918" t="str">
            <v>SY020502</v>
          </cell>
          <cell r="M918" t="str">
            <v>C1865</v>
          </cell>
          <cell r="N918" t="str">
            <v>Shash Hamdan\شاش حمدان</v>
          </cell>
        </row>
        <row r="919">
          <cell r="L919" t="str">
            <v>SY020502</v>
          </cell>
          <cell r="M919" t="str">
            <v>C1858</v>
          </cell>
          <cell r="N919" t="str">
            <v>Sheikh Abyad\شيخ ابيض</v>
          </cell>
        </row>
        <row r="920">
          <cell r="L920" t="str">
            <v>SY020502</v>
          </cell>
          <cell r="M920" t="str">
            <v>C1863</v>
          </cell>
          <cell r="N920" t="str">
            <v>Sikhni\سخني</v>
          </cell>
        </row>
        <row r="921">
          <cell r="L921" t="str">
            <v>SY020502</v>
          </cell>
          <cell r="M921" t="str">
            <v>C1900</v>
          </cell>
          <cell r="N921" t="str">
            <v>Tabara Kalash\تبارة كلش</v>
          </cell>
        </row>
        <row r="922">
          <cell r="L922" t="str">
            <v>SY020502</v>
          </cell>
          <cell r="M922" t="str">
            <v>C1892</v>
          </cell>
          <cell r="N922" t="str">
            <v>Tal Aakuleh\تل عاكولة</v>
          </cell>
        </row>
        <row r="923">
          <cell r="L923" t="str">
            <v>SY020502</v>
          </cell>
          <cell r="M923" t="str">
            <v>C1870</v>
          </cell>
          <cell r="N923" t="str">
            <v>Tal Aber\تل عابر</v>
          </cell>
        </row>
        <row r="924">
          <cell r="L924" t="str">
            <v>SY020502</v>
          </cell>
          <cell r="M924" t="str">
            <v>C1895</v>
          </cell>
          <cell r="N924" t="str">
            <v>Tal Aswad\تل اسود</v>
          </cell>
        </row>
        <row r="925">
          <cell r="L925" t="str">
            <v>SY020502</v>
          </cell>
          <cell r="M925" t="str">
            <v>C1891</v>
          </cell>
          <cell r="N925" t="str">
            <v>Tal Hassan\تل حسان</v>
          </cell>
        </row>
        <row r="926">
          <cell r="L926" t="str">
            <v>SY020502</v>
          </cell>
          <cell r="M926" t="str">
            <v>C1887</v>
          </cell>
          <cell r="N926" t="str">
            <v>Talhuthan\تلحوذان</v>
          </cell>
        </row>
        <row r="927">
          <cell r="L927" t="str">
            <v>SY020502</v>
          </cell>
          <cell r="M927" t="str">
            <v>C1877</v>
          </cell>
          <cell r="N927" t="str">
            <v>Um Adase Khalilieh\أم عدسة خليلية</v>
          </cell>
        </row>
        <row r="928">
          <cell r="L928" t="str">
            <v>SY020502</v>
          </cell>
          <cell r="M928" t="str">
            <v>C1853</v>
          </cell>
          <cell r="N928" t="str">
            <v>Um Rsum\أم رسوم</v>
          </cell>
        </row>
        <row r="929">
          <cell r="L929" t="str">
            <v>SY020502</v>
          </cell>
          <cell r="M929" t="str">
            <v>C1861</v>
          </cell>
          <cell r="N929" t="str">
            <v>Um Tinet Manbaj\أم تينة منبج</v>
          </cell>
        </row>
        <row r="930">
          <cell r="L930" t="str">
            <v>SY020502</v>
          </cell>
          <cell r="M930" t="str">
            <v>C1842</v>
          </cell>
          <cell r="N930" t="str">
            <v>Upper Nasriyeh\الناصرية فوقاني</v>
          </cell>
        </row>
        <row r="931">
          <cell r="L931" t="str">
            <v>SY020503</v>
          </cell>
          <cell r="M931" t="str">
            <v>C6339</v>
          </cell>
          <cell r="N931" t="str">
            <v>Aziziyeh\العزيزية</v>
          </cell>
        </row>
        <row r="932">
          <cell r="L932" t="str">
            <v>SY020503</v>
          </cell>
          <cell r="M932" t="str">
            <v>C1932</v>
          </cell>
          <cell r="N932" t="str">
            <v>Babiri - Lower Babiri \بابيري_بابيري تحتاني</v>
          </cell>
        </row>
        <row r="933">
          <cell r="L933" t="str">
            <v>SY020503</v>
          </cell>
          <cell r="M933" t="str">
            <v>C1920</v>
          </cell>
          <cell r="N933" t="str">
            <v>Big Raddeh\ردة كبيرة</v>
          </cell>
        </row>
        <row r="934">
          <cell r="L934" t="str">
            <v>SY020503</v>
          </cell>
          <cell r="M934" t="str">
            <v>C1919</v>
          </cell>
          <cell r="N934" t="str">
            <v>Hamra\الحمرة</v>
          </cell>
        </row>
        <row r="935">
          <cell r="L935" t="str">
            <v>SY020503</v>
          </cell>
          <cell r="M935" t="str">
            <v>C1925</v>
          </cell>
          <cell r="N935" t="str">
            <v>Hurriyeh\الحرية</v>
          </cell>
        </row>
        <row r="936">
          <cell r="L936" t="str">
            <v>SY020503</v>
          </cell>
          <cell r="M936" t="str">
            <v>C1928</v>
          </cell>
          <cell r="N936" t="str">
            <v>Jeb Elhamam Jtala\جب الحمام جتالة</v>
          </cell>
        </row>
        <row r="937">
          <cell r="L937" t="str">
            <v>SY020503</v>
          </cell>
          <cell r="M937" t="str">
            <v>C1930</v>
          </cell>
          <cell r="N937" t="str">
            <v>Khan Elshaar\خان الشعر</v>
          </cell>
        </row>
        <row r="938">
          <cell r="L938" t="str">
            <v>SY020503</v>
          </cell>
          <cell r="M938" t="str">
            <v>C1922</v>
          </cell>
          <cell r="N938" t="str">
            <v>Kherbet Salib\خربة صليب</v>
          </cell>
        </row>
        <row r="939">
          <cell r="L939" t="str">
            <v>SY020503</v>
          </cell>
          <cell r="M939" t="str">
            <v>C1935</v>
          </cell>
          <cell r="N939" t="str">
            <v>Madinet Elghar\مدينة الغار</v>
          </cell>
        </row>
        <row r="940">
          <cell r="L940" t="str">
            <v>SY020503</v>
          </cell>
          <cell r="M940" t="str">
            <v>C1933</v>
          </cell>
          <cell r="N940" t="str">
            <v>Maskana - Onaiza\مسكنة_عنيزة</v>
          </cell>
        </row>
        <row r="941">
          <cell r="L941" t="str">
            <v>SY020503</v>
          </cell>
          <cell r="M941" t="str">
            <v>C1924</v>
          </cell>
          <cell r="N941" t="str">
            <v>Muftahiyeh\المفتاحية</v>
          </cell>
        </row>
        <row r="942">
          <cell r="L942" t="str">
            <v>SY020503</v>
          </cell>
          <cell r="M942" t="str">
            <v>C6305</v>
          </cell>
          <cell r="N942" t="str">
            <v>Mujamaa Hettin\مجمع حطين</v>
          </cell>
        </row>
        <row r="943">
          <cell r="L943" t="str">
            <v>SY020503</v>
          </cell>
          <cell r="M943" t="str">
            <v>C1923</v>
          </cell>
          <cell r="N943" t="str">
            <v>Neimiyeh\النعيمية</v>
          </cell>
        </row>
        <row r="944">
          <cell r="L944" t="str">
            <v>SY020503</v>
          </cell>
          <cell r="M944" t="str">
            <v>C1934</v>
          </cell>
          <cell r="N944" t="str">
            <v>Qawas\قواص</v>
          </cell>
        </row>
        <row r="945">
          <cell r="L945" t="str">
            <v>SY020503</v>
          </cell>
          <cell r="M945" t="str">
            <v>C1929</v>
          </cell>
          <cell r="N945" t="str">
            <v>Rajm Elaqraa\رجم الأقرع</v>
          </cell>
        </row>
        <row r="946">
          <cell r="L946" t="str">
            <v>SY020503</v>
          </cell>
          <cell r="M946" t="str">
            <v>C1931</v>
          </cell>
          <cell r="N946" t="str">
            <v>Ras El Ein Bumane\رأس العين البومانع</v>
          </cell>
        </row>
        <row r="947">
          <cell r="L947" t="str">
            <v>SY020503</v>
          </cell>
          <cell r="M947" t="str">
            <v>C1917</v>
          </cell>
          <cell r="N947" t="str">
            <v>Rasm Elbokhar\رسم البوخر</v>
          </cell>
        </row>
        <row r="948">
          <cell r="L948" t="str">
            <v>SY020503</v>
          </cell>
          <cell r="M948" t="str">
            <v>C1927</v>
          </cell>
          <cell r="N948" t="str">
            <v>Samuqet Manbaj\سموقة منبج</v>
          </cell>
        </row>
        <row r="949">
          <cell r="L949" t="str">
            <v>SY020503</v>
          </cell>
          <cell r="M949" t="str">
            <v>C1926</v>
          </cell>
          <cell r="N949" t="str">
            <v>Shahda\الشهداء</v>
          </cell>
        </row>
        <row r="950">
          <cell r="L950" t="str">
            <v>SY020503</v>
          </cell>
          <cell r="M950" t="str">
            <v>C1921</v>
          </cell>
          <cell r="N950" t="str">
            <v>Southern Jdeiah\جنوب جديعة</v>
          </cell>
        </row>
        <row r="951">
          <cell r="L951" t="str">
            <v>SY020503</v>
          </cell>
          <cell r="M951" t="str">
            <v>C1918</v>
          </cell>
          <cell r="N951" t="str">
            <v>Tal Totun\تل توتون</v>
          </cell>
        </row>
        <row r="952">
          <cell r="L952" t="str">
            <v>SY020600</v>
          </cell>
          <cell r="M952" t="str">
            <v>C1946</v>
          </cell>
          <cell r="N952" t="str">
            <v>Ain Al Arab\عين العرب</v>
          </cell>
        </row>
        <row r="953">
          <cell r="L953" t="str">
            <v>SY020600</v>
          </cell>
          <cell r="M953" t="str">
            <v>C1970</v>
          </cell>
          <cell r="N953" t="str">
            <v>Ayoubiyeh - Karoz\الأيوبية_كاروز</v>
          </cell>
        </row>
        <row r="954">
          <cell r="L954" t="str">
            <v>SY020600</v>
          </cell>
          <cell r="M954" t="str">
            <v>C1974</v>
          </cell>
          <cell r="N954" t="str">
            <v>Aziziyeh - Moman Azu\عزيزية_مومان عزو</v>
          </cell>
        </row>
        <row r="955">
          <cell r="L955" t="str">
            <v>SY020600</v>
          </cell>
          <cell r="M955" t="str">
            <v>C1966</v>
          </cell>
          <cell r="N955" t="str">
            <v>Babn - Boban\بابان_بوبان</v>
          </cell>
        </row>
        <row r="956">
          <cell r="L956" t="str">
            <v>SY020600</v>
          </cell>
          <cell r="M956" t="str">
            <v>C1978</v>
          </cell>
          <cell r="N956" t="str">
            <v>Big Doha - Big Qabajeq\دوحة كبير_قباجق كبير</v>
          </cell>
        </row>
        <row r="957">
          <cell r="L957" t="str">
            <v>SY020600</v>
          </cell>
          <cell r="M957" t="str">
            <v>C1957</v>
          </cell>
          <cell r="N957" t="str">
            <v>Big Ein Elbat\عين البط كبير</v>
          </cell>
        </row>
        <row r="958">
          <cell r="L958" t="str">
            <v>SY020600</v>
          </cell>
          <cell r="M958" t="str">
            <v>C1981</v>
          </cell>
          <cell r="N958" t="str">
            <v>Big Mazraet Sofi\مزرعة صوفي كبير</v>
          </cell>
        </row>
        <row r="959">
          <cell r="L959" t="str">
            <v>SY020600</v>
          </cell>
          <cell r="M959" t="str">
            <v>C1942</v>
          </cell>
          <cell r="N959" t="str">
            <v>Big Salama - Big Danquz\سلامة كبير_دونقوز كبير</v>
          </cell>
        </row>
        <row r="960">
          <cell r="L960" t="str">
            <v>SY020600</v>
          </cell>
          <cell r="M960" t="str">
            <v>C1961</v>
          </cell>
          <cell r="N960" t="str">
            <v>Bijan Tramk\بيجان_ترمك</v>
          </cell>
        </row>
        <row r="961">
          <cell r="L961" t="str">
            <v>SY020600</v>
          </cell>
          <cell r="M961" t="str">
            <v>C1959</v>
          </cell>
          <cell r="N961" t="str">
            <v>Bir Omar\بئر عمر</v>
          </cell>
        </row>
        <row r="962">
          <cell r="L962" t="str">
            <v>SY020600</v>
          </cell>
          <cell r="M962" t="str">
            <v>C1975</v>
          </cell>
          <cell r="N962" t="str">
            <v>Estiqama\الاستقامة_كوربا</v>
          </cell>
        </row>
        <row r="963">
          <cell r="L963" t="str">
            <v>SY020600</v>
          </cell>
          <cell r="M963" t="str">
            <v>C1954</v>
          </cell>
          <cell r="N963" t="str">
            <v>Firazdaq - Arsalan Tash\الفرزدق_أرسلان طاش</v>
          </cell>
        </row>
        <row r="964">
          <cell r="L964" t="str">
            <v>SY020600</v>
          </cell>
          <cell r="M964" t="str">
            <v>C1943</v>
          </cell>
          <cell r="N964" t="str">
            <v>Gharib\غريب</v>
          </cell>
        </row>
        <row r="965">
          <cell r="L965" t="str">
            <v>SY020600</v>
          </cell>
          <cell r="M965" t="str">
            <v>C1971</v>
          </cell>
          <cell r="N965" t="str">
            <v>Ghassaniyeh - Qorret Halanj\الغسانية_قرة حلنج</v>
          </cell>
        </row>
        <row r="966">
          <cell r="L966" t="str">
            <v>SY020600</v>
          </cell>
          <cell r="M966" t="str">
            <v>C1963</v>
          </cell>
          <cell r="N966" t="str">
            <v>Hazineh\حزينة</v>
          </cell>
        </row>
        <row r="967">
          <cell r="L967" t="str">
            <v>SY020600</v>
          </cell>
          <cell r="M967" t="str">
            <v>C1976</v>
          </cell>
          <cell r="N967" t="str">
            <v>Hbab - Yadi Qawi\الحباب_ يدي قوي</v>
          </cell>
        </row>
        <row r="968">
          <cell r="L968" t="str">
            <v>SY020600</v>
          </cell>
          <cell r="M968" t="str">
            <v>C1964</v>
          </cell>
          <cell r="N968" t="str">
            <v>Jil Jilak\جيل_جيلك</v>
          </cell>
        </row>
        <row r="969">
          <cell r="L969" t="str">
            <v>SY020600</v>
          </cell>
          <cell r="M969" t="str">
            <v>C1960</v>
          </cell>
          <cell r="N969" t="str">
            <v>Joban - Sheikh Joban\جوبان_الشيخ جوبان</v>
          </cell>
        </row>
        <row r="970">
          <cell r="L970" t="str">
            <v>SY020600</v>
          </cell>
          <cell r="M970" t="str">
            <v>C6341</v>
          </cell>
          <cell r="N970" t="str">
            <v>Kalmad \كلمد</v>
          </cell>
        </row>
        <row r="971">
          <cell r="L971" t="str">
            <v>SY020600</v>
          </cell>
          <cell r="M971" t="str">
            <v>C1991</v>
          </cell>
          <cell r="N971" t="str">
            <v>Karb Karbalak\كرب_كربلك</v>
          </cell>
        </row>
        <row r="972">
          <cell r="L972" t="str">
            <v>SY020600</v>
          </cell>
          <cell r="M972" t="str">
            <v>C1992</v>
          </cell>
          <cell r="N972" t="str">
            <v>Kas Kaskan\كأس_كاسكان</v>
          </cell>
        </row>
        <row r="973">
          <cell r="L973" t="str">
            <v>SY020600</v>
          </cell>
          <cell r="M973" t="str">
            <v>C1967</v>
          </cell>
          <cell r="N973" t="str">
            <v>Kharab Nas\خراب ناس</v>
          </cell>
        </row>
        <row r="974">
          <cell r="L974" t="str">
            <v>SY020600</v>
          </cell>
          <cell r="M974" t="str">
            <v>C6342</v>
          </cell>
          <cell r="N974" t="str">
            <v>Kharab Rasset\خراب رست</v>
          </cell>
        </row>
        <row r="975">
          <cell r="L975" t="str">
            <v>SY020600</v>
          </cell>
          <cell r="M975" t="str">
            <v>C1968</v>
          </cell>
          <cell r="N975" t="str">
            <v>Kharan Kort\خراب كورت</v>
          </cell>
        </row>
        <row r="976">
          <cell r="L976" t="str">
            <v>SY020600</v>
          </cell>
          <cell r="M976" t="str">
            <v>C1944</v>
          </cell>
          <cell r="N976" t="str">
            <v>Little Salameh - Little Danquz\سلامة صغير_دونقوز صغير</v>
          </cell>
        </row>
        <row r="977">
          <cell r="L977" t="str">
            <v>SY020600</v>
          </cell>
          <cell r="M977" t="str">
            <v>C1952</v>
          </cell>
          <cell r="N977" t="str">
            <v>Lower Beith Lehem - Etweiran\بيت لحم تحتاني__إيتويران</v>
          </cell>
        </row>
        <row r="978">
          <cell r="L978" t="str">
            <v>SY020600</v>
          </cell>
          <cell r="M978" t="str">
            <v>C1945</v>
          </cell>
          <cell r="N978" t="str">
            <v>Lower Jbeileh - Qorrat Quri\جبيلة تحتاني_قرة قوري</v>
          </cell>
        </row>
        <row r="979">
          <cell r="L979" t="str">
            <v>SY020600</v>
          </cell>
          <cell r="M979" t="str">
            <v>C1941</v>
          </cell>
          <cell r="N979" t="str">
            <v>Lower Tal Abyad - Lower Bozhyuk \تل ابيض تحتاني_بوزهيوك تحتاني</v>
          </cell>
        </row>
        <row r="980">
          <cell r="L980" t="str">
            <v>SY020600</v>
          </cell>
          <cell r="M980" t="str">
            <v>C1947</v>
          </cell>
          <cell r="N980" t="str">
            <v>Lower Tal Elhajar - Tashluk\تل الحجر تحتاني_طاشلوك</v>
          </cell>
        </row>
        <row r="981">
          <cell r="L981" t="str">
            <v>SY020600</v>
          </cell>
          <cell r="M981" t="str">
            <v>C1986</v>
          </cell>
          <cell r="N981" t="str">
            <v>Makhraj\مخرج</v>
          </cell>
        </row>
        <row r="982">
          <cell r="L982" t="str">
            <v>SY020600</v>
          </cell>
          <cell r="M982" t="str">
            <v>C1953</v>
          </cell>
          <cell r="N982" t="str">
            <v>Maydan - Kork Kitan\الميدان_كورك كيتان</v>
          </cell>
        </row>
        <row r="983">
          <cell r="L983" t="str">
            <v>SY020600</v>
          </cell>
          <cell r="M983" t="str">
            <v>C1982</v>
          </cell>
          <cell r="N983" t="str">
            <v>Mazraet Elamud\مزرعة العامود</v>
          </cell>
        </row>
        <row r="984">
          <cell r="L984" t="str">
            <v>SY020600</v>
          </cell>
          <cell r="M984" t="str">
            <v>C6340</v>
          </cell>
          <cell r="N984" t="str">
            <v>Minas\ميناس</v>
          </cell>
        </row>
        <row r="985">
          <cell r="L985" t="str">
            <v>SY020600</v>
          </cell>
          <cell r="M985" t="str">
            <v>C1987</v>
          </cell>
          <cell r="N985" t="str">
            <v>Morshed Morshed Binar\مرشد مرشد بينار</v>
          </cell>
        </row>
        <row r="986">
          <cell r="L986" t="str">
            <v>SY020600</v>
          </cell>
          <cell r="M986" t="str">
            <v>C1962</v>
          </cell>
          <cell r="N986" t="str">
            <v>Nabaa - Korbinar\النبعة_كوربينار</v>
          </cell>
        </row>
        <row r="987">
          <cell r="L987" t="str">
            <v>SY020600</v>
          </cell>
          <cell r="M987" t="str">
            <v>C1988</v>
          </cell>
          <cell r="N987" t="str">
            <v>Naf Karab - Karabnaf\ناف كرب_كربناف</v>
          </cell>
        </row>
        <row r="988">
          <cell r="L988" t="str">
            <v>SY020600</v>
          </cell>
          <cell r="M988" t="str">
            <v>C1965</v>
          </cell>
          <cell r="N988" t="str">
            <v>Natheriyeh - Koran\الناظرية_كوران</v>
          </cell>
        </row>
        <row r="989">
          <cell r="L989" t="str">
            <v>SY020600</v>
          </cell>
          <cell r="M989" t="str">
            <v>C1956</v>
          </cell>
          <cell r="N989" t="str">
            <v>Oruba - Kor Ali\عروبة_كور علي</v>
          </cell>
        </row>
        <row r="990">
          <cell r="L990" t="str">
            <v>SY020600</v>
          </cell>
          <cell r="M990" t="str">
            <v>C1936</v>
          </cell>
          <cell r="N990" t="str">
            <v>Qantarra - Qantaret Kikan\القنطرة_قنطرة كيكان</v>
          </cell>
        </row>
        <row r="991">
          <cell r="L991" t="str">
            <v>SY020600</v>
          </cell>
          <cell r="M991" t="str">
            <v>C1983</v>
          </cell>
          <cell r="N991" t="str">
            <v>Qantarte Beith Serri\قنطرة بيت سري</v>
          </cell>
        </row>
        <row r="992">
          <cell r="L992" t="str">
            <v>SY020600</v>
          </cell>
          <cell r="M992" t="str">
            <v>C1985</v>
          </cell>
          <cell r="N992" t="str">
            <v>Qarruf\قروف</v>
          </cell>
        </row>
        <row r="993">
          <cell r="L993" t="str">
            <v>SY020600</v>
          </cell>
          <cell r="M993" t="str">
            <v>C1990</v>
          </cell>
          <cell r="N993" t="str">
            <v>Qola\قولا</v>
          </cell>
        </row>
        <row r="994">
          <cell r="L994" t="str">
            <v>SY020600</v>
          </cell>
          <cell r="M994" t="str">
            <v>C1940</v>
          </cell>
          <cell r="N994" t="str">
            <v>Sharan\شران</v>
          </cell>
        </row>
        <row r="995">
          <cell r="L995" t="str">
            <v>SY020600</v>
          </cell>
          <cell r="M995" t="str">
            <v>C1973</v>
          </cell>
          <cell r="N995" t="str">
            <v>Shoruq - Holaqi\الشروق_هولاقي</v>
          </cell>
        </row>
        <row r="996">
          <cell r="L996" t="str">
            <v>SY020600</v>
          </cell>
          <cell r="M996" t="str">
            <v>C1980</v>
          </cell>
          <cell r="N996" t="str">
            <v>Sus - Susan\صوص_صوصان</v>
          </cell>
        </row>
        <row r="997">
          <cell r="L997" t="str">
            <v>SY020600</v>
          </cell>
          <cell r="M997" t="str">
            <v>C1958</v>
          </cell>
          <cell r="N997" t="str">
            <v>Tafsh - Tafsho\طفش_طفشو</v>
          </cell>
        </row>
        <row r="998">
          <cell r="L998" t="str">
            <v>SY020600</v>
          </cell>
          <cell r="M998" t="str">
            <v>C1951</v>
          </cell>
          <cell r="N998" t="str">
            <v>Tal Ghazal\تل غزال</v>
          </cell>
        </row>
        <row r="999">
          <cell r="L999" t="str">
            <v>SY020600</v>
          </cell>
          <cell r="M999" t="str">
            <v>C1949</v>
          </cell>
          <cell r="N999" t="str">
            <v>Tal Hajib\تل حاجب</v>
          </cell>
        </row>
        <row r="1000">
          <cell r="L1000" t="str">
            <v>SY020600</v>
          </cell>
          <cell r="M1000" t="str">
            <v>C1969</v>
          </cell>
          <cell r="N1000" t="str">
            <v>Thahireh - Bil Weiran\ظهيرة_بيل ويران</v>
          </cell>
        </row>
        <row r="1001">
          <cell r="L1001" t="str">
            <v>SY020600</v>
          </cell>
          <cell r="M1001" t="str">
            <v>C1950</v>
          </cell>
          <cell r="N1001" t="str">
            <v>Upper Beith Lehem - Etweiran\بيت لحم فوقاني_إيتويران</v>
          </cell>
        </row>
        <row r="1002">
          <cell r="L1002" t="str">
            <v>SY020600</v>
          </cell>
          <cell r="M1002" t="str">
            <v>C1972</v>
          </cell>
          <cell r="N1002" t="str">
            <v>Upper Jbeileh - Qorrat Quri\جبيلة فوقاني_قرة قوري</v>
          </cell>
        </row>
        <row r="1003">
          <cell r="L1003" t="str">
            <v>SY020600</v>
          </cell>
          <cell r="M1003" t="str">
            <v>C1939</v>
          </cell>
          <cell r="N1003" t="str">
            <v>Upper Khaldiyeh - Upper Tahtak\خالدية فوقاني_تحتك فوقاني</v>
          </cell>
        </row>
        <row r="1004">
          <cell r="L1004" t="str">
            <v>SY020600</v>
          </cell>
          <cell r="M1004" t="str">
            <v>C1979</v>
          </cell>
          <cell r="N1004" t="str">
            <v>Upper Sift - Siftek\سفت فوقاني_سفتك</v>
          </cell>
        </row>
        <row r="1005">
          <cell r="L1005" t="str">
            <v>SY020600</v>
          </cell>
          <cell r="M1005" t="str">
            <v>C1955</v>
          </cell>
          <cell r="N1005" t="str">
            <v>Upper Tal Hajar\تل حجر فوقاني</v>
          </cell>
        </row>
        <row r="1006">
          <cell r="L1006" t="str">
            <v>SY020600</v>
          </cell>
          <cell r="M1006" t="str">
            <v>C1937</v>
          </cell>
          <cell r="N1006" t="str">
            <v>Zarafet Zarafik\زرافة_زرافيك</v>
          </cell>
        </row>
        <row r="1007">
          <cell r="L1007" t="str">
            <v>SY020600</v>
          </cell>
          <cell r="M1007" t="str">
            <v>C1948</v>
          </cell>
          <cell r="N1007" t="str">
            <v>Zobar - Zorabi\زوبار_زورابي</v>
          </cell>
        </row>
        <row r="1008">
          <cell r="L1008" t="str">
            <v>SY020600</v>
          </cell>
          <cell r="M1008" t="str">
            <v>C1977</v>
          </cell>
          <cell r="N1008" t="str">
            <v>Zogher\زوغر</v>
          </cell>
        </row>
        <row r="1009">
          <cell r="L1009" t="str">
            <v>SY020601</v>
          </cell>
          <cell r="M1009" t="str">
            <v>C1998</v>
          </cell>
          <cell r="N1009" t="str">
            <v>Big Duwara - Jraqli\الدوارة الكبيرة_جارقلي</v>
          </cell>
        </row>
        <row r="1010">
          <cell r="L1010" t="str">
            <v>SY020601</v>
          </cell>
          <cell r="M1010" t="str">
            <v>C2004</v>
          </cell>
          <cell r="N1010" t="str">
            <v>Big Jeb Faraj\جب فرج كبير</v>
          </cell>
        </row>
        <row r="1011">
          <cell r="L1011" t="str">
            <v>SY020601</v>
          </cell>
          <cell r="M1011" t="str">
            <v>C2010</v>
          </cell>
          <cell r="N1011" t="str">
            <v>Billeh\بلة</v>
          </cell>
        </row>
        <row r="1012">
          <cell r="L1012" t="str">
            <v>SY020601</v>
          </cell>
          <cell r="M1012" t="str">
            <v>C2009</v>
          </cell>
          <cell r="N1012" t="str">
            <v>Dadi - Dada Li\دادي_دادة لي</v>
          </cell>
        </row>
        <row r="1013">
          <cell r="L1013" t="str">
            <v>SY020601</v>
          </cell>
          <cell r="M1013" t="str">
            <v>C2011</v>
          </cell>
          <cell r="N1013" t="str">
            <v>Darb Elnob\درب النوب</v>
          </cell>
        </row>
        <row r="1014">
          <cell r="L1014" t="str">
            <v>SY020601</v>
          </cell>
          <cell r="M1014" t="str">
            <v>C2013</v>
          </cell>
          <cell r="N1014" t="str">
            <v>Hifyana - Bugas\الحفيانة_بوغاز</v>
          </cell>
        </row>
        <row r="1015">
          <cell r="L1015" t="str">
            <v>SY020601</v>
          </cell>
          <cell r="M1015" t="str">
            <v>C2018</v>
          </cell>
          <cell r="N1015" t="str">
            <v>Hilala - Middle Kord\هلالة_كرد وسطاني</v>
          </cell>
        </row>
        <row r="1016">
          <cell r="L1016" t="str">
            <v>SY020601</v>
          </cell>
          <cell r="M1016" t="str">
            <v>C1995</v>
          </cell>
          <cell r="N1016" t="str">
            <v>Jebnet\جبنة</v>
          </cell>
        </row>
        <row r="1017">
          <cell r="L1017" t="str">
            <v>SY020601</v>
          </cell>
          <cell r="M1017" t="str">
            <v>C2016</v>
          </cell>
          <cell r="N1017" t="str">
            <v>Khalil - Khalijak\خليل_خليلجك</v>
          </cell>
        </row>
        <row r="1018">
          <cell r="L1018" t="str">
            <v>SY020601</v>
          </cell>
          <cell r="M1018" t="str">
            <v>C2001</v>
          </cell>
          <cell r="N1018" t="str">
            <v>Kherbet Atu\خربة عطو</v>
          </cell>
        </row>
        <row r="1019">
          <cell r="L1019" t="str">
            <v>SY020601</v>
          </cell>
          <cell r="M1019" t="str">
            <v>C2007</v>
          </cell>
          <cell r="N1019" t="str">
            <v>Lower Shyookh\شيوخ تحتاني</v>
          </cell>
        </row>
        <row r="1020">
          <cell r="L1020" t="str">
            <v>SY020601</v>
          </cell>
          <cell r="M1020" t="str">
            <v>C2017</v>
          </cell>
          <cell r="N1020" t="str">
            <v>Mazdalfa - Bistek\مزدلفة_بستك</v>
          </cell>
        </row>
        <row r="1021">
          <cell r="L1021" t="str">
            <v>SY020601</v>
          </cell>
          <cell r="M1021" t="str">
            <v>C1996</v>
          </cell>
          <cell r="N1021" t="str">
            <v>Oweina \عوينة</v>
          </cell>
        </row>
        <row r="1022">
          <cell r="L1022" t="str">
            <v>SY020601</v>
          </cell>
          <cell r="M1022" t="str">
            <v>C2019</v>
          </cell>
          <cell r="N1022" t="str">
            <v>Qanaya\قناية</v>
          </cell>
        </row>
        <row r="1023">
          <cell r="L1023" t="str">
            <v>SY020601</v>
          </cell>
          <cell r="M1023" t="str">
            <v>C2020</v>
          </cell>
          <cell r="N1023" t="str">
            <v>Qubbeh\قبة</v>
          </cell>
        </row>
        <row r="1024">
          <cell r="L1024" t="str">
            <v>SY020601</v>
          </cell>
          <cell r="M1024" t="str">
            <v>C1997</v>
          </cell>
          <cell r="N1024" t="str">
            <v>Rajabiyeh - Middle Qojli\رجبية_قوجلي وسط</v>
          </cell>
        </row>
        <row r="1025">
          <cell r="L1025" t="str">
            <v>SY020601</v>
          </cell>
          <cell r="M1025" t="str">
            <v>C1999</v>
          </cell>
          <cell r="N1025" t="str">
            <v>Sawaniyet - Qamlaq\صوانية_قملق</v>
          </cell>
        </row>
        <row r="1026">
          <cell r="L1026" t="str">
            <v>SY020601</v>
          </cell>
          <cell r="M1026" t="str">
            <v>C2000</v>
          </cell>
          <cell r="N1026" t="str">
            <v>Seif Ali\سيف علي</v>
          </cell>
        </row>
        <row r="1027">
          <cell r="L1027" t="str">
            <v>SY020601</v>
          </cell>
          <cell r="M1027" t="str">
            <v>C1994</v>
          </cell>
          <cell r="N1027" t="str">
            <v>Shakriyeh - Mashko\الشاكرية_مشكو</v>
          </cell>
        </row>
        <row r="1028">
          <cell r="L1028" t="str">
            <v>SY020601</v>
          </cell>
          <cell r="M1028" t="str">
            <v>C2014</v>
          </cell>
          <cell r="N1028" t="str">
            <v>Shamaliyeh - Boraz Ogli\الشمالية_بوراز أوغلي</v>
          </cell>
        </row>
        <row r="1029">
          <cell r="L1029" t="str">
            <v>SY020601</v>
          </cell>
          <cell r="M1029" t="str">
            <v>C2012</v>
          </cell>
          <cell r="N1029" t="str">
            <v>Shehama - Bandar\الشهامة_بندر</v>
          </cell>
        </row>
        <row r="1030">
          <cell r="L1030" t="str">
            <v>SY020601</v>
          </cell>
          <cell r="M1030" t="str">
            <v>C2006</v>
          </cell>
          <cell r="N1030" t="str">
            <v>Taala\تعلا</v>
          </cell>
        </row>
        <row r="1031">
          <cell r="L1031" t="str">
            <v>SY020601</v>
          </cell>
          <cell r="M1031" t="str">
            <v>C2008</v>
          </cell>
          <cell r="N1031" t="str">
            <v>Tal Amar Ein El Arab\تل أحمر عين العرب</v>
          </cell>
        </row>
        <row r="1032">
          <cell r="L1032" t="str">
            <v>SY020601</v>
          </cell>
          <cell r="M1032" t="str">
            <v>C2015</v>
          </cell>
          <cell r="N1032" t="str">
            <v>Tal Elebar\تل العبر</v>
          </cell>
        </row>
        <row r="1033">
          <cell r="L1033" t="str">
            <v>SY020601</v>
          </cell>
          <cell r="M1033" t="str">
            <v>C2005</v>
          </cell>
          <cell r="N1033" t="str">
            <v>Upper Dar Elbaz\دار الباز فوقاني</v>
          </cell>
        </row>
        <row r="1034">
          <cell r="L1034" t="str">
            <v>SY020601</v>
          </cell>
          <cell r="M1034" t="str">
            <v>C2021</v>
          </cell>
          <cell r="N1034" t="str">
            <v>Upper Qurran\قران فوقاني</v>
          </cell>
        </row>
        <row r="1035">
          <cell r="L1035" t="str">
            <v>SY020601</v>
          </cell>
          <cell r="M1035" t="str">
            <v>C2002</v>
          </cell>
          <cell r="N1035" t="str">
            <v>Upper Shyookh\شيوخ فوقاني</v>
          </cell>
        </row>
        <row r="1036">
          <cell r="L1036" t="str">
            <v>SY020601</v>
          </cell>
          <cell r="M1036" t="str">
            <v>C2003</v>
          </cell>
          <cell r="N1036" t="str">
            <v>Wawiyeh - Jaql Wabran\الواوية_جقل وبران</v>
          </cell>
        </row>
        <row r="1037">
          <cell r="L1037" t="str">
            <v>SY020602</v>
          </cell>
          <cell r="M1037" t="str">
            <v>C2083</v>
          </cell>
          <cell r="N1037" t="str">
            <v>Abu Daameh al Massoudieh\أبو دعمة_المسعودية</v>
          </cell>
        </row>
        <row r="1038">
          <cell r="L1038" t="str">
            <v>SY020602</v>
          </cell>
          <cell r="M1038" t="str">
            <v>C2032</v>
          </cell>
          <cell r="N1038" t="str">
            <v>Assad - Aslan Koy\الأسد_آصلان كوي</v>
          </cell>
        </row>
        <row r="1039">
          <cell r="L1039" t="str">
            <v>SY020602</v>
          </cell>
          <cell r="M1039" t="str">
            <v>C2030</v>
          </cell>
          <cell r="N1039" t="str">
            <v>Athamiya - Eastern Krana\الأعظمية_كرانة شرقي</v>
          </cell>
        </row>
        <row r="1040">
          <cell r="L1040" t="str">
            <v>SY020602</v>
          </cell>
          <cell r="M1040" t="str">
            <v>C2087</v>
          </cell>
          <cell r="N1040" t="str">
            <v>Bab Elhadid - Damer Qabusi\باب الحديد_دامر قابوسي</v>
          </cell>
        </row>
        <row r="1041">
          <cell r="L1041" t="str">
            <v>SY020602</v>
          </cell>
          <cell r="M1041" t="str">
            <v>C2027</v>
          </cell>
          <cell r="N1041" t="str">
            <v>Barakeh - Dweirek\البركة_دوبيرك</v>
          </cell>
        </row>
        <row r="1042">
          <cell r="L1042" t="str">
            <v>SY020602</v>
          </cell>
          <cell r="M1042" t="str">
            <v>C2031</v>
          </cell>
          <cell r="N1042" t="str">
            <v>Baroudiyeh\البارودية</v>
          </cell>
        </row>
        <row r="1043">
          <cell r="L1043" t="str">
            <v>SY020602</v>
          </cell>
          <cell r="M1043" t="str">
            <v>C2048</v>
          </cell>
          <cell r="N1043" t="str">
            <v>Bathiyeh - Kardoshan\البعثية_كردوشان</v>
          </cell>
        </row>
        <row r="1044">
          <cell r="L1044" t="str">
            <v>SY020602</v>
          </cell>
          <cell r="M1044" t="str">
            <v>C2055</v>
          </cell>
          <cell r="N1044" t="str">
            <v>Big Dabaa\ضبعة كبيرة</v>
          </cell>
        </row>
        <row r="1045">
          <cell r="L1045" t="str">
            <v>SY020602</v>
          </cell>
          <cell r="M1045" t="str">
            <v>C2099</v>
          </cell>
          <cell r="N1045" t="str">
            <v>Big Kamit - Big Kojeh Kamit\كميت كبيرة_كوجه كميت كبيرة</v>
          </cell>
        </row>
        <row r="1046">
          <cell r="L1046" t="str">
            <v>SY020602</v>
          </cell>
          <cell r="M1046" t="str">
            <v>C2085</v>
          </cell>
          <cell r="N1046" t="str">
            <v>Big Khushkhash\خشخاش كبير</v>
          </cell>
        </row>
        <row r="1047">
          <cell r="L1047" t="str">
            <v>SY020602</v>
          </cell>
          <cell r="M1047" t="str">
            <v>C2050</v>
          </cell>
          <cell r="N1047" t="str">
            <v>Bir Amaa\بئر الأعمى</v>
          </cell>
        </row>
        <row r="1048">
          <cell r="L1048" t="str">
            <v>SY020602</v>
          </cell>
          <cell r="M1048" t="str">
            <v>C2036</v>
          </cell>
          <cell r="N1048" t="str">
            <v>Bir Bakkar\بئر بكار</v>
          </cell>
        </row>
        <row r="1049">
          <cell r="L1049" t="str">
            <v>SY020602</v>
          </cell>
          <cell r="M1049" t="str">
            <v>C2044</v>
          </cell>
          <cell r="N1049" t="str">
            <v>Bir Dalleh\بئر دلة</v>
          </cell>
        </row>
        <row r="1050">
          <cell r="L1050" t="str">
            <v>SY020602</v>
          </cell>
          <cell r="M1050" t="str">
            <v>C2051</v>
          </cell>
          <cell r="N1050" t="str">
            <v>Bir Eldam\بئر الدم</v>
          </cell>
        </row>
        <row r="1051">
          <cell r="L1051" t="str">
            <v>SY020602</v>
          </cell>
          <cell r="M1051" t="str">
            <v>C2052</v>
          </cell>
          <cell r="N1051" t="str">
            <v>Bir Hsu - Kherbet Kalye\بئر حسو_خربة كلايع</v>
          </cell>
        </row>
        <row r="1052">
          <cell r="L1052" t="str">
            <v>SY020602</v>
          </cell>
          <cell r="M1052" t="str">
            <v>C2094</v>
          </cell>
          <cell r="N1052" t="str">
            <v>Bir Malli\بئر محلي</v>
          </cell>
        </row>
        <row r="1053">
          <cell r="L1053" t="str">
            <v>SY020602</v>
          </cell>
          <cell r="M1053" t="str">
            <v>C2092</v>
          </cell>
          <cell r="N1053" t="str">
            <v>Bir Obedo - Bir Abdel Rahman\بئر عبيدو_بئرعبد الرحمن</v>
          </cell>
        </row>
        <row r="1054">
          <cell r="L1054" t="str">
            <v>SY020602</v>
          </cell>
          <cell r="M1054" t="str">
            <v>C2089</v>
          </cell>
          <cell r="N1054" t="str">
            <v>Bir Rash - Kiktan\بئر رش_كيتكان</v>
          </cell>
        </row>
        <row r="1055">
          <cell r="L1055" t="str">
            <v>SY020602</v>
          </cell>
          <cell r="M1055" t="str">
            <v>C2056</v>
          </cell>
          <cell r="N1055" t="str">
            <v>Damman - Western Krana\الدمام_كرانة غربي</v>
          </cell>
        </row>
        <row r="1056">
          <cell r="L1056" t="str">
            <v>SY020602</v>
          </cell>
          <cell r="M1056" t="str">
            <v>C2093</v>
          </cell>
          <cell r="N1056" t="str">
            <v>Dandushan\دندوشان</v>
          </cell>
        </row>
        <row r="1057">
          <cell r="L1057" t="str">
            <v>SY020602</v>
          </cell>
          <cell r="M1057" t="str">
            <v>C2076</v>
          </cell>
          <cell r="N1057" t="str">
            <v>Darb Eltakht\درب التخت</v>
          </cell>
        </row>
        <row r="1058">
          <cell r="L1058" t="str">
            <v>SY020602</v>
          </cell>
          <cell r="M1058" t="str">
            <v>C2069</v>
          </cell>
          <cell r="N1058" t="str">
            <v>Duwadiyeh Kik Dada\الداوودية_كيك دادا</v>
          </cell>
        </row>
        <row r="1059">
          <cell r="L1059" t="str">
            <v>SY020602</v>
          </cell>
          <cell r="M1059" t="str">
            <v>C2046</v>
          </cell>
          <cell r="N1059" t="str">
            <v>Eastern Shallal - Eastern Jokhar\شلال شرقي_جوخر شرقي</v>
          </cell>
        </row>
        <row r="1060">
          <cell r="L1060" t="str">
            <v>SY020602</v>
          </cell>
          <cell r="M1060" t="str">
            <v>C2045</v>
          </cell>
          <cell r="N1060" t="str">
            <v>Eskeif - Koshkar\اسكيف_كوشكار</v>
          </cell>
        </row>
        <row r="1061">
          <cell r="L1061" t="str">
            <v>SY020602</v>
          </cell>
          <cell r="M1061" t="str">
            <v>C2070</v>
          </cell>
          <cell r="N1061" t="str">
            <v>Golan - Qurret Qawaqez\جولان_قرة قوزاق</v>
          </cell>
        </row>
        <row r="1062">
          <cell r="L1062" t="str">
            <v>SY020602</v>
          </cell>
          <cell r="M1062" t="str">
            <v>C2116</v>
          </cell>
          <cell r="N1062" t="str">
            <v>Hadid Castle\قلعة حديد</v>
          </cell>
        </row>
        <row r="1063">
          <cell r="L1063" t="str">
            <v>SY020602</v>
          </cell>
          <cell r="M1063" t="str">
            <v>C2059</v>
          </cell>
          <cell r="N1063" t="str">
            <v>Hafyan\حفيان</v>
          </cell>
        </row>
        <row r="1064">
          <cell r="L1064" t="str">
            <v>SY020602</v>
          </cell>
          <cell r="M1064" t="str">
            <v>C2062</v>
          </cell>
          <cell r="N1064" t="str">
            <v>Halanja\حلنجة</v>
          </cell>
        </row>
        <row r="1065">
          <cell r="L1065" t="str">
            <v>SY020602</v>
          </cell>
          <cell r="M1065" t="str">
            <v>C2067</v>
          </cell>
          <cell r="N1065" t="str">
            <v>Hamdun\حمدون</v>
          </cell>
        </row>
        <row r="1066">
          <cell r="L1066" t="str">
            <v>SY020602</v>
          </cell>
          <cell r="M1066" t="str">
            <v>C2078</v>
          </cell>
          <cell r="N1066" t="str">
            <v>Haql - Bujaq\الحقل_بوجاق</v>
          </cell>
        </row>
        <row r="1067">
          <cell r="L1067" t="str">
            <v>SY020602</v>
          </cell>
          <cell r="M1067" t="str">
            <v>C2098</v>
          </cell>
          <cell r="N1067" t="str">
            <v>Hyala - Kweik\هيالة_كويك</v>
          </cell>
        </row>
        <row r="1068">
          <cell r="L1068" t="str">
            <v>SY020602</v>
          </cell>
          <cell r="M1068" t="str">
            <v>C2064</v>
          </cell>
          <cell r="N1068" t="str">
            <v>Ibrahimiya - Upper Koktaba\ابراهيمية_كوكتبة فوقاني</v>
          </cell>
        </row>
        <row r="1069">
          <cell r="L1069" t="str">
            <v>SY020602</v>
          </cell>
          <cell r="M1069" t="str">
            <v>C2038</v>
          </cell>
          <cell r="N1069" t="str">
            <v>Jaadet Elmaghara\جعدة المغارة</v>
          </cell>
        </row>
        <row r="1070">
          <cell r="L1070" t="str">
            <v>SY020602</v>
          </cell>
          <cell r="M1070" t="str">
            <v>C2039</v>
          </cell>
          <cell r="N1070" t="str">
            <v>Jaadet Elsamawat\جعدة السمعاوات</v>
          </cell>
        </row>
        <row r="1071">
          <cell r="L1071" t="str">
            <v>SY020602</v>
          </cell>
          <cell r="M1071" t="str">
            <v>C2063</v>
          </cell>
          <cell r="N1071" t="str">
            <v>Jableh - Berdag\الجبلة_برداغ</v>
          </cell>
        </row>
        <row r="1072">
          <cell r="L1072" t="str">
            <v>SY020602</v>
          </cell>
          <cell r="M1072" t="str">
            <v>C2068</v>
          </cell>
          <cell r="N1072" t="str">
            <v>Jalabiyeh\الجلبية</v>
          </cell>
        </row>
        <row r="1073">
          <cell r="L1073" t="str">
            <v>SY020602</v>
          </cell>
          <cell r="M1073" t="str">
            <v>C2061</v>
          </cell>
          <cell r="N1073" t="str">
            <v>Jorat - Jor Tank\الجورات_جور تانك</v>
          </cell>
        </row>
        <row r="1074">
          <cell r="L1074" t="str">
            <v>SY020602</v>
          </cell>
          <cell r="M1074" t="str">
            <v>C2115</v>
          </cell>
          <cell r="N1074" t="str">
            <v>Kerak\كرك</v>
          </cell>
        </row>
        <row r="1075">
          <cell r="L1075" t="str">
            <v>SY020602</v>
          </cell>
          <cell r="M1075" t="str">
            <v>C2037</v>
          </cell>
          <cell r="N1075" t="str">
            <v>Khan Mamid - Khan Mohammed\خان ماميد_خان محمد</v>
          </cell>
        </row>
        <row r="1076">
          <cell r="L1076" t="str">
            <v>SY020602</v>
          </cell>
          <cell r="M1076" t="str">
            <v>C2040</v>
          </cell>
          <cell r="N1076" t="str">
            <v>Kharab Elasheq - Kharab Ishq\خراب العاشق_خراب عشق</v>
          </cell>
        </row>
        <row r="1077">
          <cell r="L1077" t="str">
            <v>SY020602</v>
          </cell>
          <cell r="M1077" t="str">
            <v>C2053</v>
          </cell>
          <cell r="N1077" t="str">
            <v>Kharkhari\خرخري</v>
          </cell>
        </row>
        <row r="1078">
          <cell r="L1078" t="str">
            <v>SY020602</v>
          </cell>
          <cell r="M1078" t="str">
            <v>C2088</v>
          </cell>
          <cell r="N1078" t="str">
            <v>Kharufiyeh - Burj Battan\الخاروفية_برج بطان</v>
          </cell>
        </row>
        <row r="1079">
          <cell r="L1079" t="str">
            <v>SY020602</v>
          </cell>
          <cell r="M1079" t="str">
            <v>C2042</v>
          </cell>
          <cell r="N1079" t="str">
            <v>Kherbet Eljamal\خربة الجمل</v>
          </cell>
        </row>
        <row r="1080">
          <cell r="L1080" t="str">
            <v>SY020602</v>
          </cell>
          <cell r="M1080" t="str">
            <v>C2073</v>
          </cell>
          <cell r="N1080" t="str">
            <v>Kherbet Elkafer - Kawer Khrab\خربة الكافر_كاور خراب</v>
          </cell>
        </row>
        <row r="1081">
          <cell r="L1081" t="str">
            <v>SY020602</v>
          </cell>
          <cell r="M1081" t="str">
            <v>C2090</v>
          </cell>
          <cell r="N1081" t="str">
            <v>Khrus\خروص</v>
          </cell>
        </row>
        <row r="1082">
          <cell r="L1082" t="str">
            <v>SY020602</v>
          </cell>
          <cell r="M1082" t="str">
            <v>C2109</v>
          </cell>
          <cell r="N1082" t="str">
            <v>Kreidan\كريدان</v>
          </cell>
        </row>
        <row r="1083">
          <cell r="L1083" t="str">
            <v>SY020602</v>
          </cell>
          <cell r="M1083" t="str">
            <v>C2104</v>
          </cell>
          <cell r="N1083" t="str">
            <v>Kufyan\كوفيان</v>
          </cell>
        </row>
        <row r="1084">
          <cell r="L1084" t="str">
            <v>SY020602</v>
          </cell>
          <cell r="M1084" t="str">
            <v>C2086</v>
          </cell>
          <cell r="N1084" t="str">
            <v>Little Khushkhash\خشخاش صغير</v>
          </cell>
        </row>
        <row r="1085">
          <cell r="L1085" t="str">
            <v>SY020602</v>
          </cell>
          <cell r="M1085" t="str">
            <v>C2025</v>
          </cell>
          <cell r="N1085" t="str">
            <v>Lower Tarmak - Lower Tarmak Sheikhan\ترمك تحتاني_ترمك شيخان تحتاني</v>
          </cell>
        </row>
        <row r="1086">
          <cell r="L1086" t="str">
            <v>SY020602</v>
          </cell>
          <cell r="M1086" t="str">
            <v>C2111</v>
          </cell>
          <cell r="N1086" t="str">
            <v>Mand - Mandak\مند_مندك</v>
          </cell>
        </row>
        <row r="1087">
          <cell r="L1087" t="str">
            <v>SY020602</v>
          </cell>
          <cell r="M1087" t="str">
            <v>C2112</v>
          </cell>
          <cell r="N1087" t="str">
            <v>Mansiyeh\منسية</v>
          </cell>
        </row>
        <row r="1088">
          <cell r="L1088" t="str">
            <v>SY020602</v>
          </cell>
          <cell r="M1088" t="str">
            <v>C2071</v>
          </cell>
          <cell r="N1088" t="str">
            <v>Marufa - Sakuleh\المعروفة_صايكولة</v>
          </cell>
        </row>
        <row r="1089">
          <cell r="L1089" t="str">
            <v>SY020602</v>
          </cell>
          <cell r="M1089" t="str">
            <v>C2103</v>
          </cell>
          <cell r="N1089" t="str">
            <v>Masrab\مسرب</v>
          </cell>
        </row>
        <row r="1090">
          <cell r="L1090" t="str">
            <v>SY020602</v>
          </cell>
          <cell r="M1090" t="str">
            <v>C2096</v>
          </cell>
          <cell r="N1090" t="str">
            <v>Mattin\متين</v>
          </cell>
        </row>
        <row r="1091">
          <cell r="L1091" t="str">
            <v>SY020602</v>
          </cell>
          <cell r="M1091" t="str">
            <v>C2119</v>
          </cell>
          <cell r="N1091" t="str">
            <v>Mazghana\مزغنة</v>
          </cell>
        </row>
        <row r="1092">
          <cell r="L1092" t="str">
            <v>SY020602</v>
          </cell>
          <cell r="M1092" t="str">
            <v>C2122</v>
          </cell>
          <cell r="N1092" t="str">
            <v>Mil\ميل</v>
          </cell>
        </row>
        <row r="1093">
          <cell r="L1093" t="str">
            <v>SY020602</v>
          </cell>
          <cell r="M1093" t="str">
            <v>C2108</v>
          </cell>
          <cell r="N1093" t="str">
            <v>Milheh\ملحة</v>
          </cell>
        </row>
        <row r="1094">
          <cell r="L1094" t="str">
            <v>SY020602</v>
          </cell>
          <cell r="M1094" t="str">
            <v>C2106</v>
          </cell>
          <cell r="N1094" t="str">
            <v>Mitras\متراس</v>
          </cell>
        </row>
        <row r="1095">
          <cell r="L1095" t="str">
            <v>SY020602</v>
          </cell>
          <cell r="M1095" t="str">
            <v>C2113</v>
          </cell>
          <cell r="N1095" t="str">
            <v>Monif\منيف</v>
          </cell>
        </row>
        <row r="1096">
          <cell r="L1096" t="str">
            <v>SY020602</v>
          </cell>
          <cell r="M1096" t="str">
            <v>C2120</v>
          </cell>
          <cell r="N1096" t="str">
            <v>Moruh Ein Elarab\مروح عين العرب</v>
          </cell>
        </row>
        <row r="1097">
          <cell r="L1097" t="str">
            <v>SY020602</v>
          </cell>
          <cell r="M1097" t="str">
            <v>C2107</v>
          </cell>
          <cell r="N1097" t="str">
            <v>Mweileh\مويلح</v>
          </cell>
        </row>
        <row r="1098">
          <cell r="L1098" t="str">
            <v>SY020602</v>
          </cell>
          <cell r="M1098" t="str">
            <v>C2117</v>
          </cell>
          <cell r="N1098" t="str">
            <v>Naqut\ناقوط</v>
          </cell>
        </row>
        <row r="1099">
          <cell r="L1099" t="str">
            <v>SY020602</v>
          </cell>
          <cell r="M1099" t="str">
            <v>C2110</v>
          </cell>
          <cell r="N1099" t="str">
            <v>Northern Qasaq\قصق شمالي</v>
          </cell>
        </row>
        <row r="1100">
          <cell r="L1100" t="str">
            <v>SY020602</v>
          </cell>
          <cell r="M1100" t="str">
            <v>C2054</v>
          </cell>
          <cell r="N1100" t="str">
            <v>Nuhassiyeh - Qazani\النحاسية_قازاني</v>
          </cell>
        </row>
        <row r="1101">
          <cell r="L1101" t="str">
            <v>SY020602</v>
          </cell>
          <cell r="M1101" t="str">
            <v>C2097</v>
          </cell>
          <cell r="N1101" t="str">
            <v>Nur Ali\نور علي</v>
          </cell>
        </row>
        <row r="1102">
          <cell r="L1102" t="str">
            <v>SY020602</v>
          </cell>
          <cell r="M1102" t="str">
            <v>C2077</v>
          </cell>
          <cell r="N1102" t="str">
            <v>Okuwa - Upper Oj Qardash \الأخوة_أوج قارداش فوقاني</v>
          </cell>
        </row>
        <row r="1103">
          <cell r="L1103" t="str">
            <v>SY020602</v>
          </cell>
          <cell r="M1103" t="str">
            <v>C2084</v>
          </cell>
          <cell r="N1103" t="str">
            <v>Omariyeh - Omrek\العمرية_أومرك</v>
          </cell>
        </row>
        <row r="1104">
          <cell r="L1104" t="str">
            <v>SY020602</v>
          </cell>
          <cell r="M1104" t="str">
            <v>C2047</v>
          </cell>
          <cell r="N1104" t="str">
            <v>Qaderiyeh\القادرية</v>
          </cell>
        </row>
        <row r="1105">
          <cell r="L1105" t="str">
            <v>SY020602</v>
          </cell>
          <cell r="M1105" t="str">
            <v>C2114</v>
          </cell>
          <cell r="N1105" t="str">
            <v>Qolana\قولانة</v>
          </cell>
        </row>
        <row r="1106">
          <cell r="L1106" t="str">
            <v>SY020602</v>
          </cell>
          <cell r="M1106" t="str">
            <v>C2121</v>
          </cell>
          <cell r="N1106" t="str">
            <v>Qrat\قراط</v>
          </cell>
        </row>
        <row r="1107">
          <cell r="L1107" t="str">
            <v>SY020602</v>
          </cell>
          <cell r="M1107" t="str">
            <v>C2023</v>
          </cell>
          <cell r="N1107" t="str">
            <v>Ramala\رمالة</v>
          </cell>
        </row>
        <row r="1108">
          <cell r="L1108" t="str">
            <v>SY020602</v>
          </cell>
          <cell r="M1108" t="str">
            <v>C2022</v>
          </cell>
          <cell r="N1108" t="str">
            <v>Ramilet Elhenno\رميلة_الحنو</v>
          </cell>
        </row>
        <row r="1109">
          <cell r="L1109" t="str">
            <v>SY020602</v>
          </cell>
          <cell r="M1109" t="str">
            <v>C2034</v>
          </cell>
          <cell r="N1109" t="str">
            <v>Ras El Ein Qabli\رأس العين قبلي</v>
          </cell>
        </row>
        <row r="1110">
          <cell r="L1110" t="str">
            <v>SY020602</v>
          </cell>
          <cell r="M1110" t="str">
            <v>C2118</v>
          </cell>
          <cell r="N1110" t="str">
            <v>Rash Castle\قلعة رش</v>
          </cell>
        </row>
        <row r="1111">
          <cell r="L1111" t="str">
            <v>SY020602</v>
          </cell>
          <cell r="M1111" t="str">
            <v>C2091</v>
          </cell>
          <cell r="N1111" t="str">
            <v>Safriyeh\سفرية</v>
          </cell>
        </row>
        <row r="1112">
          <cell r="L1112" t="str">
            <v>SY020602</v>
          </cell>
          <cell r="M1112" t="str">
            <v>C2029</v>
          </cell>
          <cell r="N1112" t="str">
            <v>Safwaniyeh\الصفوانية_كورتك شيخان</v>
          </cell>
        </row>
        <row r="1113">
          <cell r="L1113" t="str">
            <v>SY020602</v>
          </cell>
          <cell r="M1113" t="str">
            <v>C2057</v>
          </cell>
          <cell r="N1113" t="str">
            <v>Saharij Eljabal\صهاريج الجبل</v>
          </cell>
        </row>
        <row r="1114">
          <cell r="L1114" t="str">
            <v>SY020602</v>
          </cell>
          <cell r="M1114" t="str">
            <v>C2080</v>
          </cell>
          <cell r="N1114" t="str">
            <v>Sahm - Shish\السهم_شيش</v>
          </cell>
        </row>
        <row r="1115">
          <cell r="L1115" t="str">
            <v>SY020602</v>
          </cell>
          <cell r="M1115" t="str">
            <v>C2058</v>
          </cell>
          <cell r="N1115" t="str">
            <v>Sanaa\صنع</v>
          </cell>
        </row>
        <row r="1116">
          <cell r="L1116" t="str">
            <v>SY020602</v>
          </cell>
          <cell r="M1116" t="str">
            <v>C2079</v>
          </cell>
          <cell r="N1116" t="str">
            <v>Saq\ساق</v>
          </cell>
        </row>
        <row r="1117">
          <cell r="L1117" t="str">
            <v>SY020602</v>
          </cell>
          <cell r="M1117" t="str">
            <v>C2074</v>
          </cell>
          <cell r="N1117" t="str">
            <v>Sarin\صرين</v>
          </cell>
        </row>
        <row r="1118">
          <cell r="L1118" t="str">
            <v>SY020602</v>
          </cell>
          <cell r="M1118" t="str">
            <v>C2081</v>
          </cell>
          <cell r="N1118" t="str">
            <v>Sayyeda Khatuniyeh\السيدة_خاتونية</v>
          </cell>
        </row>
        <row r="1119">
          <cell r="L1119" t="str">
            <v>SY020602</v>
          </cell>
          <cell r="M1119" t="str">
            <v>C2043</v>
          </cell>
          <cell r="N1119" t="str">
            <v>Seifiyeh\سيفية</v>
          </cell>
        </row>
        <row r="1120">
          <cell r="L1120" t="str">
            <v>SY020602</v>
          </cell>
          <cell r="M1120" t="str">
            <v>C2060</v>
          </cell>
          <cell r="N1120" t="str">
            <v>Sfit\صفيط</v>
          </cell>
        </row>
        <row r="1121">
          <cell r="L1121" t="str">
            <v>SY020602</v>
          </cell>
          <cell r="M1121" t="str">
            <v>C2065</v>
          </cell>
          <cell r="N1121" t="str">
            <v>Shakif\شكيف</v>
          </cell>
        </row>
        <row r="1122">
          <cell r="L1122" t="str">
            <v>SY020602</v>
          </cell>
          <cell r="M1122" t="str">
            <v>C2066</v>
          </cell>
          <cell r="N1122" t="str">
            <v>Sheikh Ghali\شيخ غالي</v>
          </cell>
        </row>
        <row r="1123">
          <cell r="L1123" t="str">
            <v>SY020602</v>
          </cell>
          <cell r="M1123" t="str">
            <v>C2082</v>
          </cell>
          <cell r="N1123" t="str">
            <v>Siyaha - Western Saykul\السياحة_صايكول غربي</v>
          </cell>
        </row>
        <row r="1124">
          <cell r="L1124" t="str">
            <v>SY020602</v>
          </cell>
          <cell r="M1124" t="str">
            <v>C2026</v>
          </cell>
          <cell r="N1124" t="str">
            <v>Tal Elakhdar - Lower Koktaba\تل الاخضر_كوكتبة تحتاني</v>
          </cell>
        </row>
        <row r="1125">
          <cell r="L1125" t="str">
            <v>SY020602</v>
          </cell>
          <cell r="M1125" t="str">
            <v>C2024</v>
          </cell>
          <cell r="N1125" t="str">
            <v>Tal Elbanat\تل البنات</v>
          </cell>
        </row>
        <row r="1126">
          <cell r="L1126" t="str">
            <v>SY020602</v>
          </cell>
          <cell r="M1126" t="str">
            <v>C2033</v>
          </cell>
          <cell r="N1126" t="str">
            <v>Tiba Ein Arab\الطيبة عين العرب</v>
          </cell>
        </row>
        <row r="1127">
          <cell r="L1127" t="str">
            <v>SY020602</v>
          </cell>
          <cell r="M1127" t="str">
            <v>C2028</v>
          </cell>
          <cell r="N1127" t="str">
            <v>Toq - Toqli\الطوق_طوقلي</v>
          </cell>
        </row>
        <row r="1128">
          <cell r="L1128" t="str">
            <v>SY020602</v>
          </cell>
          <cell r="M1128" t="str">
            <v>C2049</v>
          </cell>
          <cell r="N1128" t="str">
            <v>Tuwabiyeh - Kubet Rab\التوابية_كبة رب</v>
          </cell>
        </row>
        <row r="1129">
          <cell r="L1129" t="str">
            <v>SY020602</v>
          </cell>
          <cell r="M1129" t="str">
            <v>C2035</v>
          </cell>
          <cell r="N1129" t="str">
            <v>Um Tleil\أم تليل</v>
          </cell>
        </row>
        <row r="1130">
          <cell r="L1130" t="str">
            <v>SY020602</v>
          </cell>
          <cell r="M1130" t="str">
            <v>C2102</v>
          </cell>
          <cell r="N1130" t="str">
            <v>Upper Fajer\فجر فوقاني</v>
          </cell>
        </row>
        <row r="1131">
          <cell r="L1131" t="str">
            <v>SY020602</v>
          </cell>
          <cell r="M1131" t="str">
            <v>C2101</v>
          </cell>
          <cell r="N1131" t="str">
            <v>Upper Mawa - Upper Khanik\مأوى فوقاني_خانيك فوقاني</v>
          </cell>
        </row>
        <row r="1132">
          <cell r="L1132" t="str">
            <v>SY020602</v>
          </cell>
          <cell r="M1132" t="str">
            <v>C2100</v>
          </cell>
          <cell r="N1132" t="str">
            <v>Wadi Elnur - Kur Wadin\وادي النور_كور وادين</v>
          </cell>
        </row>
        <row r="1133">
          <cell r="L1133" t="str">
            <v>SY020602</v>
          </cell>
          <cell r="M1133" t="str">
            <v>C2041</v>
          </cell>
          <cell r="N1133" t="str">
            <v>Western Kharab Sehrij\خراب صهريج غربية</v>
          </cell>
        </row>
        <row r="1134">
          <cell r="L1134" t="str">
            <v>SY020602</v>
          </cell>
          <cell r="M1134" t="str">
            <v>C2072</v>
          </cell>
          <cell r="N1134" t="str">
            <v>Western Shallal - Western Jokhar\شلال غربي_جوخر غربي</v>
          </cell>
        </row>
        <row r="1135">
          <cell r="L1135" t="str">
            <v>SY020602</v>
          </cell>
          <cell r="M1135" t="str">
            <v>C2105</v>
          </cell>
          <cell r="N1135" t="str">
            <v>Yaramaz\ياراماز</v>
          </cell>
        </row>
        <row r="1136">
          <cell r="L1136" t="str">
            <v>SY020602</v>
          </cell>
          <cell r="M1136" t="str">
            <v>C2075</v>
          </cell>
          <cell r="N1136" t="str">
            <v>Zreik \زريك</v>
          </cell>
        </row>
        <row r="1137">
          <cell r="L1137" t="str">
            <v>SY020700</v>
          </cell>
          <cell r="M1137" t="str">
            <v>C2144</v>
          </cell>
          <cell r="N1137" t="str">
            <v>Abu Dreikha al Safira\أبو دريخة السفيرة</v>
          </cell>
        </row>
        <row r="1138">
          <cell r="L1138" t="str">
            <v>SY020700</v>
          </cell>
          <cell r="M1138" t="str">
            <v>C2149</v>
          </cell>
          <cell r="N1138" t="str">
            <v>Abu Jrin al-Safira\أبو جرين السفيرة</v>
          </cell>
        </row>
        <row r="1139">
          <cell r="L1139" t="str">
            <v>SY020700</v>
          </cell>
          <cell r="M1139" t="str">
            <v>C2142</v>
          </cell>
          <cell r="N1139" t="str">
            <v>Abu Sfeita\أبو صفيطة</v>
          </cell>
        </row>
        <row r="1140">
          <cell r="L1140" t="str">
            <v>SY020700</v>
          </cell>
          <cell r="M1140" t="str">
            <v>C2130</v>
          </cell>
          <cell r="N1140" t="str">
            <v>Aqraba\عقربة</v>
          </cell>
        </row>
        <row r="1141">
          <cell r="L1141" t="str">
            <v>SY020700</v>
          </cell>
          <cell r="M1141" t="str">
            <v>C2132</v>
          </cell>
          <cell r="N1141" t="str">
            <v>Aqrabuz\عقربوز</v>
          </cell>
        </row>
        <row r="1142">
          <cell r="L1142" t="str">
            <v>SY020700</v>
          </cell>
          <cell r="M1142" t="str">
            <v>C2154</v>
          </cell>
          <cell r="N1142" t="str">
            <v>As-Safira\السفيرة</v>
          </cell>
        </row>
        <row r="1143">
          <cell r="L1143" t="str">
            <v>SY020700</v>
          </cell>
          <cell r="M1143" t="str">
            <v>C2129</v>
          </cell>
          <cell r="N1143" t="str">
            <v>Balat\بلاط</v>
          </cell>
        </row>
        <row r="1144">
          <cell r="L1144" t="str">
            <v>SY020700</v>
          </cell>
          <cell r="M1144" t="str">
            <v>C2143</v>
          </cell>
          <cell r="N1144" t="str">
            <v>Bashkwi Safira\باشكوي سفيرة</v>
          </cell>
        </row>
        <row r="1145">
          <cell r="L1145" t="str">
            <v>SY020700</v>
          </cell>
          <cell r="M1145" t="str">
            <v>C2135</v>
          </cell>
          <cell r="N1145" t="str">
            <v>Baydura\بيدورة</v>
          </cell>
        </row>
        <row r="1146">
          <cell r="L1146" t="str">
            <v>SY020700</v>
          </cell>
          <cell r="M1146" t="str">
            <v>C2140</v>
          </cell>
          <cell r="N1146" t="str">
            <v>Burj Elrumman\برج الرمان</v>
          </cell>
        </row>
        <row r="1147">
          <cell r="L1147" t="str">
            <v>SY020700</v>
          </cell>
          <cell r="M1147" t="str">
            <v>C2146</v>
          </cell>
          <cell r="N1147" t="str">
            <v>Ein Assan\عين عسان</v>
          </cell>
        </row>
        <row r="1148">
          <cell r="L1148" t="str">
            <v>SY020700</v>
          </cell>
          <cell r="M1148" t="str">
            <v>C2153</v>
          </cell>
          <cell r="N1148" t="str">
            <v>Ein Sabel\عين سابل</v>
          </cell>
        </row>
        <row r="1149">
          <cell r="L1149" t="str">
            <v>SY020700</v>
          </cell>
          <cell r="M1149" t="str">
            <v>C2141</v>
          </cell>
          <cell r="N1149" t="str">
            <v>Emeiriyeh\العميرية</v>
          </cell>
        </row>
        <row r="1150">
          <cell r="L1150" t="str">
            <v>SY020700</v>
          </cell>
          <cell r="M1150" t="str">
            <v>C2161</v>
          </cell>
          <cell r="N1150" t="str">
            <v>Fajdan\فجدان</v>
          </cell>
        </row>
        <row r="1151">
          <cell r="L1151" t="str">
            <v>SY020700</v>
          </cell>
          <cell r="M1151" t="str">
            <v>C2139</v>
          </cell>
          <cell r="N1151" t="str">
            <v>Habshiyeh\حبشية</v>
          </cell>
        </row>
        <row r="1152">
          <cell r="L1152" t="str">
            <v>SY020700</v>
          </cell>
          <cell r="M1152" t="str">
            <v>C2131</v>
          </cell>
          <cell r="N1152" t="str">
            <v>Hekleh\حكلة</v>
          </cell>
        </row>
        <row r="1153">
          <cell r="L1153" t="str">
            <v>SY020700</v>
          </cell>
          <cell r="M1153" t="str">
            <v>C2126</v>
          </cell>
          <cell r="N1153" t="str">
            <v>Htani\الحتاني</v>
          </cell>
        </row>
        <row r="1154">
          <cell r="L1154" t="str">
            <v>SY020700</v>
          </cell>
          <cell r="M1154" t="str">
            <v>C2155</v>
          </cell>
          <cell r="N1154" t="str">
            <v>Hweijeineh\حويجينة</v>
          </cell>
        </row>
        <row r="1155">
          <cell r="L1155" t="str">
            <v>SY020700</v>
          </cell>
          <cell r="M1155" t="str">
            <v>C2150</v>
          </cell>
          <cell r="N1155" t="str">
            <v>Jafret Elhos\جفرة الحص</v>
          </cell>
        </row>
        <row r="1156">
          <cell r="L1156" t="str">
            <v>SY020700</v>
          </cell>
          <cell r="M1156" t="str">
            <v>C2151</v>
          </cell>
          <cell r="N1156" t="str">
            <v>Jalaghim\جلاغيم</v>
          </cell>
        </row>
        <row r="1157">
          <cell r="L1157" t="str">
            <v>SY020700</v>
          </cell>
          <cell r="M1157" t="str">
            <v>C2136</v>
          </cell>
          <cell r="N1157" t="str">
            <v>Jalghum\جلغوم</v>
          </cell>
        </row>
        <row r="1158">
          <cell r="L1158" t="str">
            <v>SY020700</v>
          </cell>
          <cell r="M1158" t="str">
            <v>C2158</v>
          </cell>
          <cell r="N1158" t="str">
            <v>Jneid\جنيد</v>
          </cell>
        </row>
        <row r="1159">
          <cell r="L1159" t="str">
            <v>SY020700</v>
          </cell>
          <cell r="M1159" t="str">
            <v>C2162</v>
          </cell>
          <cell r="N1159" t="str">
            <v>Kabara\كبارة</v>
          </cell>
        </row>
        <row r="1160">
          <cell r="L1160" t="str">
            <v>SY020700</v>
          </cell>
          <cell r="M1160" t="str">
            <v>C2159</v>
          </cell>
          <cell r="N1160" t="str">
            <v>Masyadeh\مصيدة</v>
          </cell>
        </row>
        <row r="1161">
          <cell r="L1161" t="str">
            <v>SY020700</v>
          </cell>
          <cell r="M1161" t="str">
            <v>C2160</v>
          </cell>
          <cell r="N1161" t="str">
            <v>Qabtin\قبتين</v>
          </cell>
        </row>
        <row r="1162">
          <cell r="L1162" t="str">
            <v>SY020700</v>
          </cell>
          <cell r="M1162" t="str">
            <v>C2163</v>
          </cell>
          <cell r="N1162" t="str">
            <v>Qasir Elward\قصير الورد</v>
          </cell>
        </row>
        <row r="1163">
          <cell r="L1163" t="str">
            <v>SY020700</v>
          </cell>
          <cell r="M1163" t="str">
            <v>C2152</v>
          </cell>
          <cell r="N1163" t="str">
            <v>Radwaniyeh\رضوانية</v>
          </cell>
        </row>
        <row r="1164">
          <cell r="L1164" t="str">
            <v>SY020700</v>
          </cell>
          <cell r="M1164" t="str">
            <v>C2123</v>
          </cell>
          <cell r="N1164" t="str">
            <v>Rayan\ريان</v>
          </cell>
        </row>
        <row r="1165">
          <cell r="L1165" t="str">
            <v>SY020700</v>
          </cell>
          <cell r="M1165" t="str">
            <v>C2138</v>
          </cell>
          <cell r="N1165" t="str">
            <v>Smad\صماد</v>
          </cell>
        </row>
        <row r="1166">
          <cell r="L1166" t="str">
            <v>SY020700</v>
          </cell>
          <cell r="M1166" t="str">
            <v>C2134</v>
          </cell>
          <cell r="N1166" t="str">
            <v>Tal Abur\تل عابور</v>
          </cell>
        </row>
        <row r="1167">
          <cell r="L1167" t="str">
            <v>SY020700</v>
          </cell>
          <cell r="M1167" t="str">
            <v>C2133</v>
          </cell>
          <cell r="N1167" t="str">
            <v>Tal Alam\تل علم</v>
          </cell>
        </row>
        <row r="1168">
          <cell r="L1168" t="str">
            <v>SY020700</v>
          </cell>
          <cell r="M1168" t="str">
            <v>C2137</v>
          </cell>
          <cell r="N1168" t="str">
            <v>Tal Aran\تل عرن</v>
          </cell>
        </row>
        <row r="1169">
          <cell r="L1169" t="str">
            <v>SY020700</v>
          </cell>
          <cell r="M1169" t="str">
            <v>C2147</v>
          </cell>
          <cell r="N1169" t="str">
            <v>Tal Establ\تل اصطبل</v>
          </cell>
        </row>
        <row r="1170">
          <cell r="L1170" t="str">
            <v>SY020700</v>
          </cell>
          <cell r="M1170" t="str">
            <v>C2125</v>
          </cell>
          <cell r="N1170" t="str">
            <v>Tal Hasel\تل حاصل</v>
          </cell>
        </row>
        <row r="1171">
          <cell r="L1171" t="str">
            <v>SY020700</v>
          </cell>
          <cell r="M1171" t="str">
            <v>C2157</v>
          </cell>
          <cell r="N1171" t="str">
            <v>Tata\طاط</v>
          </cell>
        </row>
        <row r="1172">
          <cell r="L1172" t="str">
            <v>SY020700</v>
          </cell>
          <cell r="M1172" t="str">
            <v>C2145</v>
          </cell>
          <cell r="N1172" t="str">
            <v>Terkan\تركان</v>
          </cell>
        </row>
        <row r="1173">
          <cell r="L1173" t="str">
            <v>SY020700</v>
          </cell>
          <cell r="M1173" t="str">
            <v>C2148</v>
          </cell>
          <cell r="N1173" t="str">
            <v>Um Amud\ام عامود</v>
          </cell>
        </row>
        <row r="1174">
          <cell r="L1174" t="str">
            <v>SY020700</v>
          </cell>
          <cell r="M1174" t="str">
            <v>C2124</v>
          </cell>
          <cell r="N1174" t="str">
            <v>Um Elamad Alsafira\أم العمد السفيرة</v>
          </cell>
        </row>
        <row r="1175">
          <cell r="L1175" t="str">
            <v>SY020700</v>
          </cell>
          <cell r="M1175" t="str">
            <v>C2128</v>
          </cell>
          <cell r="N1175" t="str">
            <v>Zaalana\زعلانة</v>
          </cell>
        </row>
        <row r="1176">
          <cell r="L1176" t="str">
            <v>SY020700</v>
          </cell>
          <cell r="M1176" t="str">
            <v>C2156</v>
          </cell>
          <cell r="N1176" t="str">
            <v>Zanyan\زنيان</v>
          </cell>
        </row>
        <row r="1177">
          <cell r="L1177" t="str">
            <v>SY020701</v>
          </cell>
          <cell r="M1177" t="str">
            <v>C2176</v>
          </cell>
          <cell r="N1177" t="str">
            <v>Abda Musa\عبده موسى</v>
          </cell>
        </row>
        <row r="1178">
          <cell r="L1178" t="str">
            <v>SY020701</v>
          </cell>
          <cell r="M1178" t="str">
            <v>C2166</v>
          </cell>
          <cell r="N1178" t="str">
            <v>Big Hajjara\حجارة كبيرة</v>
          </cell>
        </row>
        <row r="1179">
          <cell r="L1179" t="str">
            <v>SY020701</v>
          </cell>
          <cell r="M1179" t="str">
            <v>C2175</v>
          </cell>
          <cell r="N1179" t="str">
            <v>Big Shallala\شلالة كبيرة</v>
          </cell>
        </row>
        <row r="1180">
          <cell r="L1180" t="str">
            <v>SY020701</v>
          </cell>
          <cell r="M1180" t="str">
            <v>C6343</v>
          </cell>
          <cell r="N1180" t="str">
            <v>Habs\حبس</v>
          </cell>
        </row>
        <row r="1181">
          <cell r="L1181" t="str">
            <v>SY020701</v>
          </cell>
          <cell r="M1181" t="str">
            <v>C2178</v>
          </cell>
          <cell r="N1181" t="str">
            <v>Harbikeh\هربكية</v>
          </cell>
        </row>
        <row r="1182">
          <cell r="L1182" t="str">
            <v>SY020701</v>
          </cell>
          <cell r="M1182" t="str">
            <v>C2177</v>
          </cell>
          <cell r="N1182" t="str">
            <v>Hawaz\هواز</v>
          </cell>
        </row>
        <row r="1183">
          <cell r="L1183" t="str">
            <v>SY020701</v>
          </cell>
          <cell r="M1183" t="str">
            <v>C2164</v>
          </cell>
          <cell r="N1183" t="str">
            <v>Jeb Elali\جب العلي</v>
          </cell>
        </row>
        <row r="1184">
          <cell r="L1184" t="str">
            <v>SY020701</v>
          </cell>
          <cell r="M1184" t="str">
            <v>C2167</v>
          </cell>
          <cell r="N1184" t="str">
            <v>Jeb Elamaa\جب الاعمى</v>
          </cell>
        </row>
        <row r="1185">
          <cell r="L1185" t="str">
            <v>SY020701</v>
          </cell>
          <cell r="M1185" t="str">
            <v>C2165</v>
          </cell>
          <cell r="N1185" t="str">
            <v>Jeb Qassem\جب جاسم</v>
          </cell>
        </row>
        <row r="1186">
          <cell r="L1186" t="str">
            <v>SY020701</v>
          </cell>
          <cell r="M1186" t="str">
            <v>C2169</v>
          </cell>
          <cell r="N1186" t="str">
            <v>Khanaser\خناصر</v>
          </cell>
        </row>
        <row r="1187">
          <cell r="L1187" t="str">
            <v>SY020701</v>
          </cell>
          <cell r="M1187" t="str">
            <v>C2179</v>
          </cell>
          <cell r="N1187" t="str">
            <v>Qleiah\قليعة</v>
          </cell>
        </row>
        <row r="1188">
          <cell r="L1188" t="str">
            <v>SY020701</v>
          </cell>
          <cell r="M1188" t="str">
            <v>C2168</v>
          </cell>
          <cell r="N1188" t="str">
            <v>Raheb\راهب</v>
          </cell>
        </row>
        <row r="1189">
          <cell r="L1189" t="str">
            <v>SY020701</v>
          </cell>
          <cell r="M1189" t="str">
            <v>C2170</v>
          </cell>
          <cell r="N1189" t="str">
            <v>Ramleh\رملة</v>
          </cell>
        </row>
        <row r="1190">
          <cell r="L1190" t="str">
            <v>SY020701</v>
          </cell>
          <cell r="M1190" t="str">
            <v>C2171</v>
          </cell>
          <cell r="N1190" t="str">
            <v>Rasm Elnafal\رسم النفل</v>
          </cell>
        </row>
        <row r="1191">
          <cell r="L1191" t="str">
            <v>SY020701</v>
          </cell>
          <cell r="M1191" t="str">
            <v>C2172</v>
          </cell>
          <cell r="N1191" t="str">
            <v>Rasm Elsayaleh\رسم السيالة</v>
          </cell>
        </row>
        <row r="1192">
          <cell r="L1192" t="str">
            <v>SY020701</v>
          </cell>
          <cell r="M1192" t="str">
            <v>C2173</v>
          </cell>
          <cell r="N1192" t="str">
            <v>Rasm Hamad\رسم حمد</v>
          </cell>
        </row>
        <row r="1193">
          <cell r="L1193" t="str">
            <v>SY020701</v>
          </cell>
          <cell r="M1193" t="str">
            <v>C2174</v>
          </cell>
          <cell r="N1193" t="str">
            <v>Zabad\زبد</v>
          </cell>
        </row>
        <row r="1194">
          <cell r="L1194" t="str">
            <v>SY020702</v>
          </cell>
          <cell r="M1194" t="str">
            <v>C2185</v>
          </cell>
          <cell r="N1194" t="str">
            <v>Banan\بنان</v>
          </cell>
        </row>
        <row r="1195">
          <cell r="L1195" t="str">
            <v>SY020702</v>
          </cell>
          <cell r="M1195" t="str">
            <v>C2188</v>
          </cell>
          <cell r="N1195" t="str">
            <v>Bluzeh\بلوزة</v>
          </cell>
        </row>
        <row r="1196">
          <cell r="L1196" t="str">
            <v>SY020702</v>
          </cell>
          <cell r="M1196" t="str">
            <v>C2186</v>
          </cell>
          <cell r="N1196" t="str">
            <v>Diman\ديمان</v>
          </cell>
        </row>
        <row r="1197">
          <cell r="L1197" t="str">
            <v>SY020702</v>
          </cell>
          <cell r="M1197" t="str">
            <v>C2183</v>
          </cell>
          <cell r="N1197" t="str">
            <v>Jaara\جعارة</v>
          </cell>
        </row>
        <row r="1198">
          <cell r="L1198" t="str">
            <v>SY020702</v>
          </cell>
          <cell r="M1198" t="str">
            <v>C2189</v>
          </cell>
          <cell r="N1198" t="str">
            <v>Qteirat\قتيطرات</v>
          </cell>
        </row>
        <row r="1199">
          <cell r="L1199" t="str">
            <v>SY020702</v>
          </cell>
          <cell r="M1199" t="str">
            <v>C2187</v>
          </cell>
          <cell r="N1199" t="str">
            <v>Sadaaya\صدعايا</v>
          </cell>
        </row>
        <row r="1200">
          <cell r="L1200" t="str">
            <v>SY020702</v>
          </cell>
          <cell r="M1200" t="str">
            <v>C6344</v>
          </cell>
          <cell r="N1200" t="str">
            <v>Sarj Fare \سرج فارع</v>
          </cell>
        </row>
        <row r="1201">
          <cell r="L1201" t="str">
            <v>SY020702</v>
          </cell>
          <cell r="M1201" t="str">
            <v>C2181</v>
          </cell>
          <cell r="N1201" t="str">
            <v>Smeiriyeh\السميرية</v>
          </cell>
        </row>
        <row r="1202">
          <cell r="L1202" t="str">
            <v>SY020702</v>
          </cell>
          <cell r="M1202" t="str">
            <v>C2180</v>
          </cell>
          <cell r="N1202" t="str">
            <v>Um Jern Elsafira\أم جرن السفبرة</v>
          </cell>
        </row>
        <row r="1203">
          <cell r="L1203" t="str">
            <v>SY020702</v>
          </cell>
          <cell r="M1203" t="str">
            <v>C2182</v>
          </cell>
          <cell r="N1203" t="str">
            <v>Ziraa\زراعة</v>
          </cell>
        </row>
        <row r="1204">
          <cell r="L1204" t="str">
            <v>SY020703</v>
          </cell>
          <cell r="M1204" t="str">
            <v>C2200</v>
          </cell>
          <cell r="N1204" t="str">
            <v>Abu Abdeh\أبو عبدة</v>
          </cell>
        </row>
        <row r="1205">
          <cell r="L1205" t="str">
            <v>SY020703</v>
          </cell>
          <cell r="M1205" t="str">
            <v>C2203</v>
          </cell>
          <cell r="N1205" t="str">
            <v>Abu Jlus\أبو جلوس</v>
          </cell>
        </row>
        <row r="1206">
          <cell r="L1206" t="str">
            <v>SY020703</v>
          </cell>
          <cell r="M1206" t="str">
            <v>C2206</v>
          </cell>
          <cell r="N1206" t="str">
            <v>Bisheh\بيشة</v>
          </cell>
        </row>
        <row r="1207">
          <cell r="L1207" t="str">
            <v>SY020703</v>
          </cell>
          <cell r="M1207" t="str">
            <v>C2184</v>
          </cell>
          <cell r="N1207" t="str">
            <v>Burj Azawi\برج عزاوي</v>
          </cell>
        </row>
        <row r="1208">
          <cell r="L1208" t="str">
            <v>SY020703</v>
          </cell>
          <cell r="M1208" t="str">
            <v>C2193</v>
          </cell>
          <cell r="N1208" t="str">
            <v>Burj Elsama\برج الساما</v>
          </cell>
        </row>
        <row r="1209">
          <cell r="L1209" t="str">
            <v>SY020703</v>
          </cell>
          <cell r="M1209" t="str">
            <v>C2202</v>
          </cell>
          <cell r="N1209" t="str">
            <v>Hajeb\الحاجب</v>
          </cell>
        </row>
        <row r="1210">
          <cell r="L1210" t="str">
            <v>SY020703</v>
          </cell>
          <cell r="M1210" t="str">
            <v>C2199</v>
          </cell>
          <cell r="N1210" t="str">
            <v>Hawir Elhus\حوير الحص</v>
          </cell>
        </row>
        <row r="1211">
          <cell r="L1211" t="str">
            <v>SY020703</v>
          </cell>
          <cell r="M1211" t="str">
            <v>C2198</v>
          </cell>
          <cell r="N1211" t="str">
            <v>Jarmakiyeh\الجرمكية</v>
          </cell>
        </row>
        <row r="1212">
          <cell r="L1212" t="str">
            <v>SY020703</v>
          </cell>
          <cell r="M1212" t="str">
            <v>C2204</v>
          </cell>
          <cell r="N1212" t="str">
            <v>Jeb Tineh\جب تينة</v>
          </cell>
        </row>
        <row r="1213">
          <cell r="L1213" t="str">
            <v>SY020703</v>
          </cell>
          <cell r="M1213" t="str">
            <v>C2209</v>
          </cell>
          <cell r="N1213" t="str">
            <v>Kafr Hoot\كفر حوت</v>
          </cell>
        </row>
        <row r="1214">
          <cell r="L1214" t="str">
            <v>SY020703</v>
          </cell>
          <cell r="M1214" t="str">
            <v>C2194</v>
          </cell>
          <cell r="N1214" t="str">
            <v>Lower Jeb Antash\جب انطاش تحتاني</v>
          </cell>
        </row>
        <row r="1215">
          <cell r="L1215" t="str">
            <v>SY020703</v>
          </cell>
          <cell r="M1215" t="str">
            <v>C2208</v>
          </cell>
          <cell r="N1215" t="str">
            <v>Madrasa\مدرسة</v>
          </cell>
        </row>
        <row r="1216">
          <cell r="L1216" t="str">
            <v>SY020703</v>
          </cell>
          <cell r="M1216" t="str">
            <v>C2207</v>
          </cell>
          <cell r="N1216" t="str">
            <v>Maktaba\مكتبة</v>
          </cell>
        </row>
        <row r="1217">
          <cell r="L1217" t="str">
            <v>SY020703</v>
          </cell>
          <cell r="M1217" t="str">
            <v>C2211</v>
          </cell>
          <cell r="N1217" t="str">
            <v>Manaaya\منعايا</v>
          </cell>
        </row>
        <row r="1218">
          <cell r="L1218" t="str">
            <v>SY020703</v>
          </cell>
          <cell r="M1218" t="str">
            <v>C2212</v>
          </cell>
          <cell r="N1218" t="str">
            <v>Marbaat Bisha\مربعة بيشة</v>
          </cell>
        </row>
        <row r="1219">
          <cell r="L1219" t="str">
            <v>SY020703</v>
          </cell>
          <cell r="M1219" t="str">
            <v>C2210</v>
          </cell>
          <cell r="N1219" t="str">
            <v>Mgheirat Shibli\مغيرات شبلي</v>
          </cell>
        </row>
        <row r="1220">
          <cell r="L1220" t="str">
            <v>SY020703</v>
          </cell>
          <cell r="M1220" t="str">
            <v>C2205</v>
          </cell>
          <cell r="N1220" t="str">
            <v>Rabeeah Elhanuteh\ربيعة الحانوتة</v>
          </cell>
        </row>
        <row r="1221">
          <cell r="L1221" t="str">
            <v>SY020703</v>
          </cell>
          <cell r="M1221" t="str">
            <v>C2191</v>
          </cell>
          <cell r="N1221" t="str">
            <v>Rasm Omeish\رسم عميش</v>
          </cell>
        </row>
        <row r="1222">
          <cell r="L1222" t="str">
            <v>SY020703</v>
          </cell>
          <cell r="M1222" t="str">
            <v>C2195</v>
          </cell>
          <cell r="N1222" t="str">
            <v>Shur\سحور</v>
          </cell>
        </row>
        <row r="1223">
          <cell r="L1223" t="str">
            <v>SY020703</v>
          </cell>
          <cell r="M1223" t="str">
            <v>C2197</v>
          </cell>
          <cell r="N1223" t="str">
            <v>Suyan\سويان</v>
          </cell>
        </row>
        <row r="1224">
          <cell r="L1224" t="str">
            <v>SY020703</v>
          </cell>
          <cell r="M1224" t="str">
            <v>C2192</v>
          </cell>
          <cell r="N1224" t="str">
            <v>Tal Anbar\تل عنبر</v>
          </cell>
        </row>
        <row r="1225">
          <cell r="L1225" t="str">
            <v>SY020703</v>
          </cell>
          <cell r="M1225" t="str">
            <v>C2190</v>
          </cell>
          <cell r="N1225" t="str">
            <v>Tiba Safira\الطيبة سفيرة</v>
          </cell>
        </row>
        <row r="1226">
          <cell r="L1226" t="str">
            <v>SY020703</v>
          </cell>
          <cell r="M1226" t="str">
            <v>C2201</v>
          </cell>
          <cell r="N1226" t="str">
            <v>Ubu Getteh\ابو غتة</v>
          </cell>
        </row>
        <row r="1227">
          <cell r="L1227" t="str">
            <v>SY020703</v>
          </cell>
          <cell r="M1227" t="str">
            <v>C2196</v>
          </cell>
          <cell r="N1227" t="str">
            <v>Upper Jeb Antash\جب انطاش فوقاني</v>
          </cell>
        </row>
        <row r="1228">
          <cell r="L1228" t="str">
            <v>SY020800</v>
          </cell>
          <cell r="M1228" t="str">
            <v>C2235</v>
          </cell>
          <cell r="N1228" t="str">
            <v>Big Majra\مجرى كبير</v>
          </cell>
        </row>
        <row r="1229">
          <cell r="L1229" t="str">
            <v>SY020800</v>
          </cell>
          <cell r="M1229" t="str">
            <v>C2217</v>
          </cell>
          <cell r="N1229" t="str">
            <v>Dabis\الدابس</v>
          </cell>
        </row>
        <row r="1230">
          <cell r="L1230" t="str">
            <v>SY020800</v>
          </cell>
          <cell r="M1230" t="str">
            <v>C2231</v>
          </cell>
          <cell r="N1230" t="str">
            <v>Hadra - Big Baldaq\الحاضرة_بلدق كبير</v>
          </cell>
        </row>
        <row r="1231">
          <cell r="L1231" t="str">
            <v>SY020800</v>
          </cell>
          <cell r="M1231" t="str">
            <v>C2219</v>
          </cell>
          <cell r="N1231" t="str">
            <v>Halawaniyeh\الحلوانية</v>
          </cell>
        </row>
        <row r="1232">
          <cell r="L1232" t="str">
            <v>SY020800</v>
          </cell>
          <cell r="M1232" t="str">
            <v>C2214</v>
          </cell>
          <cell r="N1232" t="str">
            <v>Halawanji\حلونجي</v>
          </cell>
        </row>
        <row r="1233">
          <cell r="L1233" t="str">
            <v>SY020800</v>
          </cell>
          <cell r="M1233" t="str">
            <v>C2229</v>
          </cell>
          <cell r="N1233" t="str">
            <v>Himar\حيمر</v>
          </cell>
        </row>
        <row r="1234">
          <cell r="L1234" t="str">
            <v>SY020800</v>
          </cell>
          <cell r="M1234" t="str">
            <v>C2215</v>
          </cell>
          <cell r="N1234" t="str">
            <v>Hjeileh - Jrables\الحجلية - جرابلس</v>
          </cell>
        </row>
        <row r="1235">
          <cell r="L1235" t="str">
            <v>SY020800</v>
          </cell>
          <cell r="M1235" t="str">
            <v>C2224</v>
          </cell>
          <cell r="N1235" t="str">
            <v>Jamel\الجامل</v>
          </cell>
        </row>
        <row r="1236">
          <cell r="L1236" t="str">
            <v>SY020800</v>
          </cell>
          <cell r="M1236" t="str">
            <v>C2227</v>
          </cell>
          <cell r="N1236" t="str">
            <v>Jarablus\جرابلس</v>
          </cell>
        </row>
        <row r="1237">
          <cell r="L1237" t="str">
            <v>SY020800</v>
          </cell>
          <cell r="M1237" t="str">
            <v>C2239</v>
          </cell>
          <cell r="N1237" t="str">
            <v>Little Majra\مجرى صغير</v>
          </cell>
        </row>
        <row r="1238">
          <cell r="L1238" t="str">
            <v>SY020800</v>
          </cell>
          <cell r="M1238" t="str">
            <v>C2216</v>
          </cell>
          <cell r="N1238" t="str">
            <v>Lower Bir\البير التحتاني</v>
          </cell>
        </row>
        <row r="1239">
          <cell r="L1239" t="str">
            <v>SY020800</v>
          </cell>
          <cell r="M1239" t="str">
            <v>C2226</v>
          </cell>
          <cell r="N1239" t="str">
            <v>Lower Jrables\جرابلس تحتاني</v>
          </cell>
        </row>
        <row r="1240">
          <cell r="L1240" t="str">
            <v>SY020800</v>
          </cell>
          <cell r="M1240" t="str">
            <v>C2223</v>
          </cell>
          <cell r="N1240" t="str">
            <v>Lower Um Rotha\أم روثة تحتاني</v>
          </cell>
        </row>
        <row r="1241">
          <cell r="L1241" t="str">
            <v>SY020800</v>
          </cell>
          <cell r="M1241" t="str">
            <v>C2218</v>
          </cell>
          <cell r="N1241" t="str">
            <v>Maghayer - Qorq Mghar\المغاير_قرق مغار</v>
          </cell>
        </row>
        <row r="1242">
          <cell r="L1242" t="str">
            <v>SY020800</v>
          </cell>
          <cell r="M1242" t="str">
            <v>C2232</v>
          </cell>
          <cell r="N1242" t="str">
            <v>Mahsana - Mahsanli\المحسنة_محسنلي</v>
          </cell>
        </row>
        <row r="1243">
          <cell r="L1243" t="str">
            <v>SY020800</v>
          </cell>
          <cell r="M1243" t="str">
            <v>C2238</v>
          </cell>
          <cell r="N1243" t="str">
            <v>Marma Elhajar\مرمى الحجر</v>
          </cell>
        </row>
        <row r="1244">
          <cell r="L1244" t="str">
            <v>SY020800</v>
          </cell>
          <cell r="M1244" t="str">
            <v>C2240</v>
          </cell>
          <cell r="N1244" t="str">
            <v>Mazaalah\مزعلة</v>
          </cell>
        </row>
        <row r="1245">
          <cell r="L1245" t="str">
            <v>SY020800</v>
          </cell>
          <cell r="M1245" t="str">
            <v>C2241</v>
          </cell>
          <cell r="N1245" t="str">
            <v>Qandariya\قندرية</v>
          </cell>
        </row>
        <row r="1246">
          <cell r="L1246" t="str">
            <v>SY020800</v>
          </cell>
          <cell r="M1246" t="str">
            <v>C2237</v>
          </cell>
          <cell r="N1246" t="str">
            <v>Qirata\قيراطة</v>
          </cell>
        </row>
        <row r="1247">
          <cell r="L1247" t="str">
            <v>SY020800</v>
          </cell>
          <cell r="M1247" t="str">
            <v>C2230</v>
          </cell>
          <cell r="N1247" t="str">
            <v>Sreisat\صريصات</v>
          </cell>
        </row>
        <row r="1248">
          <cell r="L1248" t="str">
            <v>SY020800</v>
          </cell>
          <cell r="M1248" t="str">
            <v>C2213</v>
          </cell>
          <cell r="N1248" t="str">
            <v>Tal Elamara\تل العمارة</v>
          </cell>
        </row>
        <row r="1249">
          <cell r="L1249" t="str">
            <v>SY020800</v>
          </cell>
          <cell r="M1249" t="str">
            <v>C2221</v>
          </cell>
          <cell r="N1249" t="str">
            <v>Thahr Elmaghayer\ظهر المغاير</v>
          </cell>
        </row>
        <row r="1250">
          <cell r="L1250" t="str">
            <v>SY020800</v>
          </cell>
          <cell r="M1250" t="str">
            <v>C2222</v>
          </cell>
          <cell r="N1250" t="str">
            <v>Treikhem\طريخم</v>
          </cell>
        </row>
        <row r="1251">
          <cell r="L1251" t="str">
            <v>SY020800</v>
          </cell>
          <cell r="M1251" t="str">
            <v>C2228</v>
          </cell>
          <cell r="N1251" t="str">
            <v>Um Sosa\أم سوسة</v>
          </cell>
        </row>
        <row r="1252">
          <cell r="L1252" t="str">
            <v>SY020800</v>
          </cell>
          <cell r="M1252" t="str">
            <v>C2225</v>
          </cell>
          <cell r="N1252" t="str">
            <v>Upper Um Rotha\أم روثة فوقاني</v>
          </cell>
        </row>
        <row r="1253">
          <cell r="L1253" t="str">
            <v>SY020800</v>
          </cell>
          <cell r="M1253" t="str">
            <v>C2236</v>
          </cell>
          <cell r="N1253" t="str">
            <v>Yusef Elbeik\يوسف بك</v>
          </cell>
        </row>
        <row r="1254">
          <cell r="L1254" t="str">
            <v>SY020800</v>
          </cell>
          <cell r="M1254" t="str">
            <v>C2220</v>
          </cell>
          <cell r="N1254" t="str">
            <v>Zoghra\زوغرة</v>
          </cell>
        </row>
        <row r="1255">
          <cell r="L1255" t="str">
            <v>SY020801</v>
          </cell>
          <cell r="M1255" t="str">
            <v>C2242</v>
          </cell>
          <cell r="N1255" t="str">
            <v>Arab Azzah\عرب عزة</v>
          </cell>
        </row>
        <row r="1256">
          <cell r="L1256" t="str">
            <v>SY020801</v>
          </cell>
          <cell r="M1256" t="str">
            <v>C2265</v>
          </cell>
          <cell r="N1256" t="str">
            <v>Big Mortafaa\مرتفع كبير</v>
          </cell>
        </row>
        <row r="1257">
          <cell r="L1257" t="str">
            <v>SY020801</v>
          </cell>
          <cell r="M1257" t="str">
            <v>C2264</v>
          </cell>
          <cell r="N1257" t="str">
            <v>Big Nabgha\نبغة كبيرة</v>
          </cell>
        </row>
        <row r="1258">
          <cell r="L1258" t="str">
            <v>SY020801</v>
          </cell>
          <cell r="M1258" t="str">
            <v>C2267</v>
          </cell>
          <cell r="N1258" t="str">
            <v>Big Qantara\قنطرة كبيرة</v>
          </cell>
        </row>
        <row r="1259">
          <cell r="L1259" t="str">
            <v>SY020801</v>
          </cell>
          <cell r="M1259" t="str">
            <v>C2246</v>
          </cell>
          <cell r="N1259" t="str">
            <v>Bilis\بيليس</v>
          </cell>
        </row>
        <row r="1260">
          <cell r="L1260" t="str">
            <v>SY020801</v>
          </cell>
          <cell r="M1260" t="str">
            <v>C2252</v>
          </cell>
          <cell r="N1260" t="str">
            <v>Forsan - Sabahiler\الفرسان_سباهيلر</v>
          </cell>
        </row>
        <row r="1261">
          <cell r="L1261" t="str">
            <v>SY020801</v>
          </cell>
          <cell r="M1261" t="str">
            <v>C2266</v>
          </cell>
          <cell r="N1261" t="str">
            <v>Ghanameh\غنمة</v>
          </cell>
        </row>
        <row r="1262">
          <cell r="L1262" t="str">
            <v>SY020801</v>
          </cell>
          <cell r="M1262" t="str">
            <v>C2250</v>
          </cell>
          <cell r="N1262" t="str">
            <v>Ghandorah\الغندورة</v>
          </cell>
        </row>
        <row r="1263">
          <cell r="L1263" t="str">
            <v>SY020801</v>
          </cell>
          <cell r="M1263" t="str">
            <v>C2251</v>
          </cell>
          <cell r="N1263" t="str">
            <v>Ghassaniyeh - Jrables\الغسانية جرابلس</v>
          </cell>
        </row>
        <row r="1264">
          <cell r="L1264" t="str">
            <v>SY020801</v>
          </cell>
          <cell r="M1264" t="str">
            <v>C2249</v>
          </cell>
          <cell r="N1264" t="str">
            <v>Hajar Elabyad\حجر الابيض</v>
          </cell>
        </row>
        <row r="1265">
          <cell r="L1265" t="str">
            <v>SY020801</v>
          </cell>
          <cell r="M1265" t="str">
            <v>C2243</v>
          </cell>
          <cell r="N1265" t="str">
            <v>Hfeira\حفيرة</v>
          </cell>
        </row>
        <row r="1266">
          <cell r="L1266" t="str">
            <v>SY020801</v>
          </cell>
          <cell r="M1266" t="str">
            <v>C2258</v>
          </cell>
          <cell r="N1266" t="str">
            <v>Hmeireh - Ashkaji\الحميرة_آشكجي</v>
          </cell>
        </row>
        <row r="1267">
          <cell r="L1267" t="str">
            <v>SY020801</v>
          </cell>
          <cell r="M1267" t="str">
            <v>C2262</v>
          </cell>
          <cell r="N1267" t="str">
            <v>Jeb Eldam Jrables\جب الدم جرابلس</v>
          </cell>
        </row>
        <row r="1268">
          <cell r="L1268" t="str">
            <v>SY020801</v>
          </cell>
          <cell r="M1268" t="str">
            <v>C2247</v>
          </cell>
          <cell r="N1268" t="str">
            <v>Kuliyeh\الكلية</v>
          </cell>
        </row>
        <row r="1269">
          <cell r="L1269" t="str">
            <v>SY020801</v>
          </cell>
          <cell r="M1269" t="str">
            <v>C2268</v>
          </cell>
          <cell r="N1269" t="str">
            <v>Lilawa\ليلوة</v>
          </cell>
        </row>
        <row r="1270">
          <cell r="L1270" t="str">
            <v>SY020801</v>
          </cell>
          <cell r="M1270" t="str">
            <v>C2256</v>
          </cell>
          <cell r="N1270" t="str">
            <v>Little Arab Hasan\عرب حسن صغير</v>
          </cell>
        </row>
        <row r="1271">
          <cell r="L1271" t="str">
            <v>SY020801</v>
          </cell>
          <cell r="M1271" t="str">
            <v>C2254</v>
          </cell>
          <cell r="N1271" t="str">
            <v>Qadi Jrables\القاضي جرابلس</v>
          </cell>
        </row>
        <row r="1272">
          <cell r="L1272" t="str">
            <v>SY020801</v>
          </cell>
          <cell r="M1272" t="str">
            <v>C2263</v>
          </cell>
          <cell r="N1272" t="str">
            <v>Qubbet Elturkman\قبة التركمان</v>
          </cell>
        </row>
        <row r="1273">
          <cell r="L1273" t="str">
            <v>SY020801</v>
          </cell>
          <cell r="M1273" t="str">
            <v>C2255</v>
          </cell>
          <cell r="N1273" t="str">
            <v>Sabuniyeh\الصابونية</v>
          </cell>
        </row>
        <row r="1274">
          <cell r="L1274" t="str">
            <v>SY020801</v>
          </cell>
          <cell r="M1274" t="str">
            <v>C2261</v>
          </cell>
          <cell r="N1274" t="str">
            <v>Shahid\الشهيد</v>
          </cell>
        </row>
        <row r="1275">
          <cell r="L1275" t="str">
            <v>SY020801</v>
          </cell>
          <cell r="M1275" t="str">
            <v>C2253</v>
          </cell>
          <cell r="N1275" t="str">
            <v>Sheib\الشعيب</v>
          </cell>
        </row>
        <row r="1276">
          <cell r="L1276" t="str">
            <v>SY020801</v>
          </cell>
          <cell r="M1276" t="str">
            <v>C2248</v>
          </cell>
          <cell r="N1276" t="str">
            <v>Sheineh\شعينة</v>
          </cell>
        </row>
        <row r="1277">
          <cell r="L1277" t="str">
            <v>SY020801</v>
          </cell>
          <cell r="M1277" t="str">
            <v>C2259</v>
          </cell>
          <cell r="N1277" t="str">
            <v>Sweida - Qorret Tashli\السويدة_قرة طاشلي</v>
          </cell>
        </row>
        <row r="1278">
          <cell r="L1278" t="str">
            <v>SY020801</v>
          </cell>
          <cell r="M1278" t="str">
            <v>C2260</v>
          </cell>
          <cell r="N1278" t="str">
            <v>Tal Aghbar - Tal Elagher\تل أغبر_تل الاغر</v>
          </cell>
        </row>
        <row r="1279">
          <cell r="L1279" t="str">
            <v>SY020801</v>
          </cell>
          <cell r="M1279" t="str">
            <v>C2245</v>
          </cell>
          <cell r="N1279" t="str">
            <v>Tal ali - Karbajli\تل علي_كربجلي</v>
          </cell>
        </row>
        <row r="1280">
          <cell r="L1280" t="str">
            <v>SY020801</v>
          </cell>
          <cell r="M1280" t="str">
            <v>C2244</v>
          </cell>
          <cell r="N1280" t="str">
            <v>Tal Elhajar - Tal Elahamar\تل الحجر_تل الاحمر</v>
          </cell>
        </row>
        <row r="1281">
          <cell r="L1281" t="str">
            <v>SY020801</v>
          </cell>
          <cell r="M1281" t="str">
            <v>C2257</v>
          </cell>
          <cell r="N1281" t="str">
            <v>Thaheriya Jrables\الظاهرية جرابلس</v>
          </cell>
        </row>
        <row r="1282">
          <cell r="L1282" t="str">
            <v>SY030101</v>
          </cell>
          <cell r="M1282" t="str">
            <v>C2283</v>
          </cell>
          <cell r="N1282" t="str">
            <v>Adleiyeh\العادلية</v>
          </cell>
        </row>
        <row r="1283">
          <cell r="L1283" t="str">
            <v>SY030101</v>
          </cell>
          <cell r="M1283" t="str">
            <v>C2274</v>
          </cell>
          <cell r="N1283" t="str">
            <v>al Matalleh\المطله</v>
          </cell>
        </row>
        <row r="1284">
          <cell r="L1284" t="str">
            <v>SY030101</v>
          </cell>
          <cell r="M1284" t="str">
            <v>C2277</v>
          </cell>
          <cell r="N1284" t="str">
            <v>Arkis\أركيس</v>
          </cell>
        </row>
        <row r="1285">
          <cell r="L1285" t="str">
            <v>SY030101</v>
          </cell>
          <cell r="M1285" t="str">
            <v>C2284</v>
          </cell>
          <cell r="N1285" t="str">
            <v>Deir Ali\دير علي</v>
          </cell>
        </row>
        <row r="1286">
          <cell r="L1286" t="str">
            <v>SY030101</v>
          </cell>
          <cell r="M1286" t="str">
            <v>C2287</v>
          </cell>
          <cell r="N1286" t="str">
            <v>Deir Khabiyeh\ديرخبية</v>
          </cell>
        </row>
        <row r="1287">
          <cell r="L1287" t="str">
            <v>SY030101</v>
          </cell>
          <cell r="M1287" t="str">
            <v>C2269</v>
          </cell>
          <cell r="N1287" t="str">
            <v>Ein Elbeida\عين البيضة</v>
          </cell>
        </row>
        <row r="1288">
          <cell r="L1288" t="str">
            <v>SY030101</v>
          </cell>
          <cell r="M1288" t="str">
            <v>C2276</v>
          </cell>
          <cell r="N1288" t="str">
            <v>Ein Elsoda\عين السودة</v>
          </cell>
        </row>
        <row r="1289">
          <cell r="L1289" t="str">
            <v>SY030101</v>
          </cell>
          <cell r="M1289" t="str">
            <v>C2272</v>
          </cell>
          <cell r="N1289" t="str">
            <v>Harjal\الحرجلة</v>
          </cell>
        </row>
        <row r="1290">
          <cell r="L1290" t="str">
            <v>SY030101</v>
          </cell>
          <cell r="M1290" t="str">
            <v>C2286</v>
          </cell>
          <cell r="N1290" t="str">
            <v>Jeb Elsafa\جب الصفا</v>
          </cell>
        </row>
        <row r="1291">
          <cell r="L1291" t="str">
            <v>SY030101</v>
          </cell>
          <cell r="M1291" t="str">
            <v>C2275</v>
          </cell>
          <cell r="N1291" t="str">
            <v>Khan Danoun  \خان دنون</v>
          </cell>
        </row>
        <row r="1292">
          <cell r="L1292" t="str">
            <v>SY030101</v>
          </cell>
          <cell r="M1292" t="str">
            <v>C2270</v>
          </cell>
          <cell r="N1292" t="str">
            <v>Kherbet Elsheyab\خربة الشياب</v>
          </cell>
        </row>
        <row r="1293">
          <cell r="L1293" t="str">
            <v>SY030101</v>
          </cell>
          <cell r="M1293" t="str">
            <v>C2273</v>
          </cell>
          <cell r="N1293" t="str">
            <v>Khiyarat Danoun  \خيارة دنون</v>
          </cell>
        </row>
        <row r="1294">
          <cell r="L1294" t="str">
            <v>SY030101</v>
          </cell>
          <cell r="M1294" t="str">
            <v>C2280</v>
          </cell>
          <cell r="N1294" t="str">
            <v>Kisweh\الكسوة</v>
          </cell>
        </row>
        <row r="1295">
          <cell r="L1295" t="str">
            <v>SY030101</v>
          </cell>
          <cell r="M1295" t="str">
            <v>C2288</v>
          </cell>
          <cell r="N1295" t="str">
            <v>Marana\مرانة</v>
          </cell>
        </row>
        <row r="1296">
          <cell r="L1296" t="str">
            <v>SY030101</v>
          </cell>
          <cell r="M1296" t="str">
            <v>C2291</v>
          </cell>
          <cell r="N1296" t="str">
            <v>Morjana\مرجانة</v>
          </cell>
        </row>
        <row r="1297">
          <cell r="L1297" t="str">
            <v>SY030101</v>
          </cell>
          <cell r="M1297" t="str">
            <v>C2290</v>
          </cell>
          <cell r="N1297" t="str">
            <v>Mqeilibeh\مقيليبة</v>
          </cell>
        </row>
        <row r="1298">
          <cell r="L1298" t="str">
            <v>SY030101</v>
          </cell>
          <cell r="M1298" t="str">
            <v>C2289</v>
          </cell>
          <cell r="N1298" t="str">
            <v>Qara\قارا</v>
          </cell>
        </row>
        <row r="1299">
          <cell r="L1299" t="str">
            <v>SY030101</v>
          </cell>
          <cell r="M1299" t="str">
            <v>C2271</v>
          </cell>
          <cell r="N1299" t="str">
            <v>Saada\السعادة</v>
          </cell>
        </row>
        <row r="1300">
          <cell r="L1300" t="str">
            <v>SY030101</v>
          </cell>
          <cell r="M1300" t="str">
            <v>C2278</v>
          </cell>
          <cell r="N1300" t="str">
            <v>Shaqhab\شقحب</v>
          </cell>
        </row>
        <row r="1301">
          <cell r="L1301" t="str">
            <v>SY030101</v>
          </cell>
          <cell r="M1301" t="str">
            <v>C2281</v>
          </cell>
          <cell r="N1301" t="str">
            <v>Tiba\الطيبة</v>
          </cell>
        </row>
        <row r="1302">
          <cell r="L1302" t="str">
            <v>SY030101</v>
          </cell>
          <cell r="M1302" t="str">
            <v>C2282</v>
          </cell>
          <cell r="N1302" t="str">
            <v>Um Elawamid\أم العواميد</v>
          </cell>
        </row>
        <row r="1303">
          <cell r="L1303" t="str">
            <v>SY030101</v>
          </cell>
          <cell r="M1303" t="str">
            <v>C2279</v>
          </cell>
          <cell r="N1303" t="str">
            <v>Zakyeh \زاكية</v>
          </cell>
        </row>
        <row r="1304">
          <cell r="L1304" t="str">
            <v>SY030101</v>
          </cell>
          <cell r="M1304" t="str">
            <v>C2285</v>
          </cell>
          <cell r="N1304" t="str">
            <v>Zreiqa\الزريقية</v>
          </cell>
        </row>
        <row r="1305">
          <cell r="L1305" t="str">
            <v>SY030102</v>
          </cell>
          <cell r="M1305" t="str">
            <v>C2292</v>
          </cell>
          <cell r="N1305" t="str">
            <v>Aqraba\عقربا</v>
          </cell>
        </row>
        <row r="1306">
          <cell r="L1306" t="str">
            <v>SY030102</v>
          </cell>
          <cell r="M1306" t="str">
            <v>C2300</v>
          </cell>
          <cell r="N1306" t="str">
            <v>Babella\ببيلا</v>
          </cell>
        </row>
        <row r="1307">
          <cell r="L1307" t="str">
            <v>SY030102</v>
          </cell>
          <cell r="M1307" t="str">
            <v>C2297</v>
          </cell>
          <cell r="N1307" t="str">
            <v>Bahdaliya\البحدلية</v>
          </cell>
        </row>
        <row r="1308">
          <cell r="L1308" t="str">
            <v>SY030102</v>
          </cell>
          <cell r="M1308" t="str">
            <v>C2295</v>
          </cell>
          <cell r="N1308" t="str">
            <v>Beit Sahm\بيت سحم</v>
          </cell>
        </row>
        <row r="1309">
          <cell r="L1309" t="str">
            <v>SY030102</v>
          </cell>
          <cell r="M1309" t="str">
            <v>C2296</v>
          </cell>
          <cell r="N1309" t="str">
            <v>Buwayda\البويضة</v>
          </cell>
        </row>
        <row r="1310">
          <cell r="L1310" t="str">
            <v>SY030102</v>
          </cell>
          <cell r="M1310" t="str">
            <v>C2293</v>
          </cell>
          <cell r="N1310" t="str">
            <v>Hjeireh\حجيرة</v>
          </cell>
        </row>
        <row r="1311">
          <cell r="L1311" t="str">
            <v>SY030102</v>
          </cell>
          <cell r="M1311" t="str">
            <v>C2294</v>
          </cell>
          <cell r="N1311" t="str">
            <v>Hosh Sahya\حوش صهيا</v>
          </cell>
        </row>
        <row r="1312">
          <cell r="L1312" t="str">
            <v>SY030102</v>
          </cell>
          <cell r="M1312" t="str">
            <v>C2298</v>
          </cell>
          <cell r="N1312" t="str">
            <v>Kherbet Elward\خربة الورد</v>
          </cell>
        </row>
        <row r="1313">
          <cell r="L1313" t="str">
            <v>SY030102</v>
          </cell>
          <cell r="M1313" t="str">
            <v>C2303</v>
          </cell>
          <cell r="N1313" t="str">
            <v>Najha\نجها</v>
          </cell>
        </row>
        <row r="1314">
          <cell r="L1314" t="str">
            <v>SY030102</v>
          </cell>
          <cell r="M1314" t="str">
            <v>C2299</v>
          </cell>
          <cell r="N1314" t="str">
            <v>Sayyeda Zeinab\السيدة زينب</v>
          </cell>
        </row>
        <row r="1315">
          <cell r="L1315" t="str">
            <v>SY030102</v>
          </cell>
          <cell r="M1315" t="str">
            <v>C2301</v>
          </cell>
          <cell r="N1315" t="str">
            <v>Sbeineh\السبينة</v>
          </cell>
        </row>
        <row r="1316">
          <cell r="L1316" t="str">
            <v>SY030102</v>
          </cell>
          <cell r="M1316" t="str">
            <v>C2302</v>
          </cell>
          <cell r="N1316" t="str">
            <v>Yalda\يلدا</v>
          </cell>
        </row>
        <row r="1317">
          <cell r="L1317" t="str">
            <v>SY030103</v>
          </cell>
          <cell r="M1317" t="str">
            <v>C2304</v>
          </cell>
          <cell r="N1317" t="str">
            <v>Jaramana\جرمانا</v>
          </cell>
        </row>
        <row r="1318">
          <cell r="L1318" t="str">
            <v>SY030104</v>
          </cell>
          <cell r="M1318" t="str">
            <v>C2306</v>
          </cell>
          <cell r="N1318" t="str">
            <v>Ahdaf\الأهداف</v>
          </cell>
        </row>
        <row r="1319">
          <cell r="L1319" t="str">
            <v>SY030104</v>
          </cell>
          <cell r="M1319" t="str">
            <v>C2309</v>
          </cell>
          <cell r="N1319" t="str">
            <v>Deir Elasafir\دير العصافير</v>
          </cell>
        </row>
        <row r="1320">
          <cell r="L1320" t="str">
            <v>SY030104</v>
          </cell>
          <cell r="M1320" t="str">
            <v>C2310</v>
          </cell>
          <cell r="N1320" t="str">
            <v>Hosh Elsultan\حوش السلطان</v>
          </cell>
        </row>
        <row r="1321">
          <cell r="L1321" t="str">
            <v>SY030104</v>
          </cell>
          <cell r="M1321" t="str">
            <v>C2311</v>
          </cell>
          <cell r="N1321" t="str">
            <v>Hteitet Elturkman\حتيتة التركمان</v>
          </cell>
        </row>
        <row r="1322">
          <cell r="L1322" t="str">
            <v>SY030104</v>
          </cell>
          <cell r="M1322" t="str">
            <v>C2308</v>
          </cell>
          <cell r="N1322" t="str">
            <v>Maliha\المليحة</v>
          </cell>
        </row>
        <row r="1323">
          <cell r="L1323" t="str">
            <v>SY030104</v>
          </cell>
          <cell r="M1323" t="str">
            <v>C2305</v>
          </cell>
          <cell r="N1323" t="str">
            <v>Shabaa\شبعا</v>
          </cell>
        </row>
        <row r="1324">
          <cell r="L1324" t="str">
            <v>SY030104</v>
          </cell>
          <cell r="M1324" t="str">
            <v>C2307</v>
          </cell>
          <cell r="N1324" t="str">
            <v>Zabadin\زبدين</v>
          </cell>
        </row>
        <row r="1325">
          <cell r="L1325" t="str">
            <v>SY030105</v>
          </cell>
          <cell r="M1325" t="str">
            <v>C2318</v>
          </cell>
          <cell r="N1325" t="str">
            <v>Beit Sawa\بيت سوا</v>
          </cell>
        </row>
        <row r="1326">
          <cell r="L1326" t="str">
            <v>SY030105</v>
          </cell>
          <cell r="M1326" t="str">
            <v>C2312</v>
          </cell>
          <cell r="N1326" t="str">
            <v>Eftreis\افتريس</v>
          </cell>
        </row>
        <row r="1327">
          <cell r="L1327" t="str">
            <v>SY030105</v>
          </cell>
          <cell r="M1327" t="str">
            <v>C2315</v>
          </cell>
          <cell r="N1327" t="str">
            <v>Ein Terma\عين ترما</v>
          </cell>
        </row>
        <row r="1328">
          <cell r="L1328" t="str">
            <v>SY030105</v>
          </cell>
          <cell r="M1328" t="str">
            <v>C2316</v>
          </cell>
          <cell r="N1328" t="str">
            <v>Hammura\حمورة</v>
          </cell>
        </row>
        <row r="1329">
          <cell r="L1329" t="str">
            <v>SY030105</v>
          </cell>
          <cell r="M1329" t="str">
            <v>C2313</v>
          </cell>
          <cell r="N1329" t="str">
            <v>Hezzeh\حزة</v>
          </cell>
        </row>
        <row r="1330">
          <cell r="L1330" t="str">
            <v>SY030105</v>
          </cell>
          <cell r="M1330" t="str">
            <v>C2317</v>
          </cell>
          <cell r="N1330" t="str">
            <v>Jisrein\جسرين</v>
          </cell>
        </row>
        <row r="1331">
          <cell r="L1331" t="str">
            <v>SY030105</v>
          </cell>
          <cell r="M1331" t="str">
            <v>C2319</v>
          </cell>
          <cell r="N1331" t="str">
            <v>Kafr Batna\كفر بطنا</v>
          </cell>
        </row>
        <row r="1332">
          <cell r="L1332" t="str">
            <v>SY030105</v>
          </cell>
          <cell r="M1332" t="str">
            <v>C2314</v>
          </cell>
          <cell r="N1332" t="str">
            <v>Saqba\سقبا</v>
          </cell>
        </row>
        <row r="1333">
          <cell r="L1333" t="str">
            <v>SY030106</v>
          </cell>
          <cell r="M1333" t="str">
            <v>C2321</v>
          </cell>
          <cell r="N1333" t="str">
            <v>Arbin\عربين</v>
          </cell>
        </row>
        <row r="1334">
          <cell r="L1334" t="str">
            <v>SY030106</v>
          </cell>
          <cell r="M1334" t="str">
            <v>C2320</v>
          </cell>
          <cell r="N1334" t="str">
            <v>Zamalka\زملكا</v>
          </cell>
        </row>
        <row r="1335">
          <cell r="L1335" t="str">
            <v>SY030107</v>
          </cell>
          <cell r="M1335" t="str">
            <v>C2324</v>
          </cell>
          <cell r="N1335" t="str">
            <v>Ashrafiet Elwadi\أشرفية الوادي</v>
          </cell>
        </row>
        <row r="1336">
          <cell r="L1336" t="str">
            <v>SY030107</v>
          </cell>
          <cell r="M1336" t="str">
            <v>C2326</v>
          </cell>
          <cell r="N1336" t="str">
            <v>Bseimeh\بسيمة</v>
          </cell>
        </row>
        <row r="1337">
          <cell r="L1337" t="str">
            <v>SY030107</v>
          </cell>
          <cell r="M1337" t="str">
            <v>C2323</v>
          </cell>
          <cell r="N1337" t="str">
            <v>Hama\الهامة</v>
          </cell>
        </row>
        <row r="1338">
          <cell r="L1338" t="str">
            <v>SY030107</v>
          </cell>
          <cell r="M1338" t="str">
            <v>C2325</v>
          </cell>
          <cell r="N1338" t="str">
            <v>Jamraya\جمرايا</v>
          </cell>
        </row>
        <row r="1339">
          <cell r="L1339" t="str">
            <v>SY030107</v>
          </cell>
          <cell r="M1339" t="str">
            <v>C2322</v>
          </cell>
          <cell r="N1339" t="str">
            <v>Jdidet Elwadi\جديدة الوادي</v>
          </cell>
        </row>
        <row r="1340">
          <cell r="L1340" t="str">
            <v>SY030107</v>
          </cell>
          <cell r="M1340" t="str">
            <v>C2327</v>
          </cell>
          <cell r="N1340" t="str">
            <v>New Dahiet Qdosiya Elsakina\ضاحية قدسيا السكنية الجديدة</v>
          </cell>
        </row>
        <row r="1341">
          <cell r="L1341" t="str">
            <v>SY030107</v>
          </cell>
          <cell r="M1341" t="str">
            <v>C2328</v>
          </cell>
          <cell r="N1341" t="str">
            <v>Qudsiya\قدسيا</v>
          </cell>
        </row>
        <row r="1342">
          <cell r="L1342" t="str">
            <v>SY030200</v>
          </cell>
          <cell r="M1342" t="str">
            <v>C2331</v>
          </cell>
          <cell r="N1342" t="str">
            <v>Adra\عدرا</v>
          </cell>
        </row>
        <row r="1343">
          <cell r="L1343" t="str">
            <v>SY030200</v>
          </cell>
          <cell r="M1343" t="str">
            <v>C2330</v>
          </cell>
          <cell r="N1343" t="str">
            <v>Btihet Elwafedine\بطيحة الوافدين</v>
          </cell>
        </row>
        <row r="1344">
          <cell r="L1344" t="str">
            <v>SY030200</v>
          </cell>
          <cell r="M1344" t="str">
            <v>C2338</v>
          </cell>
          <cell r="N1344" t="str">
            <v>Duma\دوما</v>
          </cell>
        </row>
        <row r="1345">
          <cell r="L1345" t="str">
            <v>SY030200</v>
          </cell>
          <cell r="M1345" t="str">
            <v>C2332</v>
          </cell>
          <cell r="N1345" t="str">
            <v>Hosh Eldawahreh\حوش الضواهره</v>
          </cell>
        </row>
        <row r="1346">
          <cell r="L1346" t="str">
            <v>SY030200</v>
          </cell>
          <cell r="M1346" t="str">
            <v>C2333</v>
          </cell>
          <cell r="N1346" t="str">
            <v>Hosh Elfara\حوش الفاره</v>
          </cell>
        </row>
        <row r="1347">
          <cell r="L1347" t="str">
            <v>SY030200</v>
          </cell>
          <cell r="M1347" t="str">
            <v>C2329</v>
          </cell>
          <cell r="N1347" t="str">
            <v>Hosh Nasri\حوش نصري</v>
          </cell>
        </row>
        <row r="1348">
          <cell r="L1348" t="str">
            <v>SY030200</v>
          </cell>
          <cell r="M1348" t="str">
            <v>C2336</v>
          </cell>
          <cell r="N1348" t="str">
            <v>Lower Hfeir\حفير التحتا</v>
          </cell>
        </row>
        <row r="1349">
          <cell r="L1349" t="str">
            <v>SY030200</v>
          </cell>
          <cell r="M1349" t="str">
            <v>C2340</v>
          </cell>
          <cell r="N1349" t="str">
            <v>Madinet Elshahid Basil Elasad Alomaliyeh Baadra\مدينة الشهيد باسل الأسد العمالية بعدرا</v>
          </cell>
        </row>
        <row r="1350">
          <cell r="L1350" t="str">
            <v>SY030200</v>
          </cell>
          <cell r="M1350" t="str">
            <v>C2339</v>
          </cell>
          <cell r="N1350" t="str">
            <v>Meidaa\ميدعا</v>
          </cell>
        </row>
        <row r="1351">
          <cell r="L1351" t="str">
            <v>SY030200</v>
          </cell>
          <cell r="M1351" t="str">
            <v>C2337</v>
          </cell>
          <cell r="N1351" t="str">
            <v>Rihan\الريحان</v>
          </cell>
        </row>
        <row r="1352">
          <cell r="L1352" t="str">
            <v>SY030200</v>
          </cell>
          <cell r="M1352" t="str">
            <v>C2334</v>
          </cell>
          <cell r="N1352" t="str">
            <v>Shafuniyeh\الشفونية</v>
          </cell>
        </row>
        <row r="1353">
          <cell r="L1353" t="str">
            <v>SY030200</v>
          </cell>
          <cell r="M1353" t="str">
            <v>C2335</v>
          </cell>
          <cell r="N1353" t="str">
            <v>Tal Elswan\تل الصوان</v>
          </cell>
        </row>
        <row r="1354">
          <cell r="L1354" t="str">
            <v>SY030201</v>
          </cell>
          <cell r="M1354" t="str">
            <v>C2341</v>
          </cell>
          <cell r="N1354" t="str">
            <v>Dahiet Elasad\ضاحية الأسد</v>
          </cell>
        </row>
        <row r="1355">
          <cell r="L1355" t="str">
            <v>SY030201</v>
          </cell>
          <cell r="M1355" t="str">
            <v>C2342</v>
          </cell>
          <cell r="N1355" t="str">
            <v>Harasta\حرستا</v>
          </cell>
        </row>
        <row r="1356">
          <cell r="L1356" t="str">
            <v>SY030201</v>
          </cell>
          <cell r="M1356" t="str">
            <v>C2344</v>
          </cell>
          <cell r="N1356" t="str">
            <v>Misraba\مسرابا</v>
          </cell>
        </row>
        <row r="1357">
          <cell r="L1357" t="str">
            <v>SY030201</v>
          </cell>
          <cell r="M1357" t="str">
            <v>C2343</v>
          </cell>
          <cell r="N1357" t="str">
            <v>Modira\مديرا</v>
          </cell>
        </row>
        <row r="1358">
          <cell r="L1358" t="str">
            <v>SY030202</v>
          </cell>
          <cell r="M1358" t="str">
            <v>C2345</v>
          </cell>
          <cell r="N1358" t="str">
            <v>Sabe Byar\السبع بيار</v>
          </cell>
        </row>
        <row r="1359">
          <cell r="L1359" t="str">
            <v>SY030203</v>
          </cell>
          <cell r="M1359" t="str">
            <v>C2346</v>
          </cell>
          <cell r="N1359" t="str">
            <v>Dhameer\الضمير</v>
          </cell>
        </row>
        <row r="1360">
          <cell r="L1360" t="str">
            <v>SY030203</v>
          </cell>
          <cell r="M1360" t="str">
            <v>C6321</v>
          </cell>
          <cell r="N1360" t="str">
            <v>Ramadan (non-official PR Camp)\مخيم الرمدان</v>
          </cell>
        </row>
        <row r="1361">
          <cell r="L1361" t="str">
            <v>SY030204</v>
          </cell>
          <cell r="M1361" t="str">
            <v>C2353</v>
          </cell>
          <cell r="N1361" t="str">
            <v>Ahmadia\الأحمدية</v>
          </cell>
        </row>
        <row r="1362">
          <cell r="L1362" t="str">
            <v>SY030204</v>
          </cell>
          <cell r="M1362" t="str">
            <v>C2349</v>
          </cell>
          <cell r="N1362" t="str">
            <v>Bahariya\البحارية</v>
          </cell>
        </row>
        <row r="1363">
          <cell r="L1363" t="str">
            <v>SY030204</v>
          </cell>
          <cell r="M1363" t="str">
            <v>C2354</v>
          </cell>
          <cell r="N1363" t="str">
            <v>Balaliyeh\البلالية</v>
          </cell>
        </row>
        <row r="1364">
          <cell r="L1364" t="str">
            <v>SY030204</v>
          </cell>
          <cell r="M1364" t="str">
            <v>C2363</v>
          </cell>
          <cell r="N1364" t="str">
            <v>Beit Nayem\بيت نايم</v>
          </cell>
        </row>
        <row r="1365">
          <cell r="L1365" t="str">
            <v>SY030204</v>
          </cell>
          <cell r="M1365" t="str">
            <v>C2347</v>
          </cell>
          <cell r="N1365" t="str">
            <v>Bzeineh\بزينة</v>
          </cell>
        </row>
        <row r="1366">
          <cell r="L1366" t="str">
            <v>SY030204</v>
          </cell>
          <cell r="M1366" t="str">
            <v>C2359</v>
          </cell>
          <cell r="N1366" t="str">
            <v>Deir Salman\دير سلمان</v>
          </cell>
        </row>
        <row r="1367">
          <cell r="L1367" t="str">
            <v>SY030204</v>
          </cell>
          <cell r="M1367" t="str">
            <v>C2352</v>
          </cell>
          <cell r="N1367" t="str">
            <v>Harasta Elqantara\حرستا القنطرة</v>
          </cell>
        </row>
        <row r="1368">
          <cell r="L1368" t="str">
            <v>SY030204</v>
          </cell>
          <cell r="M1368" t="str">
            <v>C2361</v>
          </cell>
          <cell r="N1368" t="str">
            <v>Jarba\الجربا</v>
          </cell>
        </row>
        <row r="1369">
          <cell r="L1369" t="str">
            <v>SY030204</v>
          </cell>
          <cell r="M1369" t="str">
            <v>C2358</v>
          </cell>
          <cell r="N1369" t="str">
            <v>Kamissiyeh\الخامسية</v>
          </cell>
        </row>
        <row r="1370">
          <cell r="L1370" t="str">
            <v>SY030204</v>
          </cell>
          <cell r="M1370" t="str">
            <v>C2364</v>
          </cell>
          <cell r="N1370" t="str">
            <v>Mansura\المنصورة</v>
          </cell>
        </row>
        <row r="1371">
          <cell r="L1371" t="str">
            <v>SY030204</v>
          </cell>
          <cell r="M1371" t="str">
            <v>C2366</v>
          </cell>
          <cell r="N1371" t="str">
            <v>Marj Elsultan\مرج السلطان</v>
          </cell>
        </row>
        <row r="1372">
          <cell r="L1372" t="str">
            <v>SY030204</v>
          </cell>
          <cell r="M1372" t="str">
            <v>C2355</v>
          </cell>
          <cell r="N1372" t="str">
            <v>Nashabiyeh\النشابية</v>
          </cell>
        </row>
        <row r="1373">
          <cell r="L1373" t="str">
            <v>SY030204</v>
          </cell>
          <cell r="M1373" t="str">
            <v>C2365</v>
          </cell>
          <cell r="N1373" t="str">
            <v>Nula\نولة</v>
          </cell>
        </row>
        <row r="1374">
          <cell r="L1374" t="str">
            <v>SY030204</v>
          </cell>
          <cell r="M1374" t="str">
            <v>C2357</v>
          </cell>
          <cell r="N1374" t="str">
            <v>Obada\العبادة</v>
          </cell>
        </row>
        <row r="1375">
          <cell r="L1375" t="str">
            <v>SY030204</v>
          </cell>
          <cell r="M1375" t="str">
            <v>C2350</v>
          </cell>
          <cell r="N1375" t="str">
            <v>Otania\أوتايا</v>
          </cell>
        </row>
        <row r="1376">
          <cell r="L1376" t="str">
            <v>SY030204</v>
          </cell>
          <cell r="M1376" t="str">
            <v>C2348</v>
          </cell>
          <cell r="N1376" t="str">
            <v>Otayba\العتيبة</v>
          </cell>
        </row>
        <row r="1377">
          <cell r="L1377" t="str">
            <v>SY030204</v>
          </cell>
          <cell r="M1377" t="str">
            <v>C2356</v>
          </cell>
          <cell r="N1377" t="str">
            <v>Qasemiyeh\القاسمية</v>
          </cell>
        </row>
        <row r="1378">
          <cell r="L1378" t="str">
            <v>SY030204</v>
          </cell>
          <cell r="M1378" t="str">
            <v>C2351</v>
          </cell>
          <cell r="N1378" t="str">
            <v>Qisa\القيسا</v>
          </cell>
        </row>
        <row r="1379">
          <cell r="L1379" t="str">
            <v>SY030204</v>
          </cell>
          <cell r="M1379" t="str">
            <v>C2360</v>
          </cell>
          <cell r="N1379" t="str">
            <v>Salhiyeh\الصالحية</v>
          </cell>
        </row>
        <row r="1380">
          <cell r="L1380" t="str">
            <v>SY030204</v>
          </cell>
          <cell r="M1380" t="str">
            <v>C2367</v>
          </cell>
          <cell r="N1380" t="str">
            <v>Widyan Elrabee\وديان الربيع</v>
          </cell>
        </row>
        <row r="1381">
          <cell r="L1381" t="str">
            <v>SY030204</v>
          </cell>
          <cell r="M1381" t="str">
            <v>C2362</v>
          </cell>
          <cell r="N1381" t="str">
            <v>Zamaiyeh\الزمانية</v>
          </cell>
        </row>
        <row r="1382">
          <cell r="L1382" t="str">
            <v>SY030205</v>
          </cell>
          <cell r="M1382" t="str">
            <v>C2374</v>
          </cell>
          <cell r="N1382" t="str">
            <v>Bayad\البياض</v>
          </cell>
        </row>
        <row r="1383">
          <cell r="L1383" t="str">
            <v>SY030205</v>
          </cell>
          <cell r="M1383" t="str">
            <v>C2369</v>
          </cell>
          <cell r="N1383" t="str">
            <v>Bitariyeh\البيطارية</v>
          </cell>
        </row>
        <row r="1384">
          <cell r="L1384" t="str">
            <v>SY030205</v>
          </cell>
          <cell r="M1384" t="str">
            <v>C2376</v>
          </cell>
          <cell r="N1384" t="str">
            <v>Deir Elhajar\دير الحجر</v>
          </cell>
        </row>
        <row r="1385">
          <cell r="L1385" t="str">
            <v>SY030205</v>
          </cell>
          <cell r="M1385" t="str">
            <v>C2377</v>
          </cell>
          <cell r="N1385" t="str">
            <v>Delbeh\دلبة</v>
          </cell>
        </row>
        <row r="1386">
          <cell r="L1386" t="str">
            <v>SY030205</v>
          </cell>
          <cell r="M1386" t="str">
            <v>C2375</v>
          </cell>
          <cell r="N1386" t="str">
            <v>Ghassuleh\غسولة</v>
          </cell>
        </row>
        <row r="1387">
          <cell r="L1387" t="str">
            <v>SY030205</v>
          </cell>
          <cell r="M1387" t="str">
            <v>C2370</v>
          </cell>
          <cell r="N1387" t="str">
            <v>Ghizlaniyyeh\الغزلانية</v>
          </cell>
        </row>
        <row r="1388">
          <cell r="L1388" t="str">
            <v>SY030205</v>
          </cell>
          <cell r="M1388" t="str">
            <v>C2371</v>
          </cell>
          <cell r="N1388" t="str">
            <v>Hayajneh\الهيجانة</v>
          </cell>
        </row>
        <row r="1389">
          <cell r="L1389" t="str">
            <v>SY030205</v>
          </cell>
          <cell r="M1389" t="str">
            <v>C2378</v>
          </cell>
          <cell r="N1389" t="str">
            <v>Qarhata\قرحتا</v>
          </cell>
        </row>
        <row r="1390">
          <cell r="L1390" t="str">
            <v>SY030205</v>
          </cell>
          <cell r="M1390" t="str">
            <v>C2372</v>
          </cell>
          <cell r="N1390" t="str">
            <v>Qarmashiyeh\القرمشية</v>
          </cell>
        </row>
        <row r="1391">
          <cell r="L1391" t="str">
            <v>SY030205</v>
          </cell>
          <cell r="M1391" t="str">
            <v>C2368</v>
          </cell>
          <cell r="N1391" t="str">
            <v>Saka\سكا</v>
          </cell>
        </row>
        <row r="1392">
          <cell r="L1392" t="str">
            <v>SY030205</v>
          </cell>
          <cell r="M1392" t="str">
            <v>C2373</v>
          </cell>
          <cell r="N1392" t="str">
            <v>Tal Maskan\تل مسكن</v>
          </cell>
        </row>
        <row r="1393">
          <cell r="L1393" t="str">
            <v>SY030206</v>
          </cell>
          <cell r="M1393" t="str">
            <v>C2380</v>
          </cell>
          <cell r="N1393" t="str">
            <v>Haran Al'awameed\حران العواميد</v>
          </cell>
        </row>
        <row r="1394">
          <cell r="L1394" t="str">
            <v>SY030206</v>
          </cell>
          <cell r="M1394" t="str">
            <v>C2381</v>
          </cell>
          <cell r="N1394" t="str">
            <v>Jdidet Elkhas\جديدة الخاص</v>
          </cell>
        </row>
        <row r="1395">
          <cell r="L1395" t="str">
            <v>SY030206</v>
          </cell>
          <cell r="M1395" t="str">
            <v>C2382</v>
          </cell>
          <cell r="N1395" t="str">
            <v>Kafrein\الكفرين</v>
          </cell>
        </row>
        <row r="1396">
          <cell r="L1396" t="str">
            <v>SY030206</v>
          </cell>
          <cell r="M1396" t="str">
            <v>C2379</v>
          </cell>
          <cell r="N1396" t="str">
            <v>Mbarka\المباركة</v>
          </cell>
        </row>
        <row r="1397">
          <cell r="L1397" t="str">
            <v>SY030300</v>
          </cell>
          <cell r="M1397" t="str">
            <v>C2384</v>
          </cell>
          <cell r="N1397" t="str">
            <v>Al Qutayfah\القطيفة</v>
          </cell>
        </row>
        <row r="1398">
          <cell r="L1398" t="str">
            <v>SY030300</v>
          </cell>
          <cell r="M1398" t="str">
            <v>C2383</v>
          </cell>
          <cell r="N1398" t="str">
            <v>Helleh\حله</v>
          </cell>
        </row>
        <row r="1399">
          <cell r="L1399" t="str">
            <v>SY030300</v>
          </cell>
          <cell r="M1399" t="str">
            <v>C2385</v>
          </cell>
          <cell r="N1399" t="str">
            <v>Madamiyet Elqalmun\معضمية القلمون</v>
          </cell>
        </row>
        <row r="1400">
          <cell r="L1400" t="str">
            <v>SY030301</v>
          </cell>
          <cell r="M1400" t="str">
            <v>C2388</v>
          </cell>
          <cell r="N1400" t="str">
            <v>Atna\العطنة</v>
          </cell>
        </row>
        <row r="1401">
          <cell r="L1401" t="str">
            <v>SY030301</v>
          </cell>
          <cell r="M1401" t="str">
            <v>C2387</v>
          </cell>
          <cell r="N1401" t="str">
            <v>Jirud\جيرود</v>
          </cell>
        </row>
        <row r="1402">
          <cell r="L1402" t="str">
            <v>SY030301</v>
          </cell>
          <cell r="M1402" t="str">
            <v>C2386</v>
          </cell>
          <cell r="N1402" t="str">
            <v>Nasriyeh\الناصرية</v>
          </cell>
        </row>
        <row r="1403">
          <cell r="L1403" t="str">
            <v>SY030302</v>
          </cell>
          <cell r="M1403" t="str">
            <v>C2390</v>
          </cell>
          <cell r="N1403" t="str">
            <v>Ein Et-teeneh\عين التينة</v>
          </cell>
        </row>
        <row r="1404">
          <cell r="L1404" t="str">
            <v>SY030302</v>
          </cell>
          <cell r="M1404" t="str">
            <v>C2391</v>
          </cell>
          <cell r="N1404" t="str">
            <v>Jabaadin\جبعدين</v>
          </cell>
        </row>
        <row r="1405">
          <cell r="L1405" t="str">
            <v>SY030302</v>
          </cell>
          <cell r="M1405" t="str">
            <v>C2393</v>
          </cell>
          <cell r="N1405" t="str">
            <v>Ma'loula\معلولا</v>
          </cell>
        </row>
        <row r="1406">
          <cell r="L1406" t="str">
            <v>SY030302</v>
          </cell>
          <cell r="M1406" t="str">
            <v>C2392</v>
          </cell>
          <cell r="N1406" t="str">
            <v>Twani\التواني</v>
          </cell>
        </row>
        <row r="1407">
          <cell r="L1407" t="str">
            <v>SY030303</v>
          </cell>
          <cell r="M1407" t="str">
            <v>C2394</v>
          </cell>
          <cell r="N1407" t="str">
            <v>Raheiba\الرحيبة</v>
          </cell>
        </row>
        <row r="1408">
          <cell r="L1408" t="str">
            <v>SY030400</v>
          </cell>
          <cell r="M1408" t="str">
            <v>C2395</v>
          </cell>
          <cell r="N1408" t="str">
            <v>At Tall\التل</v>
          </cell>
        </row>
        <row r="1409">
          <cell r="L1409" t="str">
            <v>SY030400</v>
          </cell>
          <cell r="M1409" t="str">
            <v>C2398</v>
          </cell>
          <cell r="N1409" t="str">
            <v>Dreij\الدريج</v>
          </cell>
        </row>
        <row r="1410">
          <cell r="L1410" t="str">
            <v>SY030400</v>
          </cell>
          <cell r="M1410" t="str">
            <v>C2397</v>
          </cell>
          <cell r="N1410" t="str">
            <v>Halbun\حلبون</v>
          </cell>
        </row>
        <row r="1411">
          <cell r="L1411" t="str">
            <v>SY030400</v>
          </cell>
          <cell r="M1411" t="str">
            <v>C2400</v>
          </cell>
          <cell r="N1411" t="str">
            <v>Maaruna\معرونة</v>
          </cell>
        </row>
        <row r="1412">
          <cell r="L1412" t="str">
            <v>SY030400</v>
          </cell>
          <cell r="M1412" t="str">
            <v>C2401</v>
          </cell>
          <cell r="N1412" t="str">
            <v>Meraba\معربا</v>
          </cell>
        </row>
        <row r="1413">
          <cell r="L1413" t="str">
            <v>SY030400</v>
          </cell>
          <cell r="M1413" t="str">
            <v>C2399</v>
          </cell>
          <cell r="N1413" t="str">
            <v>Monin\منين</v>
          </cell>
        </row>
        <row r="1414">
          <cell r="L1414" t="str">
            <v>SY030400</v>
          </cell>
          <cell r="M1414" t="str">
            <v>C2396</v>
          </cell>
          <cell r="N1414" t="str">
            <v>Talfita\تلفيتا</v>
          </cell>
        </row>
        <row r="1415">
          <cell r="L1415" t="str">
            <v>SY030401</v>
          </cell>
          <cell r="M1415" t="str">
            <v>C2402</v>
          </cell>
          <cell r="N1415" t="str">
            <v>Bada\بدا</v>
          </cell>
        </row>
        <row r="1416">
          <cell r="L1416" t="str">
            <v>SY030401</v>
          </cell>
          <cell r="M1416" t="str">
            <v>C2406</v>
          </cell>
          <cell r="N1416" t="str">
            <v>Maaret Sednaya\معرة صيدنايا</v>
          </cell>
        </row>
        <row r="1417">
          <cell r="L1417" t="str">
            <v>SY030401</v>
          </cell>
          <cell r="M1417" t="str">
            <v>C2403</v>
          </cell>
          <cell r="N1417" t="str">
            <v>Okobar\عكوبر</v>
          </cell>
        </row>
        <row r="1418">
          <cell r="L1418" t="str">
            <v>SY030401</v>
          </cell>
          <cell r="M1418" t="str">
            <v>C2404</v>
          </cell>
          <cell r="N1418" t="str">
            <v>Sidnaya\صيدنايا</v>
          </cell>
        </row>
        <row r="1419">
          <cell r="L1419" t="str">
            <v>SY030401</v>
          </cell>
          <cell r="M1419" t="str">
            <v>C2405</v>
          </cell>
          <cell r="N1419" t="str">
            <v>Upper Hfeir\حفير الفوقا</v>
          </cell>
        </row>
        <row r="1420">
          <cell r="L1420" t="str">
            <v>SY030402</v>
          </cell>
          <cell r="M1420" t="str">
            <v>C2408</v>
          </cell>
          <cell r="N1420" t="str">
            <v>Fayadiyeh\الفياضية</v>
          </cell>
        </row>
        <row r="1421">
          <cell r="L1421" t="str">
            <v>SY030402</v>
          </cell>
          <cell r="M1421" t="str">
            <v>C2407</v>
          </cell>
          <cell r="N1421" t="str">
            <v>Hosh Arab\حوش عرب</v>
          </cell>
        </row>
        <row r="1422">
          <cell r="L1422" t="str">
            <v>SY030402</v>
          </cell>
          <cell r="M1422" t="str">
            <v>C2409</v>
          </cell>
          <cell r="N1422" t="str">
            <v>Jurneyyeh\الجرنية</v>
          </cell>
        </row>
        <row r="1423">
          <cell r="L1423" t="str">
            <v>SY030402</v>
          </cell>
          <cell r="M1423" t="str">
            <v>C2411</v>
          </cell>
          <cell r="N1423" t="str">
            <v>Mahabba\المحبة</v>
          </cell>
        </row>
        <row r="1424">
          <cell r="L1424" t="str">
            <v>SY030402</v>
          </cell>
          <cell r="M1424" t="str">
            <v>C2410</v>
          </cell>
          <cell r="N1424" t="str">
            <v>Rankus\رنكوس</v>
          </cell>
        </row>
        <row r="1425">
          <cell r="L1425" t="str">
            <v>SY030500</v>
          </cell>
          <cell r="M1425" t="str">
            <v>C2415</v>
          </cell>
          <cell r="N1425" t="str">
            <v>Ras El Ein - Yabrud\رأس العين - يبرود</v>
          </cell>
        </row>
        <row r="1426">
          <cell r="L1426" t="str">
            <v>SY030500</v>
          </cell>
          <cell r="M1426" t="str">
            <v>C2413</v>
          </cell>
          <cell r="N1426" t="str">
            <v>Ras Elmaarra\رأس المعرة</v>
          </cell>
        </row>
        <row r="1427">
          <cell r="L1427" t="str">
            <v>SY030500</v>
          </cell>
          <cell r="M1427" t="str">
            <v>C2412</v>
          </cell>
          <cell r="N1427" t="str">
            <v>Rima\ريما</v>
          </cell>
        </row>
        <row r="1428">
          <cell r="L1428" t="str">
            <v>SY030500</v>
          </cell>
          <cell r="M1428" t="str">
            <v>C2414</v>
          </cell>
          <cell r="N1428" t="str">
            <v>Sarkha\الصرخه</v>
          </cell>
        </row>
        <row r="1429">
          <cell r="L1429" t="str">
            <v>SY030500</v>
          </cell>
          <cell r="M1429" t="str">
            <v>C2416</v>
          </cell>
          <cell r="N1429" t="str">
            <v>Yabroud\يبرود</v>
          </cell>
        </row>
        <row r="1430">
          <cell r="L1430" t="str">
            <v>SY030501</v>
          </cell>
          <cell r="M1430" t="str">
            <v>C2417</v>
          </cell>
          <cell r="N1430" t="str">
            <v>Esal El-Ward\عسال الورد</v>
          </cell>
        </row>
        <row r="1431">
          <cell r="L1431" t="str">
            <v>SY030501</v>
          </cell>
          <cell r="M1431" t="str">
            <v>C2418</v>
          </cell>
          <cell r="N1431" t="str">
            <v>Jobbeh\الجبة</v>
          </cell>
        </row>
        <row r="1432">
          <cell r="L1432" t="str">
            <v>SY030600</v>
          </cell>
          <cell r="M1432" t="str">
            <v>C2419</v>
          </cell>
          <cell r="N1432" t="str">
            <v>An Nabk\النبك</v>
          </cell>
        </row>
        <row r="1433">
          <cell r="L1433" t="str">
            <v>SY030600</v>
          </cell>
          <cell r="M1433" t="str">
            <v>C2422</v>
          </cell>
          <cell r="N1433" t="str">
            <v>Mashrafet Falita\مشرفة فليطة</v>
          </cell>
        </row>
        <row r="1434">
          <cell r="L1434" t="str">
            <v>SY030600</v>
          </cell>
          <cell r="M1434" t="str">
            <v>C2423</v>
          </cell>
          <cell r="N1434" t="str">
            <v>Qaldun Elmarah\قلدون المراح</v>
          </cell>
        </row>
        <row r="1435">
          <cell r="L1435" t="str">
            <v>SY030600</v>
          </cell>
          <cell r="M1435" t="str">
            <v>C2421</v>
          </cell>
          <cell r="N1435" t="str">
            <v>Qastal\القسطل</v>
          </cell>
        </row>
        <row r="1436">
          <cell r="L1436" t="str">
            <v>SY030600</v>
          </cell>
          <cell r="M1436" t="str">
            <v>C2420</v>
          </cell>
          <cell r="N1436" t="str">
            <v>Sahl\السحل</v>
          </cell>
        </row>
        <row r="1437">
          <cell r="L1437" t="str">
            <v>SY030601</v>
          </cell>
          <cell r="M1437" t="str">
            <v>C2424</v>
          </cell>
          <cell r="N1437" t="str">
            <v>Deir Attiyeh\دير عطية</v>
          </cell>
        </row>
        <row r="1438">
          <cell r="L1438" t="str">
            <v>SY030601</v>
          </cell>
          <cell r="M1438" t="str">
            <v>C2425</v>
          </cell>
          <cell r="N1438" t="str">
            <v>Hmeireh\الحميرة</v>
          </cell>
        </row>
        <row r="1439">
          <cell r="L1439" t="str">
            <v>SY030601</v>
          </cell>
          <cell r="M1439" t="str">
            <v>C2426</v>
          </cell>
          <cell r="N1439" t="str">
            <v>Jarajir\الجراجير</v>
          </cell>
        </row>
        <row r="1440">
          <cell r="L1440" t="str">
            <v>SY030601</v>
          </cell>
          <cell r="M1440" t="str">
            <v>C2427</v>
          </cell>
          <cell r="N1440" t="str">
            <v>Qarra\قارة</v>
          </cell>
        </row>
        <row r="1441">
          <cell r="L1441" t="str">
            <v>SY030700</v>
          </cell>
          <cell r="M1441" t="str">
            <v>C2429</v>
          </cell>
          <cell r="N1441" t="str">
            <v>Az-Zabdani\الزبداني</v>
          </cell>
        </row>
        <row r="1442">
          <cell r="L1442" t="str">
            <v>SY030700</v>
          </cell>
          <cell r="M1442" t="str">
            <v>C2433</v>
          </cell>
          <cell r="N1442" t="str">
            <v>Barhaliya\برهليا</v>
          </cell>
        </row>
        <row r="1443">
          <cell r="L1443" t="str">
            <v>SY030700</v>
          </cell>
          <cell r="M1443" t="str">
            <v>C2434</v>
          </cell>
          <cell r="N1443" t="str">
            <v>Bludan\بلودان</v>
          </cell>
        </row>
        <row r="1444">
          <cell r="L1444" t="str">
            <v>SY030700</v>
          </cell>
          <cell r="M1444" t="str">
            <v>C2432</v>
          </cell>
          <cell r="N1444" t="str">
            <v>Hosh Bjid\حوش بجد</v>
          </cell>
        </row>
        <row r="1445">
          <cell r="L1445" t="str">
            <v>SY030700</v>
          </cell>
          <cell r="M1445" t="str">
            <v>C2435</v>
          </cell>
          <cell r="N1445" t="str">
            <v>Kafr Elawamid\كفر العواميد</v>
          </cell>
        </row>
        <row r="1446">
          <cell r="L1446" t="str">
            <v>SY030700</v>
          </cell>
          <cell r="M1446" t="str">
            <v>C2431</v>
          </cell>
          <cell r="N1446" t="str">
            <v>Rawda Batroneh\الروضة_البطرونة</v>
          </cell>
        </row>
        <row r="1447">
          <cell r="L1447" t="str">
            <v>SY030700</v>
          </cell>
          <cell r="M1447" t="str">
            <v>C2430</v>
          </cell>
          <cell r="N1447" t="str">
            <v>Suq Wadi Burda\سوق وادي بردى</v>
          </cell>
        </row>
        <row r="1448">
          <cell r="L1448" t="str">
            <v>SY030701</v>
          </cell>
          <cell r="M1448" t="str">
            <v>C2437</v>
          </cell>
          <cell r="N1448" t="str">
            <v>Dimas\الديماس</v>
          </cell>
        </row>
        <row r="1449">
          <cell r="L1449" t="str">
            <v>SY030701</v>
          </cell>
          <cell r="M1449" t="str">
            <v>C2436</v>
          </cell>
          <cell r="N1449" t="str">
            <v>Jdidet Yabus\جديدة يابوس</v>
          </cell>
        </row>
        <row r="1450">
          <cell r="L1450" t="str">
            <v>SY030701</v>
          </cell>
          <cell r="M1450" t="str">
            <v>C2440</v>
          </cell>
          <cell r="N1450" t="str">
            <v>Kafir Yabus\كفير يابوس</v>
          </cell>
        </row>
        <row r="1451">
          <cell r="L1451" t="str">
            <v>SY030701</v>
          </cell>
          <cell r="M1451" t="str">
            <v>C2438</v>
          </cell>
          <cell r="N1451" t="str">
            <v>Maadar\معدر</v>
          </cell>
        </row>
        <row r="1452">
          <cell r="L1452" t="str">
            <v>SY030701</v>
          </cell>
          <cell r="M1452" t="str">
            <v>C2439</v>
          </cell>
          <cell r="N1452" t="str">
            <v>Qura Elasad\قرى الأسد</v>
          </cell>
        </row>
        <row r="1453">
          <cell r="L1453" t="str">
            <v>SY030701</v>
          </cell>
          <cell r="M1453" t="str">
            <v>C2441</v>
          </cell>
          <cell r="N1453" t="str">
            <v>Yabus\يابوس</v>
          </cell>
        </row>
        <row r="1454">
          <cell r="L1454" t="str">
            <v>SY030702</v>
          </cell>
          <cell r="M1454" t="str">
            <v>C2443</v>
          </cell>
          <cell r="N1454" t="str">
            <v>Afra\افرة</v>
          </cell>
        </row>
        <row r="1455">
          <cell r="L1455" t="str">
            <v>SY030702</v>
          </cell>
          <cell r="M1455" t="str">
            <v>C2444</v>
          </cell>
          <cell r="N1455" t="str">
            <v>Deir Maqran\دير مقرن</v>
          </cell>
        </row>
        <row r="1456">
          <cell r="L1456" t="str">
            <v>SY030702</v>
          </cell>
          <cell r="M1456" t="str">
            <v>C2445</v>
          </cell>
          <cell r="N1456" t="str">
            <v>Deir Qanun\دير قانون</v>
          </cell>
        </row>
        <row r="1457">
          <cell r="L1457" t="str">
            <v>SY030702</v>
          </cell>
          <cell r="M1457" t="str">
            <v>C2447</v>
          </cell>
          <cell r="N1457" t="str">
            <v>Ein Elfijeh\عين الفيجة</v>
          </cell>
        </row>
        <row r="1458">
          <cell r="L1458" t="str">
            <v>SY030702</v>
          </cell>
          <cell r="M1458" t="str">
            <v>C2446</v>
          </cell>
          <cell r="N1458" t="str">
            <v>Hseiniyeh\الحسينية</v>
          </cell>
        </row>
        <row r="1459">
          <cell r="L1459" t="str">
            <v>SY030702</v>
          </cell>
          <cell r="M1459" t="str">
            <v>C2448</v>
          </cell>
          <cell r="N1459" t="str">
            <v>Kafir Elzeit\كفير الزيت</v>
          </cell>
        </row>
        <row r="1460">
          <cell r="L1460" t="str">
            <v>SY030703</v>
          </cell>
          <cell r="M1460" t="str">
            <v>C2449</v>
          </cell>
          <cell r="N1460" t="str">
            <v>Bqine\بقين</v>
          </cell>
        </row>
        <row r="1461">
          <cell r="L1461" t="str">
            <v>SY030703</v>
          </cell>
          <cell r="M1461" t="str">
            <v>C2451</v>
          </cell>
          <cell r="N1461" t="str">
            <v>Horayra\هريرة</v>
          </cell>
        </row>
        <row r="1462">
          <cell r="L1462" t="str">
            <v>SY030703</v>
          </cell>
          <cell r="M1462" t="str">
            <v>C2450</v>
          </cell>
          <cell r="N1462" t="str">
            <v>Madaya\مضايا</v>
          </cell>
        </row>
        <row r="1463">
          <cell r="L1463" t="str">
            <v>SY030704</v>
          </cell>
          <cell r="M1463" t="str">
            <v>C2452</v>
          </cell>
          <cell r="N1463" t="str">
            <v>Ein Hur\عين حور</v>
          </cell>
        </row>
        <row r="1464">
          <cell r="L1464" t="str">
            <v>SY030704</v>
          </cell>
          <cell r="M1464" t="str">
            <v>C2453</v>
          </cell>
          <cell r="N1464" t="str">
            <v>Sarghaya\سرغايا</v>
          </cell>
        </row>
        <row r="1465">
          <cell r="L1465" t="str">
            <v>SY030800</v>
          </cell>
          <cell r="M1465" t="str">
            <v>C2455</v>
          </cell>
          <cell r="N1465" t="str">
            <v>Amiba\أمبيا</v>
          </cell>
        </row>
        <row r="1466">
          <cell r="L1466" t="str">
            <v>SY030800</v>
          </cell>
          <cell r="M1466" t="str">
            <v>C2460</v>
          </cell>
          <cell r="N1466" t="str">
            <v>Amrat\العمرات</v>
          </cell>
        </row>
        <row r="1467">
          <cell r="L1467" t="str">
            <v>SY030800</v>
          </cell>
          <cell r="M1467" t="str">
            <v>C2465</v>
          </cell>
          <cell r="N1467" t="str">
            <v>Arna \عرنة</v>
          </cell>
        </row>
        <row r="1468">
          <cell r="L1468" t="str">
            <v>SY030800</v>
          </cell>
          <cell r="M1468" t="str">
            <v>C2459</v>
          </cell>
          <cell r="N1468" t="str">
            <v>Artuz\عرطوز</v>
          </cell>
        </row>
        <row r="1469">
          <cell r="L1469" t="str">
            <v>SY030800</v>
          </cell>
          <cell r="M1469" t="str">
            <v>C2463</v>
          </cell>
          <cell r="N1469" t="str">
            <v>Beja\البجاع</v>
          </cell>
        </row>
        <row r="1470">
          <cell r="L1470" t="str">
            <v>SY030800</v>
          </cell>
          <cell r="M1470" t="str">
            <v>C2461</v>
          </cell>
          <cell r="N1470" t="str">
            <v>Bqaasam\بقعسم</v>
          </cell>
        </row>
        <row r="1471">
          <cell r="L1471" t="str">
            <v>SY030800</v>
          </cell>
          <cell r="M1471" t="str">
            <v>C2458</v>
          </cell>
          <cell r="N1471" t="str">
            <v>Darwasheh\دروشه</v>
          </cell>
        </row>
        <row r="1472">
          <cell r="L1472" t="str">
            <v>SY030800</v>
          </cell>
          <cell r="M1472" t="str">
            <v>C2467</v>
          </cell>
          <cell r="N1472" t="str">
            <v>Jandal Castle\قلعة الجندل</v>
          </cell>
        </row>
        <row r="1473">
          <cell r="L1473" t="str">
            <v>SY030800</v>
          </cell>
          <cell r="M1473" t="str">
            <v>C2457</v>
          </cell>
          <cell r="N1473" t="str">
            <v>Jdidet Artuz\جديدة عرطوز</v>
          </cell>
        </row>
        <row r="1474">
          <cell r="L1474" t="str">
            <v>SY030800</v>
          </cell>
          <cell r="M1474" t="str">
            <v>C2471</v>
          </cell>
          <cell r="N1474" t="str">
            <v>Kafrquq\كفرقوق</v>
          </cell>
        </row>
        <row r="1475">
          <cell r="L1475" t="str">
            <v>SY030800</v>
          </cell>
          <cell r="M1475" t="str">
            <v>C2472</v>
          </cell>
          <cell r="N1475" t="str">
            <v>Kawkab\كوكب</v>
          </cell>
        </row>
        <row r="1476">
          <cell r="L1476" t="str">
            <v>SY030800</v>
          </cell>
          <cell r="M1476" t="str">
            <v>C2466</v>
          </cell>
          <cell r="N1476" t="str">
            <v>Khan Elshih\خان الشيح</v>
          </cell>
        </row>
        <row r="1477">
          <cell r="L1477" t="str">
            <v>SY030800</v>
          </cell>
          <cell r="M1477" t="str">
            <v>C2469</v>
          </cell>
          <cell r="N1477" t="str">
            <v>Manshiyet Khan Elshih\منشية خان الشيح</v>
          </cell>
        </row>
        <row r="1478">
          <cell r="L1478" t="str">
            <v>SY030800</v>
          </cell>
          <cell r="M1478" t="str">
            <v>C2442</v>
          </cell>
          <cell r="N1478" t="str">
            <v>Mazraet Deir Elashayer\مزرعة دير العشائر</v>
          </cell>
        </row>
        <row r="1479">
          <cell r="L1479" t="str">
            <v>SY030800</v>
          </cell>
          <cell r="M1479" t="str">
            <v>C2470</v>
          </cell>
          <cell r="N1479" t="str">
            <v>Qatana\قطنا</v>
          </cell>
        </row>
        <row r="1480">
          <cell r="L1480" t="str">
            <v>SY030800</v>
          </cell>
          <cell r="M1480" t="str">
            <v>C2462</v>
          </cell>
          <cell r="N1480" t="str">
            <v>Rakhleh\\رخلة</v>
          </cell>
        </row>
        <row r="1481">
          <cell r="L1481" t="str">
            <v>SY030800</v>
          </cell>
          <cell r="M1481" t="str">
            <v>C2456</v>
          </cell>
          <cell r="N1481" t="str">
            <v>Ras El Ein Qatna\رأس العين قطنا</v>
          </cell>
        </row>
        <row r="1482">
          <cell r="L1482" t="str">
            <v>SY030800</v>
          </cell>
          <cell r="M1482" t="str">
            <v>C2454</v>
          </cell>
          <cell r="N1482" t="str">
            <v>Rimah\ريمه</v>
          </cell>
        </row>
        <row r="1483">
          <cell r="L1483" t="str">
            <v>SY030800</v>
          </cell>
          <cell r="M1483" t="str">
            <v>C2464</v>
          </cell>
          <cell r="N1483" t="str">
            <v>Sabbura\الصبورة</v>
          </cell>
        </row>
        <row r="1484">
          <cell r="L1484" t="str">
            <v>SY030800</v>
          </cell>
          <cell r="M1484" t="str">
            <v>C2468</v>
          </cell>
          <cell r="N1484" t="str">
            <v>Yafur\يعفور</v>
          </cell>
        </row>
        <row r="1485">
          <cell r="L1485" t="str">
            <v>SY030801</v>
          </cell>
          <cell r="M1485" t="str">
            <v>C2478</v>
          </cell>
          <cell r="N1485" t="str">
            <v>Bait Jan\بيت جن</v>
          </cell>
        </row>
        <row r="1486">
          <cell r="L1486" t="str">
            <v>SY030801</v>
          </cell>
          <cell r="M1486" t="str">
            <v>C2473</v>
          </cell>
          <cell r="N1486" t="str">
            <v>Darbal\دربل</v>
          </cell>
        </row>
        <row r="1487">
          <cell r="L1487" t="str">
            <v>SY030801</v>
          </cell>
          <cell r="M1487" t="str">
            <v>C2474</v>
          </cell>
          <cell r="N1487" t="str">
            <v>Ein Elshaara\عين الشعره</v>
          </cell>
        </row>
        <row r="1488">
          <cell r="L1488" t="str">
            <v>SY030801</v>
          </cell>
          <cell r="M1488" t="str">
            <v>C2476</v>
          </cell>
          <cell r="N1488" t="str">
            <v>Herfa\حرفا</v>
          </cell>
        </row>
        <row r="1489">
          <cell r="L1489" t="str">
            <v>SY030801</v>
          </cell>
          <cell r="M1489" t="str">
            <v>C2477</v>
          </cell>
          <cell r="N1489" t="str">
            <v>Hina\حينة</v>
          </cell>
        </row>
        <row r="1490">
          <cell r="L1490" t="str">
            <v>SY030801</v>
          </cell>
          <cell r="M1490" t="str">
            <v>C2479</v>
          </cell>
          <cell r="N1490" t="str">
            <v>Kherbet Elsawda\خربة السودا</v>
          </cell>
        </row>
        <row r="1491">
          <cell r="L1491" t="str">
            <v>SY030801</v>
          </cell>
          <cell r="M1491" t="str">
            <v>C2480</v>
          </cell>
          <cell r="N1491" t="str">
            <v>Maghar Elmir\مغرالمير</v>
          </cell>
        </row>
        <row r="1492">
          <cell r="L1492" t="str">
            <v>SY030801</v>
          </cell>
          <cell r="M1492" t="str">
            <v>C2475</v>
          </cell>
          <cell r="N1492" t="str">
            <v>Maqrusa\المقروصه</v>
          </cell>
        </row>
        <row r="1493">
          <cell r="L1493" t="str">
            <v>SY030801</v>
          </cell>
          <cell r="M1493" t="str">
            <v>C2481</v>
          </cell>
          <cell r="N1493" t="str">
            <v>Mazraet Beit Jin\مزرعة بيت جن</v>
          </cell>
        </row>
        <row r="1494">
          <cell r="L1494" t="str">
            <v>SY030802</v>
          </cell>
          <cell r="M1494" t="str">
            <v>C2492</v>
          </cell>
          <cell r="N1494" t="str">
            <v>Abu Qawooq\أبو قاووق</v>
          </cell>
        </row>
        <row r="1495">
          <cell r="L1495" t="str">
            <v>SY030802</v>
          </cell>
          <cell r="M1495" t="str">
            <v>C2489</v>
          </cell>
          <cell r="N1495" t="str">
            <v>Beit Saber\بيت سابر</v>
          </cell>
        </row>
        <row r="1496">
          <cell r="L1496" t="str">
            <v>SY030802</v>
          </cell>
          <cell r="M1496" t="str">
            <v>C2491</v>
          </cell>
          <cell r="N1496" t="str">
            <v>Betima\بيتيما</v>
          </cell>
        </row>
        <row r="1497">
          <cell r="L1497" t="str">
            <v>SY030802</v>
          </cell>
          <cell r="M1497" t="str">
            <v>C2483</v>
          </cell>
          <cell r="N1497" t="str">
            <v>Deir Maker\دير ماكر</v>
          </cell>
        </row>
        <row r="1498">
          <cell r="L1498" t="str">
            <v>SY030802</v>
          </cell>
          <cell r="M1498" t="str">
            <v>C2490</v>
          </cell>
          <cell r="N1498" t="str">
            <v>Dinaji\دناجي</v>
          </cell>
        </row>
        <row r="1499">
          <cell r="L1499" t="str">
            <v>SY030802</v>
          </cell>
          <cell r="M1499" t="str">
            <v>C2484</v>
          </cell>
          <cell r="N1499" t="str">
            <v>Durin\دورين</v>
          </cell>
        </row>
        <row r="1500">
          <cell r="L1500" t="str">
            <v>SY030802</v>
          </cell>
          <cell r="M1500" t="str">
            <v>C2494</v>
          </cell>
          <cell r="N1500" t="str">
            <v>Hamrit\حمريت</v>
          </cell>
        </row>
        <row r="1501">
          <cell r="L1501" t="str">
            <v>SY030802</v>
          </cell>
          <cell r="M1501" t="str">
            <v>C2488</v>
          </cell>
          <cell r="N1501" t="str">
            <v>Hbariyeh\الهباريـة</v>
          </cell>
        </row>
        <row r="1502">
          <cell r="L1502" t="str">
            <v>SY030802</v>
          </cell>
          <cell r="M1502" t="str">
            <v>C2482</v>
          </cell>
          <cell r="N1502" t="str">
            <v>Hosh Elnofur\حوش النفور</v>
          </cell>
        </row>
        <row r="1503">
          <cell r="L1503" t="str">
            <v>SY030802</v>
          </cell>
          <cell r="M1503" t="str">
            <v>C2495</v>
          </cell>
          <cell r="N1503" t="str">
            <v>Kafr Hoor\كفر حور</v>
          </cell>
        </row>
        <row r="1504">
          <cell r="L1504" t="str">
            <v>SY030802</v>
          </cell>
          <cell r="M1504" t="str">
            <v>C2497</v>
          </cell>
          <cell r="N1504" t="str">
            <v>Kanaker\كناكر</v>
          </cell>
        </row>
        <row r="1505">
          <cell r="L1505" t="str">
            <v>SY030802</v>
          </cell>
          <cell r="M1505" t="str">
            <v>C2496</v>
          </cell>
          <cell r="N1505" t="str">
            <v>Maes\ماعص</v>
          </cell>
        </row>
        <row r="1506">
          <cell r="L1506" t="str">
            <v>SY030802</v>
          </cell>
          <cell r="M1506" t="str">
            <v>C2487</v>
          </cell>
          <cell r="N1506" t="str">
            <v>Nofur\النفور</v>
          </cell>
        </row>
        <row r="1507">
          <cell r="L1507" t="str">
            <v>SY030802</v>
          </cell>
          <cell r="M1507" t="str">
            <v>C2486</v>
          </cell>
          <cell r="N1507" t="str">
            <v>Qleiah\القليعة</v>
          </cell>
        </row>
        <row r="1508">
          <cell r="L1508" t="str">
            <v>SY030802</v>
          </cell>
          <cell r="M1508" t="str">
            <v>C2493</v>
          </cell>
          <cell r="N1508" t="str">
            <v>Sa'sa'\سعسع</v>
          </cell>
        </row>
        <row r="1509">
          <cell r="L1509" t="str">
            <v>SY030802</v>
          </cell>
          <cell r="M1509" t="str">
            <v>C2485</v>
          </cell>
          <cell r="N1509" t="str">
            <v>Shokteliyeh\الشوكتلية</v>
          </cell>
        </row>
        <row r="1510">
          <cell r="L1510" t="str">
            <v>SY030900</v>
          </cell>
          <cell r="M1510" t="str">
            <v>C2498</v>
          </cell>
          <cell r="N1510" t="str">
            <v>Darayya\داريا</v>
          </cell>
        </row>
        <row r="1511">
          <cell r="L1511" t="str">
            <v>SY030900</v>
          </cell>
          <cell r="M1511" t="str">
            <v>C2499</v>
          </cell>
          <cell r="N1511" t="str">
            <v>Madamiyet Elsham\معضمية الشام</v>
          </cell>
        </row>
        <row r="1512">
          <cell r="L1512" t="str">
            <v>SY030901</v>
          </cell>
          <cell r="M1512" t="str">
            <v>C2500</v>
          </cell>
          <cell r="N1512" t="str">
            <v>Ashrafiet Sahnaya\أشرفية صحنايا</v>
          </cell>
        </row>
        <row r="1513">
          <cell r="L1513" t="str">
            <v>SY030901</v>
          </cell>
          <cell r="M1513" t="str">
            <v>C2501</v>
          </cell>
          <cell r="N1513" t="str">
            <v>Sahnaya\صحنايا</v>
          </cell>
        </row>
        <row r="1514">
          <cell r="L1514" t="str">
            <v>SY030902</v>
          </cell>
          <cell r="M1514" t="str">
            <v>C2502</v>
          </cell>
          <cell r="N1514" t="str">
            <v>Hajar Aswad\الحجر الأسود</v>
          </cell>
        </row>
        <row r="1515">
          <cell r="L1515" t="str">
            <v>SY040100</v>
          </cell>
          <cell r="M1515" t="str">
            <v>C2518</v>
          </cell>
          <cell r="N1515" t="str">
            <v>Aabel\آبل</v>
          </cell>
        </row>
        <row r="1516">
          <cell r="L1516" t="str">
            <v>SY040100</v>
          </cell>
          <cell r="M1516" t="str">
            <v>C2521</v>
          </cell>
          <cell r="N1516" t="str">
            <v>Abu Dali\أبو دالي</v>
          </cell>
        </row>
        <row r="1517">
          <cell r="L1517" t="str">
            <v>SY040100</v>
          </cell>
          <cell r="M1517" t="str">
            <v>C2514</v>
          </cell>
          <cell r="N1517" t="str">
            <v>Ashrafiya\الأشرفية</v>
          </cell>
        </row>
        <row r="1518">
          <cell r="L1518" t="str">
            <v>SY040100</v>
          </cell>
          <cell r="M1518" t="str">
            <v>C2511</v>
          </cell>
          <cell r="N1518" t="str">
            <v>Daffa - Halmuz\الضفة-الحلموز</v>
          </cell>
        </row>
        <row r="1519">
          <cell r="L1519" t="str">
            <v>SY040100</v>
          </cell>
          <cell r="M1519" t="str">
            <v>C2524</v>
          </cell>
          <cell r="N1519" t="str">
            <v>Dar Kabira\الدار الكبيرة</v>
          </cell>
        </row>
        <row r="1520">
          <cell r="L1520" t="str">
            <v>SY040100</v>
          </cell>
          <cell r="M1520" t="str">
            <v>C2533</v>
          </cell>
          <cell r="N1520" t="str">
            <v>Eastern Jdideh\جديدة الشرقية</v>
          </cell>
        </row>
        <row r="1521">
          <cell r="L1521" t="str">
            <v>SY040100</v>
          </cell>
          <cell r="M1521" t="str">
            <v>C2507</v>
          </cell>
          <cell r="N1521" t="str">
            <v>Esmailiyeh - Almoktaria\اسماعيلية-المختارية</v>
          </cell>
        </row>
        <row r="1522">
          <cell r="L1522" t="str">
            <v>SY040100</v>
          </cell>
          <cell r="M1522" t="str">
            <v>C2508</v>
          </cell>
          <cell r="N1522" t="str">
            <v>Fahileh\الفحيلة</v>
          </cell>
        </row>
        <row r="1523">
          <cell r="L1523" t="str">
            <v>SY040100</v>
          </cell>
          <cell r="M1523" t="str">
            <v>C2536</v>
          </cell>
          <cell r="N1523" t="str">
            <v>Fayruza\فيروزة</v>
          </cell>
        </row>
        <row r="1524">
          <cell r="L1524" t="str">
            <v>SY040100</v>
          </cell>
          <cell r="M1524" t="str">
            <v>C2509</v>
          </cell>
          <cell r="N1524" t="str">
            <v>Ghazala \غزالة</v>
          </cell>
        </row>
        <row r="1525">
          <cell r="L1525" t="str">
            <v>SY040100</v>
          </cell>
          <cell r="M1525" t="str">
            <v>C2535</v>
          </cell>
          <cell r="N1525" t="str">
            <v>Hobub Elrih\هبوب الريح</v>
          </cell>
        </row>
        <row r="1526">
          <cell r="L1526" t="str">
            <v>SY040100</v>
          </cell>
          <cell r="M1526" t="str">
            <v>C2528</v>
          </cell>
          <cell r="N1526" t="str">
            <v>Homs\حمص</v>
          </cell>
        </row>
        <row r="1527">
          <cell r="L1527" t="str">
            <v>SY040100</v>
          </cell>
          <cell r="M1527" t="str">
            <v>C2510</v>
          </cell>
          <cell r="N1527" t="str">
            <v>Jamiliya\الجميلية</v>
          </cell>
        </row>
        <row r="1528">
          <cell r="L1528" t="str">
            <v>SY040100</v>
          </cell>
          <cell r="M1528" t="str">
            <v>C2531</v>
          </cell>
          <cell r="N1528" t="str">
            <v>Jdidet Elasi\جديدة العاصي</v>
          </cell>
        </row>
        <row r="1529">
          <cell r="L1529" t="str">
            <v>SY040100</v>
          </cell>
          <cell r="M1529" t="str">
            <v>C2532</v>
          </cell>
          <cell r="N1529" t="str">
            <v>Jludiyeh\جلودية</v>
          </cell>
        </row>
        <row r="1530">
          <cell r="L1530" t="str">
            <v>SY040100</v>
          </cell>
          <cell r="M1530" t="str">
            <v>C2504</v>
          </cell>
          <cell r="N1530" t="str">
            <v>Jober\جوبر</v>
          </cell>
        </row>
        <row r="1531">
          <cell r="L1531" t="str">
            <v>SY040100</v>
          </cell>
          <cell r="M1531" t="str">
            <v>C2538</v>
          </cell>
          <cell r="N1531" t="str">
            <v>Kafr Aaya\كفر عايا</v>
          </cell>
        </row>
        <row r="1532">
          <cell r="L1532" t="str">
            <v>SY040100</v>
          </cell>
          <cell r="M1532" t="str">
            <v>C2537</v>
          </cell>
          <cell r="N1532" t="str">
            <v>Kafr Abed\كفر عبد</v>
          </cell>
        </row>
        <row r="1533">
          <cell r="L1533" t="str">
            <v>SY040100</v>
          </cell>
          <cell r="M1533" t="str">
            <v>C2522</v>
          </cell>
          <cell r="N1533" t="str">
            <v>Kalidiyeh\الخالدية</v>
          </cell>
        </row>
        <row r="1534">
          <cell r="L1534" t="str">
            <v>SY040100</v>
          </cell>
          <cell r="M1534" t="str">
            <v>C2534</v>
          </cell>
          <cell r="N1534" t="str">
            <v>Maskana\مسكنة</v>
          </cell>
        </row>
        <row r="1535">
          <cell r="L1535" t="str">
            <v>SY040100</v>
          </cell>
          <cell r="M1535" t="str">
            <v>C2583</v>
          </cell>
          <cell r="N1535" t="str">
            <v>Mazraa - Wa'ar\المزرعة وعر</v>
          </cell>
        </row>
        <row r="1536">
          <cell r="L1536" t="str">
            <v>SY040100</v>
          </cell>
          <cell r="M1536" t="str">
            <v>C2506</v>
          </cell>
          <cell r="N1536" t="str">
            <v>Mbarkiyeh\المباركية</v>
          </cell>
        </row>
        <row r="1537">
          <cell r="L1537" t="str">
            <v>SY040100</v>
          </cell>
          <cell r="M1537" t="str">
            <v>C2530</v>
          </cell>
          <cell r="N1537" t="str">
            <v>Muhajerine\المهاجرين</v>
          </cell>
        </row>
        <row r="1538">
          <cell r="L1538" t="str">
            <v>SY040100</v>
          </cell>
          <cell r="M1538" t="str">
            <v>C2503</v>
          </cell>
          <cell r="N1538" t="str">
            <v>Naqira\النقيرة</v>
          </cell>
        </row>
        <row r="1539">
          <cell r="L1539" t="str">
            <v>SY040100</v>
          </cell>
          <cell r="M1539" t="str">
            <v>C2527</v>
          </cell>
          <cell r="N1539" t="str">
            <v>Nejmeh\النجمة</v>
          </cell>
        </row>
        <row r="1540">
          <cell r="L1540" t="str">
            <v>SY040100</v>
          </cell>
          <cell r="M1540" t="str">
            <v>C2519</v>
          </cell>
          <cell r="N1540" t="str">
            <v>Obudiyeh\العبودية</v>
          </cell>
        </row>
        <row r="1541">
          <cell r="L1541" t="str">
            <v>SY040100</v>
          </cell>
          <cell r="M1541" t="str">
            <v>C2539</v>
          </cell>
          <cell r="N1541" t="str">
            <v>Qotniyeh\قطينة</v>
          </cell>
        </row>
        <row r="1542">
          <cell r="L1542" t="str">
            <v>SY040100</v>
          </cell>
          <cell r="M1542" t="str">
            <v>C2512</v>
          </cell>
          <cell r="N1542" t="str">
            <v>Rayyan\الريان</v>
          </cell>
        </row>
        <row r="1543">
          <cell r="L1543" t="str">
            <v>SY040100</v>
          </cell>
          <cell r="M1543" t="str">
            <v>C2523</v>
          </cell>
          <cell r="N1543" t="str">
            <v>Riyad\الرياض</v>
          </cell>
        </row>
        <row r="1544">
          <cell r="L1544" t="str">
            <v>SY040100</v>
          </cell>
          <cell r="M1544" t="str">
            <v>C2525</v>
          </cell>
          <cell r="N1544" t="str">
            <v>Sakra\سكرة</v>
          </cell>
        </row>
        <row r="1545">
          <cell r="L1545" t="str">
            <v>SY040100</v>
          </cell>
          <cell r="M1545" t="str">
            <v>C2515</v>
          </cell>
          <cell r="N1545" t="str">
            <v>Tal Ahmar\تل أحمر</v>
          </cell>
        </row>
        <row r="1546">
          <cell r="L1546" t="str">
            <v>SY040100</v>
          </cell>
          <cell r="M1546" t="str">
            <v>C2529</v>
          </cell>
          <cell r="N1546" t="str">
            <v>Tal Elnaqa\تل الناقة</v>
          </cell>
        </row>
        <row r="1547">
          <cell r="L1547" t="str">
            <v>SY040100</v>
          </cell>
          <cell r="M1547" t="str">
            <v>C2516</v>
          </cell>
          <cell r="N1547" t="str">
            <v>Tal Elshur\تل الشور</v>
          </cell>
        </row>
        <row r="1548">
          <cell r="L1548" t="str">
            <v>SY040100</v>
          </cell>
          <cell r="M1548" t="str">
            <v>C2505</v>
          </cell>
          <cell r="N1548" t="str">
            <v>Tal Zbeideh\تل زبيدة</v>
          </cell>
        </row>
        <row r="1549">
          <cell r="L1549" t="str">
            <v>SY040100</v>
          </cell>
          <cell r="M1549" t="str">
            <v>C2517</v>
          </cell>
          <cell r="N1549" t="str">
            <v>Thabetiyeh\الثابتية</v>
          </cell>
        </row>
        <row r="1550">
          <cell r="L1550" t="str">
            <v>SY040100</v>
          </cell>
          <cell r="M1550" t="str">
            <v>C2513</v>
          </cell>
          <cell r="N1550" t="str">
            <v>Tir Maallah\تير معلة</v>
          </cell>
        </row>
        <row r="1551">
          <cell r="L1551" t="str">
            <v>SY040100</v>
          </cell>
          <cell r="M1551" t="str">
            <v>C2526</v>
          </cell>
          <cell r="N1551" t="str">
            <v>Zaydal\زيدل</v>
          </cell>
        </row>
        <row r="1552">
          <cell r="L1552" t="str">
            <v>SY040100</v>
          </cell>
          <cell r="M1552" t="str">
            <v>C6307</v>
          </cell>
          <cell r="N1552" t="str">
            <v>Zhuriyeh\الزهرية</v>
          </cell>
        </row>
        <row r="1553">
          <cell r="L1553" t="str">
            <v>SY040101</v>
          </cell>
          <cell r="M1553" t="str">
            <v>C2552</v>
          </cell>
          <cell r="N1553" t="str">
            <v>Arqaya\عرقايا</v>
          </cell>
        </row>
        <row r="1554">
          <cell r="L1554" t="str">
            <v>SY040101</v>
          </cell>
          <cell r="M1554" t="str">
            <v>C2548</v>
          </cell>
          <cell r="N1554" t="str">
            <v>Burj Qaei\برج قاعي</v>
          </cell>
        </row>
        <row r="1555">
          <cell r="L1555" t="str">
            <v>SY040101</v>
          </cell>
          <cell r="M1555" t="str">
            <v>C2542</v>
          </cell>
          <cell r="N1555" t="str">
            <v>Hadatha\حداثة</v>
          </cell>
        </row>
        <row r="1556">
          <cell r="L1556" t="str">
            <v>SY040101</v>
          </cell>
          <cell r="M1556" t="str">
            <v>C2554</v>
          </cell>
          <cell r="N1556" t="str">
            <v>Heisa\الحيصة</v>
          </cell>
        </row>
        <row r="1557">
          <cell r="L1557" t="str">
            <v>SY040101</v>
          </cell>
          <cell r="M1557" t="str">
            <v>C2559</v>
          </cell>
          <cell r="N1557" t="str">
            <v>Hiraql\هرقل</v>
          </cell>
        </row>
        <row r="1558">
          <cell r="L1558" t="str">
            <v>SY040101</v>
          </cell>
          <cell r="M1558" t="str">
            <v>C2540</v>
          </cell>
          <cell r="N1558" t="str">
            <v>Hishmeh\الحشمة</v>
          </cell>
        </row>
        <row r="1559">
          <cell r="L1559" t="str">
            <v>SY040101</v>
          </cell>
          <cell r="M1559" t="str">
            <v>C2544</v>
          </cell>
          <cell r="N1559" t="str">
            <v>Hmeimeh\الحميمة</v>
          </cell>
        </row>
        <row r="1560">
          <cell r="L1560" t="str">
            <v>SY040101</v>
          </cell>
          <cell r="M1560" t="str">
            <v>C2545</v>
          </cell>
          <cell r="N1560" t="str">
            <v>Jarnaya\جرنايا</v>
          </cell>
        </row>
        <row r="1561">
          <cell r="L1561" t="str">
            <v>SY040101</v>
          </cell>
          <cell r="M1561" t="str">
            <v>C2520</v>
          </cell>
          <cell r="N1561" t="str">
            <v>Jawalek\جوالك</v>
          </cell>
        </row>
        <row r="1562">
          <cell r="L1562" t="str">
            <v>SY040101</v>
          </cell>
          <cell r="M1562" t="str">
            <v>C2556</v>
          </cell>
          <cell r="N1562" t="str">
            <v>Kafr Laha\كفر لاها</v>
          </cell>
        </row>
        <row r="1563">
          <cell r="L1563" t="str">
            <v>SY040101</v>
          </cell>
          <cell r="M1563" t="str">
            <v>C2558</v>
          </cell>
          <cell r="N1563" t="str">
            <v>Mihnaya\محناية</v>
          </cell>
        </row>
        <row r="1564">
          <cell r="L1564" t="str">
            <v>SY040101</v>
          </cell>
          <cell r="M1564" t="str">
            <v>C2555</v>
          </cell>
          <cell r="N1564" t="str">
            <v>Mjeidel\مجيدل</v>
          </cell>
        </row>
        <row r="1565">
          <cell r="L1565" t="str">
            <v>SY040101</v>
          </cell>
          <cell r="M1565" t="str">
            <v>C2550</v>
          </cell>
          <cell r="N1565" t="str">
            <v>Rafeen\رفعين</v>
          </cell>
        </row>
        <row r="1566">
          <cell r="L1566" t="str">
            <v>SY040101</v>
          </cell>
          <cell r="M1566" t="str">
            <v>C2549</v>
          </cell>
          <cell r="N1566" t="str">
            <v>Samalil\سمعليل</v>
          </cell>
        </row>
        <row r="1567">
          <cell r="L1567" t="str">
            <v>SY040101</v>
          </cell>
          <cell r="M1567" t="str">
            <v>C2553</v>
          </cell>
          <cell r="N1567" t="str">
            <v>Sensil\سنيسل</v>
          </cell>
        </row>
        <row r="1568">
          <cell r="L1568" t="str">
            <v>SY040101</v>
          </cell>
          <cell r="M1568" t="str">
            <v>C2551</v>
          </cell>
          <cell r="N1568" t="str">
            <v>Shama - Krad Dasniyeh\الشامة-كراد داسنية</v>
          </cell>
        </row>
        <row r="1569">
          <cell r="L1569" t="str">
            <v>SY040101</v>
          </cell>
          <cell r="M1569" t="str">
            <v>C2547</v>
          </cell>
          <cell r="N1569" t="str">
            <v>Tal Dahab\تل ذهب</v>
          </cell>
        </row>
        <row r="1570">
          <cell r="L1570" t="str">
            <v>SY040101</v>
          </cell>
          <cell r="M1570" t="str">
            <v>C2541</v>
          </cell>
          <cell r="N1570" t="str">
            <v>Taldu\تلدو</v>
          </cell>
        </row>
        <row r="1571">
          <cell r="L1571" t="str">
            <v>SY040101</v>
          </cell>
          <cell r="M1571" t="str">
            <v>C6318</v>
          </cell>
          <cell r="N1571" t="str">
            <v>Talil\تليل</v>
          </cell>
        </row>
        <row r="1572">
          <cell r="L1572" t="str">
            <v>SY040101</v>
          </cell>
          <cell r="M1572" t="str">
            <v>C2560</v>
          </cell>
          <cell r="N1572" t="str">
            <v>Western Ghor - Ghor Samaalil\غور غربية-غور سمعليل</v>
          </cell>
        </row>
        <row r="1573">
          <cell r="L1573" t="str">
            <v>SY040101</v>
          </cell>
          <cell r="M1573" t="str">
            <v>C2546</v>
          </cell>
          <cell r="N1573" t="str">
            <v>Western Tiba\الطيبة الغربية</v>
          </cell>
        </row>
        <row r="1574">
          <cell r="L1574" t="str">
            <v>SY040101</v>
          </cell>
          <cell r="M1574" t="str">
            <v>C2543</v>
          </cell>
          <cell r="N1574" t="str">
            <v>Zaybaq\زيبق</v>
          </cell>
        </row>
        <row r="1575">
          <cell r="L1575" t="str">
            <v>SY040102</v>
          </cell>
          <cell r="M1575" t="str">
            <v>C2569</v>
          </cell>
          <cell r="N1575" t="str">
            <v>Aisun\عيصون</v>
          </cell>
        </row>
        <row r="1576">
          <cell r="L1576" t="str">
            <v>SY040102</v>
          </cell>
          <cell r="M1576" t="str">
            <v>C2578</v>
          </cell>
          <cell r="N1576" t="str">
            <v>Balqasa\بلقسة</v>
          </cell>
        </row>
        <row r="1577">
          <cell r="L1577" t="str">
            <v>SY040102</v>
          </cell>
          <cell r="M1577" t="str">
            <v>C2589</v>
          </cell>
          <cell r="N1577" t="str">
            <v>Brabo\برابو</v>
          </cell>
        </row>
        <row r="1578">
          <cell r="L1578" t="str">
            <v>SY040102</v>
          </cell>
          <cell r="M1578" t="str">
            <v>C2585</v>
          </cell>
          <cell r="N1578" t="str">
            <v>Bteiseh\بتيسة</v>
          </cell>
        </row>
        <row r="1579">
          <cell r="L1579" t="str">
            <v>SY040102</v>
          </cell>
          <cell r="M1579" t="str">
            <v>C2565</v>
          </cell>
          <cell r="N1579" t="str">
            <v>Dahieh Ommaliyeh\الضاحية العمالية</v>
          </cell>
        </row>
        <row r="1580">
          <cell r="L1580" t="str">
            <v>SY040102</v>
          </cell>
          <cell r="M1580" t="str">
            <v>C2572</v>
          </cell>
          <cell r="N1580" t="str">
            <v>Ghazileh\غزيلة</v>
          </cell>
        </row>
        <row r="1581">
          <cell r="L1581" t="str">
            <v>SY040102</v>
          </cell>
          <cell r="M1581" t="str">
            <v>C2570</v>
          </cell>
          <cell r="N1581" t="str">
            <v>Kherbet Elhamam\خربة الحمام</v>
          </cell>
        </row>
        <row r="1582">
          <cell r="L1582" t="str">
            <v>SY040102</v>
          </cell>
          <cell r="M1582" t="str">
            <v>C2563</v>
          </cell>
          <cell r="N1582" t="str">
            <v>Kherbet Elsawda\خربة السودا</v>
          </cell>
        </row>
        <row r="1583">
          <cell r="L1583" t="str">
            <v>SY040102</v>
          </cell>
          <cell r="M1583" t="str">
            <v>C2571</v>
          </cell>
          <cell r="N1583" t="str">
            <v>Kherbet Ghazi\خربة غازي</v>
          </cell>
        </row>
        <row r="1584">
          <cell r="L1584" t="str">
            <v>SY040102</v>
          </cell>
          <cell r="M1584" t="str">
            <v>C2584</v>
          </cell>
          <cell r="N1584" t="str">
            <v>Kherbet Hayek\خربة حايك</v>
          </cell>
        </row>
        <row r="1585">
          <cell r="L1585" t="str">
            <v>SY040102</v>
          </cell>
          <cell r="M1585" t="str">
            <v>C2579</v>
          </cell>
          <cell r="N1585" t="str">
            <v>Kherbet Tin Mahmud\خربة تين محمود</v>
          </cell>
        </row>
        <row r="1586">
          <cell r="L1586" t="str">
            <v>SY040102</v>
          </cell>
          <cell r="M1586" t="str">
            <v>C2580</v>
          </cell>
          <cell r="N1586" t="str">
            <v>Kherbet Tin Noor\خربة تين نور</v>
          </cell>
        </row>
        <row r="1587">
          <cell r="L1587" t="str">
            <v>SY040102</v>
          </cell>
          <cell r="M1587" t="str">
            <v>C2595</v>
          </cell>
          <cell r="N1587" t="str">
            <v>Kniseh\كنيسة</v>
          </cell>
        </row>
        <row r="1588">
          <cell r="L1588" t="str">
            <v>SY040102</v>
          </cell>
          <cell r="M1588" t="str">
            <v>C2597</v>
          </cell>
          <cell r="N1588" t="str">
            <v>Leftaya\لفتايا</v>
          </cell>
        </row>
        <row r="1589">
          <cell r="L1589" t="str">
            <v>SY040102</v>
          </cell>
          <cell r="M1589" t="str">
            <v>C2592</v>
          </cell>
          <cell r="N1589" t="str">
            <v>Marj Bulad\مرج بولاد</v>
          </cell>
        </row>
        <row r="1590">
          <cell r="L1590" t="str">
            <v>SY040102</v>
          </cell>
          <cell r="M1590" t="str">
            <v>C2594</v>
          </cell>
          <cell r="N1590" t="str">
            <v>Marj Elqata\مرج القطا</v>
          </cell>
        </row>
        <row r="1591">
          <cell r="L1591" t="str">
            <v>SY040102</v>
          </cell>
          <cell r="M1591" t="str">
            <v>C2599</v>
          </cell>
          <cell r="N1591" t="str">
            <v>Mashahdeh - Kherbet Elsawda\مشاهدة_خربة السودا</v>
          </cell>
        </row>
        <row r="1592">
          <cell r="L1592" t="str">
            <v>SY040102</v>
          </cell>
          <cell r="M1592" t="str">
            <v>C2591</v>
          </cell>
          <cell r="N1592" t="str">
            <v>Nweiha\النويحة</v>
          </cell>
        </row>
        <row r="1593">
          <cell r="L1593" t="str">
            <v>SY040102</v>
          </cell>
          <cell r="M1593" t="str">
            <v>C2593</v>
          </cell>
          <cell r="N1593" t="str">
            <v>Qazhal\قزحل</v>
          </cell>
        </row>
        <row r="1594">
          <cell r="L1594" t="str">
            <v>SY040102</v>
          </cell>
          <cell r="M1594" t="str">
            <v>C2598</v>
          </cell>
          <cell r="N1594" t="str">
            <v>Qebbi\قبي</v>
          </cell>
        </row>
        <row r="1595">
          <cell r="L1595" t="str">
            <v>SY040102</v>
          </cell>
          <cell r="M1595" t="str">
            <v>C2573</v>
          </cell>
          <cell r="N1595" t="str">
            <v>Rabee'a\ربيعة</v>
          </cell>
        </row>
        <row r="1596">
          <cell r="L1596" t="str">
            <v>SY040102</v>
          </cell>
          <cell r="M1596" t="str">
            <v>C2586</v>
          </cell>
          <cell r="N1596" t="str">
            <v>Rabwa\الربوة</v>
          </cell>
        </row>
        <row r="1597">
          <cell r="L1597" t="str">
            <v>SY040102</v>
          </cell>
          <cell r="M1597" t="str">
            <v>C2568</v>
          </cell>
          <cell r="N1597" t="str">
            <v>Radwaniyeh\الرضوانية</v>
          </cell>
        </row>
        <row r="1598">
          <cell r="L1598" t="str">
            <v>SY040102</v>
          </cell>
          <cell r="M1598" t="str">
            <v>C2574</v>
          </cell>
          <cell r="N1598" t="str">
            <v>Ram Elanz\رام العنز</v>
          </cell>
        </row>
        <row r="1599">
          <cell r="L1599" t="str">
            <v>SY040102</v>
          </cell>
          <cell r="M1599" t="str">
            <v>C2561</v>
          </cell>
          <cell r="N1599" t="str">
            <v>Ram Jabal\رام جبل</v>
          </cell>
        </row>
        <row r="1600">
          <cell r="L1600" t="str">
            <v>SY040102</v>
          </cell>
          <cell r="M1600" t="str">
            <v>C2576</v>
          </cell>
          <cell r="N1600" t="str">
            <v>Sannun\صنون</v>
          </cell>
        </row>
        <row r="1601">
          <cell r="L1601" t="str">
            <v>SY040102</v>
          </cell>
          <cell r="M1601" t="str">
            <v>C2587</v>
          </cell>
          <cell r="N1601" t="str">
            <v>Shalluh\شلوح</v>
          </cell>
        </row>
        <row r="1602">
          <cell r="L1602" t="str">
            <v>SY040102</v>
          </cell>
          <cell r="M1602" t="str">
            <v>C2588</v>
          </cell>
          <cell r="N1602" t="str">
            <v>Sindyana\سنديانة</v>
          </cell>
        </row>
        <row r="1603">
          <cell r="L1603" t="str">
            <v>SY040102</v>
          </cell>
          <cell r="M1603" t="str">
            <v>C2590</v>
          </cell>
          <cell r="N1603" t="str">
            <v>Tadrin\تارين</v>
          </cell>
        </row>
        <row r="1604">
          <cell r="L1604" t="str">
            <v>SY040102</v>
          </cell>
          <cell r="M1604" t="str">
            <v>C2567</v>
          </cell>
          <cell r="N1604" t="str">
            <v>Tannuna\تنونة</v>
          </cell>
        </row>
        <row r="1605">
          <cell r="L1605" t="str">
            <v>SY040102</v>
          </cell>
          <cell r="M1605" t="str">
            <v>C2566</v>
          </cell>
          <cell r="N1605" t="str">
            <v>Um Eledam\أم العظام</v>
          </cell>
        </row>
        <row r="1606">
          <cell r="L1606" t="str">
            <v>SY040102</v>
          </cell>
          <cell r="M1606" t="str">
            <v>C2581</v>
          </cell>
          <cell r="N1606" t="str">
            <v>Um Elqasab\أم القصب</v>
          </cell>
        </row>
        <row r="1607">
          <cell r="L1607" t="str">
            <v>SY040102</v>
          </cell>
          <cell r="M1607" t="str">
            <v>C2575</v>
          </cell>
          <cell r="N1607" t="str">
            <v>Um Hartein\أم حارتين</v>
          </cell>
        </row>
        <row r="1608">
          <cell r="L1608" t="str">
            <v>SY040102</v>
          </cell>
          <cell r="M1608" t="str">
            <v>C2596</v>
          </cell>
          <cell r="N1608" t="str">
            <v>Wajh Elhajar\وجه الحجر</v>
          </cell>
        </row>
        <row r="1609">
          <cell r="L1609" t="str">
            <v>SY040102</v>
          </cell>
          <cell r="M1609" t="str">
            <v>C2582</v>
          </cell>
          <cell r="N1609" t="str">
            <v>Zarzuriyeh\الزرزورية</v>
          </cell>
        </row>
        <row r="1610">
          <cell r="L1610" t="str">
            <v>SY040102</v>
          </cell>
          <cell r="M1610" t="str">
            <v>C2577</v>
          </cell>
          <cell r="N1610" t="str">
            <v>Zeiti Elbahra\زيتي البحرة</v>
          </cell>
        </row>
        <row r="1611">
          <cell r="L1611" t="str">
            <v>SY040102</v>
          </cell>
          <cell r="M1611" t="str">
            <v>C2562</v>
          </cell>
          <cell r="N1611" t="str">
            <v>Zor Baqraya\زور بقرايا</v>
          </cell>
        </row>
        <row r="1612">
          <cell r="L1612" t="str">
            <v>SY040103</v>
          </cell>
          <cell r="M1612" t="str">
            <v>C2600</v>
          </cell>
          <cell r="N1612" t="str">
            <v>Bado\بادو</v>
          </cell>
        </row>
        <row r="1613">
          <cell r="L1613" t="str">
            <v>SY040103</v>
          </cell>
          <cell r="M1613" t="str">
            <v>C2611</v>
          </cell>
          <cell r="N1613" t="str">
            <v>Burza\برزة</v>
          </cell>
        </row>
        <row r="1614">
          <cell r="L1614" t="str">
            <v>SY040103</v>
          </cell>
          <cell r="M1614" t="str">
            <v>C2601</v>
          </cell>
          <cell r="N1614" t="str">
            <v>Ein Eldananir\عين الدنانير</v>
          </cell>
        </row>
        <row r="1615">
          <cell r="L1615" t="str">
            <v>SY040103</v>
          </cell>
          <cell r="M1615" t="str">
            <v>C2605</v>
          </cell>
          <cell r="N1615" t="str">
            <v>Ein Elniser\عين النسر</v>
          </cell>
        </row>
        <row r="1616">
          <cell r="L1616" t="str">
            <v>SY040103</v>
          </cell>
          <cell r="M1616" t="str">
            <v>C2564</v>
          </cell>
          <cell r="N1616" t="str">
            <v>Faysiyeh\الفايزية</v>
          </cell>
        </row>
        <row r="1617">
          <cell r="L1617" t="str">
            <v>SY040103</v>
          </cell>
          <cell r="M1617" t="str">
            <v>C2610</v>
          </cell>
          <cell r="N1617" t="str">
            <v>Hmeidiyeh - Mohajerin\الحميدية-مهاجرين</v>
          </cell>
        </row>
        <row r="1618">
          <cell r="L1618" t="str">
            <v>SY040103</v>
          </cell>
          <cell r="M1618" t="str">
            <v>C2612</v>
          </cell>
          <cell r="N1618" t="str">
            <v>Hmeimeh\حميمة</v>
          </cell>
        </row>
        <row r="1619">
          <cell r="L1619" t="str">
            <v>SY040103</v>
          </cell>
          <cell r="M1619" t="str">
            <v>C2609</v>
          </cell>
          <cell r="N1619" t="str">
            <v>Jaberiyeh\الجابرية</v>
          </cell>
        </row>
        <row r="1620">
          <cell r="L1620" t="str">
            <v>SY040103</v>
          </cell>
          <cell r="M1620" t="str">
            <v>C2608</v>
          </cell>
          <cell r="N1620" t="str">
            <v>Mashrafa\المشرفة</v>
          </cell>
        </row>
        <row r="1621">
          <cell r="L1621" t="str">
            <v>SY040103</v>
          </cell>
          <cell r="M1621" t="str">
            <v>C2606</v>
          </cell>
          <cell r="N1621" t="str">
            <v>Maydan\الميدان</v>
          </cell>
        </row>
        <row r="1622">
          <cell r="L1622" t="str">
            <v>SY040103</v>
          </cell>
          <cell r="M1622" t="str">
            <v>C2603</v>
          </cell>
          <cell r="N1622" t="str">
            <v>Northern Ein Hssein\عين حسين شمالي</v>
          </cell>
        </row>
        <row r="1623">
          <cell r="L1623" t="str">
            <v>SY040103</v>
          </cell>
          <cell r="M1623" t="str">
            <v>C2607</v>
          </cell>
          <cell r="N1623" t="str">
            <v>Sheikh Hmeid\شيخ حميد</v>
          </cell>
        </row>
        <row r="1624">
          <cell r="L1624" t="str">
            <v>SY040103</v>
          </cell>
          <cell r="M1624" t="str">
            <v>C2613</v>
          </cell>
          <cell r="N1624" t="str">
            <v>Talaamari\تلعمري</v>
          </cell>
        </row>
        <row r="1625">
          <cell r="L1625" t="str">
            <v>SY040103</v>
          </cell>
          <cell r="M1625" t="str">
            <v>C2614</v>
          </cell>
          <cell r="N1625" t="str">
            <v>Warideh\وريدة</v>
          </cell>
        </row>
        <row r="1626">
          <cell r="L1626" t="str">
            <v>SY040103</v>
          </cell>
          <cell r="M1626" t="str">
            <v>C2615</v>
          </cell>
          <cell r="N1626" t="str">
            <v>Wazeiyet Efir\وازعية عيفير</v>
          </cell>
        </row>
        <row r="1627">
          <cell r="L1627" t="str">
            <v>SY040103</v>
          </cell>
          <cell r="M1627" t="str">
            <v>C2604</v>
          </cell>
          <cell r="N1627" t="str">
            <v>Western Ein Hssein\عين حسين غربي</v>
          </cell>
        </row>
        <row r="1628">
          <cell r="L1628" t="str">
            <v>SY040103</v>
          </cell>
          <cell r="M1628" t="str">
            <v>C2602</v>
          </cell>
          <cell r="N1628" t="str">
            <v>Yamama\اليمامة</v>
          </cell>
        </row>
        <row r="1629">
          <cell r="L1629" t="str">
            <v>SY040104</v>
          </cell>
          <cell r="M1629" t="str">
            <v>C2626</v>
          </cell>
          <cell r="N1629" t="str">
            <v>Abbasiyeh\العباسية</v>
          </cell>
        </row>
        <row r="1630">
          <cell r="L1630" t="str">
            <v>SY040104</v>
          </cell>
          <cell r="M1630" t="str">
            <v>C2636</v>
          </cell>
          <cell r="N1630" t="str">
            <v>Aifir\عيفير</v>
          </cell>
        </row>
        <row r="1631">
          <cell r="L1631" t="str">
            <v>SY040104</v>
          </cell>
          <cell r="M1631" t="str">
            <v>C2632</v>
          </cell>
          <cell r="N1631" t="str">
            <v>Bisseh\البسة</v>
          </cell>
        </row>
        <row r="1632">
          <cell r="L1632" t="str">
            <v>SY040104</v>
          </cell>
          <cell r="M1632" t="str">
            <v>C2639</v>
          </cell>
          <cell r="N1632" t="str">
            <v>Farha\فرحة</v>
          </cell>
        </row>
        <row r="1633">
          <cell r="L1633" t="str">
            <v>SY040104</v>
          </cell>
          <cell r="M1633" t="str">
            <v>C2633</v>
          </cell>
          <cell r="N1633" t="str">
            <v>Farqalas\الفرقلس</v>
          </cell>
        </row>
        <row r="1634">
          <cell r="L1634" t="str">
            <v>SY040104</v>
          </cell>
          <cell r="M1634" t="str">
            <v>C2616</v>
          </cell>
          <cell r="N1634" t="str">
            <v>Ghelwet Elzakam\غلوة الزكم</v>
          </cell>
        </row>
        <row r="1635">
          <cell r="L1635" t="str">
            <v>SY040104</v>
          </cell>
          <cell r="M1635" t="str">
            <v>C2618</v>
          </cell>
          <cell r="N1635" t="str">
            <v>Hamrat Elsiwana\حمرة الصوانة</v>
          </cell>
        </row>
        <row r="1636">
          <cell r="L1636" t="str">
            <v>SY040104</v>
          </cell>
          <cell r="M1636" t="str">
            <v>C2634</v>
          </cell>
          <cell r="N1636" t="str">
            <v>Hazzeh\الهزة</v>
          </cell>
        </row>
        <row r="1637">
          <cell r="L1637" t="str">
            <v>SY040104</v>
          </cell>
          <cell r="M1637" t="str">
            <v>C2625</v>
          </cell>
          <cell r="N1637" t="str">
            <v>Holaya\حولايا</v>
          </cell>
        </row>
        <row r="1638">
          <cell r="L1638" t="str">
            <v>SY040104</v>
          </cell>
          <cell r="M1638" t="str">
            <v>C2622</v>
          </cell>
          <cell r="N1638" t="str">
            <v>Jarbuiyeh - Fteim Arnuq\الجربوعية-فطيم عرنوق</v>
          </cell>
        </row>
        <row r="1639">
          <cell r="L1639" t="str">
            <v>SY040104</v>
          </cell>
          <cell r="M1639" t="str">
            <v>C2637</v>
          </cell>
          <cell r="N1639" t="str">
            <v>Jbab Hamad\جباب حمد</v>
          </cell>
        </row>
        <row r="1640">
          <cell r="L1640" t="str">
            <v>SY040104</v>
          </cell>
          <cell r="M1640" t="str">
            <v>C2629</v>
          </cell>
          <cell r="N1640" t="str">
            <v>Jeb Elshami\جب الشامي</v>
          </cell>
        </row>
        <row r="1641">
          <cell r="L1641" t="str">
            <v>SY040104</v>
          </cell>
          <cell r="M1641" t="str">
            <v>C2623</v>
          </cell>
          <cell r="N1641" t="str">
            <v>Khaliliyeh\الخليلية</v>
          </cell>
        </row>
        <row r="1642">
          <cell r="L1642" t="str">
            <v>SY040104</v>
          </cell>
          <cell r="M1642" t="str">
            <v>C2621</v>
          </cell>
          <cell r="N1642" t="str">
            <v>Milaja - Khrijet Sleibi\الملاجة-خريجة الصليبي</v>
          </cell>
        </row>
        <row r="1643">
          <cell r="L1643" t="str">
            <v>SY040104</v>
          </cell>
          <cell r="M1643" t="str">
            <v>C2640</v>
          </cell>
          <cell r="N1643" t="str">
            <v>Mran Elfawareh\مران الفواعرة</v>
          </cell>
        </row>
        <row r="1644">
          <cell r="L1644" t="str">
            <v>SY040104</v>
          </cell>
          <cell r="M1644" t="str">
            <v>C2631</v>
          </cell>
          <cell r="N1644" t="str">
            <v>Nasriyeh\الناصرية</v>
          </cell>
        </row>
        <row r="1645">
          <cell r="L1645" t="str">
            <v>SY040104</v>
          </cell>
          <cell r="M1645" t="str">
            <v>C2620</v>
          </cell>
          <cell r="N1645" t="str">
            <v>Rajm Taqo\رجم طقو</v>
          </cell>
        </row>
        <row r="1646">
          <cell r="L1646" t="str">
            <v>SY040104</v>
          </cell>
          <cell r="M1646" t="str">
            <v>C2617</v>
          </cell>
          <cell r="N1646" t="str">
            <v>Sabuniyeh\الصابونية</v>
          </cell>
        </row>
        <row r="1647">
          <cell r="L1647" t="str">
            <v>SY040104</v>
          </cell>
          <cell r="M1647" t="str">
            <v>C2624</v>
          </cell>
          <cell r="N1647" t="str">
            <v>Sayed\الصايد</v>
          </cell>
        </row>
        <row r="1648">
          <cell r="L1648" t="str">
            <v>SY040104</v>
          </cell>
          <cell r="M1648" t="str">
            <v>C2630</v>
          </cell>
          <cell r="N1648" t="str">
            <v>Shtaya\الشتاية</v>
          </cell>
        </row>
        <row r="1649">
          <cell r="L1649" t="str">
            <v>SY040104</v>
          </cell>
          <cell r="M1649" t="str">
            <v>C2627</v>
          </cell>
          <cell r="N1649" t="str">
            <v>Um Eltababir\أم التبابير</v>
          </cell>
        </row>
        <row r="1650">
          <cell r="L1650" t="str">
            <v>SY040104</v>
          </cell>
          <cell r="M1650" t="str">
            <v>C2635</v>
          </cell>
          <cell r="N1650" t="str">
            <v>Um Eltoyur\أم الطيور</v>
          </cell>
        </row>
        <row r="1651">
          <cell r="L1651" t="str">
            <v>SY040104</v>
          </cell>
          <cell r="M1651" t="str">
            <v>C2638</v>
          </cell>
          <cell r="N1651" t="str">
            <v>Um Jrein\أم جرين</v>
          </cell>
        </row>
        <row r="1652">
          <cell r="L1652" t="str">
            <v>SY040104</v>
          </cell>
          <cell r="M1652" t="str">
            <v>C2628</v>
          </cell>
          <cell r="N1652" t="str">
            <v>Um Samuk\أم ساموك</v>
          </cell>
        </row>
        <row r="1653">
          <cell r="L1653" t="str">
            <v>SY040104</v>
          </cell>
          <cell r="M1653" t="str">
            <v>C2619</v>
          </cell>
          <cell r="N1653" t="str">
            <v>Um Tinet Fadous\أم تينة فدعوس</v>
          </cell>
        </row>
        <row r="1654">
          <cell r="L1654" t="str">
            <v>SY040105</v>
          </cell>
          <cell r="M1654" t="str">
            <v>C2641</v>
          </cell>
          <cell r="N1654" t="str">
            <v>Alyat\العاليات</v>
          </cell>
        </row>
        <row r="1655">
          <cell r="L1655" t="str">
            <v>SY040105</v>
          </cell>
          <cell r="M1655" t="str">
            <v>C2643</v>
          </cell>
          <cell r="N1655" t="str">
            <v>Awar\الاعور</v>
          </cell>
        </row>
        <row r="1656">
          <cell r="L1656" t="str">
            <v>SY040105</v>
          </cell>
          <cell r="M1656" t="str">
            <v>C2656</v>
          </cell>
          <cell r="N1656" t="str">
            <v>Aziziyeh\العزيزية</v>
          </cell>
        </row>
        <row r="1657">
          <cell r="L1657" t="str">
            <v>SY040105</v>
          </cell>
          <cell r="M1657" t="str">
            <v>C2645</v>
          </cell>
          <cell r="N1657" t="str">
            <v>Balha\البلها</v>
          </cell>
        </row>
        <row r="1658">
          <cell r="L1658" t="str">
            <v>SY040105</v>
          </cell>
          <cell r="M1658" t="str">
            <v>C2660</v>
          </cell>
          <cell r="N1658" t="str">
            <v>Dardaa - Dardaghan\درداء-دردغان</v>
          </cell>
        </row>
        <row r="1659">
          <cell r="L1659" t="str">
            <v>SY040105</v>
          </cell>
          <cell r="M1659" t="str">
            <v>C2649</v>
          </cell>
          <cell r="N1659" t="str">
            <v>Eastern Qanniyeh\القنية الشرقية</v>
          </cell>
        </row>
        <row r="1660">
          <cell r="L1660" t="str">
            <v>SY040105</v>
          </cell>
          <cell r="M1660" t="str">
            <v>C2658</v>
          </cell>
          <cell r="N1660" t="str">
            <v>Ghalyeh\الغالية</v>
          </cell>
        </row>
        <row r="1661">
          <cell r="L1661" t="str">
            <v>SY040105</v>
          </cell>
          <cell r="M1661" t="str">
            <v>C2661</v>
          </cell>
          <cell r="N1661" t="str">
            <v>Hamrat\الحمرات</v>
          </cell>
        </row>
        <row r="1662">
          <cell r="L1662" t="str">
            <v>SY040105</v>
          </cell>
          <cell r="M1662" t="str">
            <v>C2648</v>
          </cell>
          <cell r="N1662" t="str">
            <v>Harbiya\الحربية</v>
          </cell>
        </row>
        <row r="1663">
          <cell r="L1663" t="str">
            <v>SY040105</v>
          </cell>
          <cell r="M1663" t="str">
            <v>C2651</v>
          </cell>
          <cell r="N1663" t="str">
            <v>Jbab Elzeit\جباب الزيت</v>
          </cell>
        </row>
        <row r="1664">
          <cell r="L1664" t="str">
            <v>SY040105</v>
          </cell>
          <cell r="M1664" t="str">
            <v>C2646</v>
          </cell>
          <cell r="N1664" t="str">
            <v>Madabe\المضابع</v>
          </cell>
        </row>
        <row r="1665">
          <cell r="L1665" t="str">
            <v>SY040105</v>
          </cell>
          <cell r="M1665" t="str">
            <v>C2652</v>
          </cell>
          <cell r="N1665" t="str">
            <v>Manzul\المنزول</v>
          </cell>
        </row>
        <row r="1666">
          <cell r="L1666" t="str">
            <v>SY040105</v>
          </cell>
          <cell r="M1666" t="str">
            <v>C2655</v>
          </cell>
          <cell r="N1666" t="str">
            <v>Naamiyeh\النعامية</v>
          </cell>
        </row>
        <row r="1667">
          <cell r="L1667" t="str">
            <v>SY040105</v>
          </cell>
          <cell r="M1667" t="str">
            <v>C2657</v>
          </cell>
          <cell r="N1667" t="str">
            <v>Nuzha\النزهة</v>
          </cell>
        </row>
        <row r="1668">
          <cell r="L1668" t="str">
            <v>SY040105</v>
          </cell>
          <cell r="M1668" t="str">
            <v>C2642</v>
          </cell>
          <cell r="N1668" t="str">
            <v>Raqama\الرقاما</v>
          </cell>
        </row>
        <row r="1669">
          <cell r="L1669" t="str">
            <v>SY040105</v>
          </cell>
          <cell r="M1669" t="str">
            <v>C2654</v>
          </cell>
          <cell r="N1669" t="str">
            <v>Rawda\الروضة</v>
          </cell>
        </row>
        <row r="1670">
          <cell r="L1670" t="str">
            <v>SY040105</v>
          </cell>
          <cell r="M1670" t="str">
            <v>C2644</v>
          </cell>
          <cell r="N1670" t="str">
            <v>Rdeifat\الرضيفات</v>
          </cell>
        </row>
        <row r="1671">
          <cell r="L1671" t="str">
            <v>SY040105</v>
          </cell>
          <cell r="M1671" t="str">
            <v>C2659</v>
          </cell>
          <cell r="N1671" t="str">
            <v>Shoayrat\الشعيرات</v>
          </cell>
        </row>
        <row r="1672">
          <cell r="L1672" t="str">
            <v>SY040105</v>
          </cell>
          <cell r="M1672" t="str">
            <v>C2647</v>
          </cell>
          <cell r="N1672" t="str">
            <v>Um Dulab - Almadharia\أم دولاب-المظهرية</v>
          </cell>
        </row>
        <row r="1673">
          <cell r="L1673" t="str">
            <v>SY040105</v>
          </cell>
          <cell r="M1673" t="str">
            <v>C2653</v>
          </cell>
          <cell r="N1673" t="str">
            <v>Wazeiyeh\الوازعية</v>
          </cell>
        </row>
        <row r="1674">
          <cell r="L1674" t="str">
            <v>SY040106</v>
          </cell>
          <cell r="M1674" t="str">
            <v>C2663</v>
          </cell>
          <cell r="N1674" t="str">
            <v>Qaryatein\القريتين</v>
          </cell>
        </row>
        <row r="1675">
          <cell r="L1675" t="str">
            <v>SY040106</v>
          </cell>
          <cell r="M1675" t="str">
            <v>C2662</v>
          </cell>
          <cell r="N1675" t="str">
            <v>Safa Eltayyas\الصفا_التياس</v>
          </cell>
        </row>
        <row r="1676">
          <cell r="L1676" t="str">
            <v>SY040107</v>
          </cell>
          <cell r="M1676" t="str">
            <v>C2665</v>
          </cell>
          <cell r="N1676" t="str">
            <v>Hadath\الحدث</v>
          </cell>
        </row>
        <row r="1677">
          <cell r="L1677" t="str">
            <v>SY040107</v>
          </cell>
          <cell r="M1677" t="str">
            <v>C2664</v>
          </cell>
          <cell r="N1677" t="str">
            <v>Hawarin\حوارين</v>
          </cell>
        </row>
        <row r="1678">
          <cell r="L1678" t="str">
            <v>SY040107</v>
          </cell>
          <cell r="M1678" t="str">
            <v>C2667</v>
          </cell>
          <cell r="N1678" t="str">
            <v>Mahin\مهين</v>
          </cell>
        </row>
        <row r="1679">
          <cell r="L1679" t="str">
            <v>SY040107</v>
          </cell>
          <cell r="M1679" t="str">
            <v>C2668</v>
          </cell>
          <cell r="N1679" t="str">
            <v>Qanat Elomyan\قناة العمياء</v>
          </cell>
        </row>
        <row r="1680">
          <cell r="L1680" t="str">
            <v>SY040107</v>
          </cell>
          <cell r="M1680" t="str">
            <v>C2666</v>
          </cell>
          <cell r="N1680" t="str">
            <v>Qasr - Ghanthar\القصر-الغنثر</v>
          </cell>
        </row>
        <row r="1681">
          <cell r="L1681" t="str">
            <v>SY040108</v>
          </cell>
          <cell r="M1681" t="str">
            <v>C2669</v>
          </cell>
          <cell r="N1681" t="str">
            <v>Breij\البريج</v>
          </cell>
        </row>
        <row r="1682">
          <cell r="L1682" t="str">
            <v>SY040108</v>
          </cell>
          <cell r="M1682" t="str">
            <v>C2672</v>
          </cell>
          <cell r="N1682" t="str">
            <v>Dibeh\الديبة</v>
          </cell>
        </row>
        <row r="1683">
          <cell r="L1683" t="str">
            <v>SY040108</v>
          </cell>
          <cell r="M1683" t="str">
            <v>C2675</v>
          </cell>
          <cell r="N1683" t="str">
            <v>Hasyaa\حسياء</v>
          </cell>
        </row>
        <row r="1684">
          <cell r="L1684" t="str">
            <v>SY040108</v>
          </cell>
          <cell r="M1684" t="str">
            <v>C2671</v>
          </cell>
          <cell r="N1684" t="str">
            <v>Jandar\جندر</v>
          </cell>
        </row>
        <row r="1685">
          <cell r="L1685" t="str">
            <v>SY040108</v>
          </cell>
          <cell r="M1685" t="str">
            <v>C2673</v>
          </cell>
          <cell r="N1685" t="str">
            <v>Jeb Elsada\جب الصدى</v>
          </cell>
        </row>
        <row r="1686">
          <cell r="L1686" t="str">
            <v>SY040108</v>
          </cell>
          <cell r="M1686" t="str">
            <v>C2670</v>
          </cell>
          <cell r="N1686" t="str">
            <v>Kashf\الكشف</v>
          </cell>
        </row>
        <row r="1687">
          <cell r="L1687" t="str">
            <v>SY040108</v>
          </cell>
          <cell r="M1687" t="str">
            <v>C2674</v>
          </cell>
          <cell r="N1687" t="str">
            <v>Shamsin\شمسين</v>
          </cell>
        </row>
        <row r="1688">
          <cell r="L1688" t="str">
            <v>SY040109</v>
          </cell>
          <cell r="M1688" t="str">
            <v>C2676</v>
          </cell>
          <cell r="N1688" t="str">
            <v>Hafr\الحفر</v>
          </cell>
        </row>
        <row r="1689">
          <cell r="L1689" t="str">
            <v>SY040109</v>
          </cell>
          <cell r="M1689" t="str">
            <v>C2677</v>
          </cell>
          <cell r="N1689" t="str">
            <v>Sadad\صدد</v>
          </cell>
        </row>
        <row r="1690">
          <cell r="L1690" t="str">
            <v>SY040110</v>
          </cell>
          <cell r="M1690" t="str">
            <v>C2684</v>
          </cell>
          <cell r="N1690" t="str">
            <v>Fahel\فاحل</v>
          </cell>
        </row>
        <row r="1691">
          <cell r="L1691" t="str">
            <v>SY040110</v>
          </cell>
          <cell r="M1691" t="str">
            <v>C2557</v>
          </cell>
          <cell r="N1691" t="str">
            <v>Kafram\كفرام</v>
          </cell>
        </row>
        <row r="1692">
          <cell r="L1692" t="str">
            <v>SY040110</v>
          </cell>
          <cell r="M1692" t="str">
            <v>C2678</v>
          </cell>
          <cell r="N1692" t="str">
            <v>Otan\أوتان</v>
          </cell>
        </row>
        <row r="1693">
          <cell r="L1693" t="str">
            <v>SY040110</v>
          </cell>
          <cell r="M1693" t="str">
            <v>C2680</v>
          </cell>
          <cell r="N1693" t="str">
            <v>Qabu\القبو</v>
          </cell>
        </row>
        <row r="1694">
          <cell r="L1694" t="str">
            <v>SY040110</v>
          </cell>
          <cell r="M1694" t="str">
            <v>C2681</v>
          </cell>
          <cell r="N1694" t="str">
            <v>Qanafiyeh\القناقية</v>
          </cell>
        </row>
        <row r="1695">
          <cell r="L1695" t="str">
            <v>SY040110</v>
          </cell>
          <cell r="M1695" t="str">
            <v>C2682</v>
          </cell>
          <cell r="N1695" t="str">
            <v>Rabah\رباح</v>
          </cell>
        </row>
        <row r="1696">
          <cell r="L1696" t="str">
            <v>SY040110</v>
          </cell>
          <cell r="M1696" t="str">
            <v>C2679</v>
          </cell>
          <cell r="N1696" t="str">
            <v>Sharqaliyeh\شرقلية</v>
          </cell>
        </row>
        <row r="1697">
          <cell r="L1697" t="str">
            <v>SY040110</v>
          </cell>
          <cell r="M1697" t="str">
            <v>C2683</v>
          </cell>
          <cell r="N1697" t="str">
            <v>Shenniyeh\الشنية</v>
          </cell>
        </row>
        <row r="1698">
          <cell r="L1698" t="str">
            <v>SY040111</v>
          </cell>
          <cell r="M1698" t="str">
            <v>C2688</v>
          </cell>
          <cell r="N1698" t="str">
            <v>Bohur\بحور</v>
          </cell>
        </row>
        <row r="1699">
          <cell r="L1699" t="str">
            <v>SY040111</v>
          </cell>
          <cell r="M1699" t="str">
            <v>C2685</v>
          </cell>
          <cell r="N1699" t="str">
            <v>Bteiset Eljerd\بتيسة الجرد</v>
          </cell>
        </row>
        <row r="1700">
          <cell r="L1700" t="str">
            <v>SY040111</v>
          </cell>
          <cell r="M1700" t="str">
            <v>C2700</v>
          </cell>
          <cell r="N1700" t="str">
            <v>Diyabiyeh - Thahaiyeh\ديابية-ذهبية</v>
          </cell>
        </row>
        <row r="1701">
          <cell r="L1701" t="str">
            <v>SY040111</v>
          </cell>
          <cell r="M1701" t="str">
            <v>C2687</v>
          </cell>
          <cell r="N1701" t="str">
            <v>Hasur\حاصور</v>
          </cell>
        </row>
        <row r="1702">
          <cell r="L1702" t="str">
            <v>SY040111</v>
          </cell>
          <cell r="M1702" t="str">
            <v>C2697</v>
          </cell>
          <cell r="N1702" t="str">
            <v>Heddiyeh\حدية</v>
          </cell>
        </row>
        <row r="1703">
          <cell r="L1703" t="str">
            <v>SY040111</v>
          </cell>
          <cell r="M1703" t="str">
            <v>C2695</v>
          </cell>
          <cell r="N1703" t="str">
            <v>Jablaya\جبلايا</v>
          </cell>
        </row>
        <row r="1704">
          <cell r="L1704" t="str">
            <v>SY040111</v>
          </cell>
          <cell r="M1704" t="str">
            <v>C2686</v>
          </cell>
          <cell r="N1704" t="str">
            <v>Jeb Elbustan\جب البستان</v>
          </cell>
        </row>
        <row r="1705">
          <cell r="L1705" t="str">
            <v>SY040111</v>
          </cell>
          <cell r="M1705" t="str">
            <v>C2698</v>
          </cell>
          <cell r="N1705" t="str">
            <v>Jweikat\الجويخات</v>
          </cell>
        </row>
        <row r="1706">
          <cell r="L1706" t="str">
            <v>SY040111</v>
          </cell>
          <cell r="M1706" t="str">
            <v>C2690</v>
          </cell>
          <cell r="N1706" t="str">
            <v>Khweikha\خويخة</v>
          </cell>
        </row>
        <row r="1707">
          <cell r="L1707" t="str">
            <v>SY040111</v>
          </cell>
          <cell r="M1707" t="str">
            <v>C2702</v>
          </cell>
          <cell r="N1707" t="str">
            <v>Mahfura\محفورة</v>
          </cell>
        </row>
        <row r="1708">
          <cell r="L1708" t="str">
            <v>SY040111</v>
          </cell>
          <cell r="M1708" t="str">
            <v>C2701</v>
          </cell>
          <cell r="N1708" t="str">
            <v>Marana\مرانة</v>
          </cell>
        </row>
        <row r="1709">
          <cell r="L1709" t="str">
            <v>SY040111</v>
          </cell>
          <cell r="M1709" t="str">
            <v>C2703</v>
          </cell>
          <cell r="N1709" t="str">
            <v>Motaared\متعارض</v>
          </cell>
        </row>
        <row r="1710">
          <cell r="L1710" t="str">
            <v>SY040111</v>
          </cell>
          <cell r="M1710" t="str">
            <v>C2694</v>
          </cell>
          <cell r="N1710" t="str">
            <v>Oyun Elwadi\عيون الوادي</v>
          </cell>
        </row>
        <row r="1711">
          <cell r="L1711" t="str">
            <v>SY040111</v>
          </cell>
          <cell r="M1711" t="str">
            <v>C2692</v>
          </cell>
          <cell r="N1711" t="str">
            <v>Safsafa\صفصافة</v>
          </cell>
        </row>
        <row r="1712">
          <cell r="L1712" t="str">
            <v>SY040111</v>
          </cell>
          <cell r="M1712" t="str">
            <v>C2689</v>
          </cell>
          <cell r="N1712" t="str">
            <v>Shin\شين</v>
          </cell>
        </row>
        <row r="1713">
          <cell r="L1713" t="str">
            <v>SY040111</v>
          </cell>
          <cell r="M1713" t="str">
            <v>C2691</v>
          </cell>
          <cell r="N1713" t="str">
            <v>Sifr - Soqur Abu Warda\صفر-صقور أبو وردة</v>
          </cell>
        </row>
        <row r="1714">
          <cell r="L1714" t="str">
            <v>SY040111</v>
          </cell>
          <cell r="M1714" t="str">
            <v>C2693</v>
          </cell>
          <cell r="N1714" t="str">
            <v>Southern Tweiza\طويز الجنوبية</v>
          </cell>
        </row>
        <row r="1715">
          <cell r="L1715" t="str">
            <v>SY040111</v>
          </cell>
          <cell r="M1715" t="str">
            <v>C2696</v>
          </cell>
          <cell r="N1715" t="str">
            <v>Sweiri\صويري</v>
          </cell>
        </row>
        <row r="1716">
          <cell r="L1716" t="str">
            <v>SY040111</v>
          </cell>
          <cell r="M1716" t="str">
            <v>C2699</v>
          </cell>
          <cell r="N1716" t="str">
            <v>Western Zafarana\زعفرانة غربية</v>
          </cell>
        </row>
        <row r="1717">
          <cell r="L1717" t="str">
            <v>SY040200</v>
          </cell>
          <cell r="M1717" t="str">
            <v>C2712</v>
          </cell>
          <cell r="N1717" t="str">
            <v>Abu Juri\أبو جوري</v>
          </cell>
        </row>
        <row r="1718">
          <cell r="L1718" t="str">
            <v>SY040200</v>
          </cell>
          <cell r="M1718" t="str">
            <v>C2733</v>
          </cell>
          <cell r="N1718" t="str">
            <v>Al-Qusayr\القصير</v>
          </cell>
        </row>
        <row r="1719">
          <cell r="L1719" t="str">
            <v>SY040200</v>
          </cell>
          <cell r="M1719" t="str">
            <v>C2713</v>
          </cell>
          <cell r="N1719" t="str">
            <v>Arjun\عرجون</v>
          </cell>
        </row>
        <row r="1720">
          <cell r="L1720" t="str">
            <v>SY040200</v>
          </cell>
          <cell r="M1720" t="str">
            <v>C2737</v>
          </cell>
          <cell r="N1720" t="str">
            <v>Bluzeh\بلوزة</v>
          </cell>
        </row>
        <row r="1721">
          <cell r="L1721" t="str">
            <v>SY040200</v>
          </cell>
          <cell r="M1721" t="str">
            <v>C2730</v>
          </cell>
          <cell r="N1721" t="str">
            <v>Borhaniya - Rehwaniyeh\البرهانية-الرهوانية</v>
          </cell>
        </row>
        <row r="1722">
          <cell r="L1722" t="str">
            <v>SY040200</v>
          </cell>
          <cell r="M1722" t="str">
            <v>C2741</v>
          </cell>
          <cell r="N1722" t="str">
            <v>Buweit\البويت</v>
          </cell>
        </row>
        <row r="1723">
          <cell r="L1723" t="str">
            <v>SY040200</v>
          </cell>
          <cell r="M1723" t="str">
            <v>C2726</v>
          </cell>
          <cell r="N1723" t="str">
            <v>Dabaa\الضبعة</v>
          </cell>
        </row>
        <row r="1724">
          <cell r="L1724" t="str">
            <v>SY040200</v>
          </cell>
          <cell r="M1724" t="str">
            <v>C2720</v>
          </cell>
          <cell r="N1724" t="str">
            <v>Dahiet Elmajd\ضاحية المجد</v>
          </cell>
        </row>
        <row r="1725">
          <cell r="L1725" t="str">
            <v>SY040200</v>
          </cell>
          <cell r="M1725" t="str">
            <v>C2709</v>
          </cell>
          <cell r="N1725" t="str">
            <v>Dahrij\دحيرج</v>
          </cell>
        </row>
        <row r="1726">
          <cell r="L1726" t="str">
            <v>SY040200</v>
          </cell>
          <cell r="M1726" t="str">
            <v>C2710</v>
          </cell>
          <cell r="N1726" t="str">
            <v>Debbin\دبين</v>
          </cell>
        </row>
        <row r="1727">
          <cell r="L1727" t="str">
            <v>SY040200</v>
          </cell>
          <cell r="M1727" t="str">
            <v>C2738</v>
          </cell>
          <cell r="N1727" t="str">
            <v>Diyabiyeh\ديابية</v>
          </cell>
        </row>
        <row r="1728">
          <cell r="L1728" t="str">
            <v>SY040200</v>
          </cell>
          <cell r="M1728" t="str">
            <v>C6312</v>
          </cell>
          <cell r="N1728" t="str">
            <v>Dream Land\دريم لاند</v>
          </cell>
        </row>
        <row r="1729">
          <cell r="L1729" t="str">
            <v>SY040200</v>
          </cell>
          <cell r="M1729" t="str">
            <v>C2715</v>
          </cell>
          <cell r="N1729" t="str">
            <v>Eastern Buwayda\البويضة الشرقية</v>
          </cell>
        </row>
        <row r="1730">
          <cell r="L1730" t="str">
            <v>SY040200</v>
          </cell>
          <cell r="M1730" t="str">
            <v>C2706</v>
          </cell>
          <cell r="N1730" t="str">
            <v>Eastern Damina\دمينة الشرقية</v>
          </cell>
        </row>
        <row r="1731">
          <cell r="L1731" t="str">
            <v>SY040200</v>
          </cell>
          <cell r="M1731" t="str">
            <v>C2731</v>
          </cell>
          <cell r="N1731" t="str">
            <v>Eastern Smaqiyat\سماقيات شرقية</v>
          </cell>
        </row>
        <row r="1732">
          <cell r="L1732" t="str">
            <v>SY040200</v>
          </cell>
          <cell r="M1732" t="str">
            <v>C2735</v>
          </cell>
          <cell r="N1732" t="str">
            <v>Ein Elsafa - Akum\عين الصفا-أكوم</v>
          </cell>
        </row>
        <row r="1733">
          <cell r="L1733" t="str">
            <v>SY040200</v>
          </cell>
          <cell r="M1733" t="str">
            <v>C2728</v>
          </cell>
          <cell r="N1733" t="str">
            <v>Fadeliyeh\الفاضلية</v>
          </cell>
        </row>
        <row r="1734">
          <cell r="L1734" t="str">
            <v>SY040200</v>
          </cell>
          <cell r="M1734" t="str">
            <v>C2749</v>
          </cell>
          <cell r="N1734" t="str">
            <v>Ghassaniyeh\الغسانية</v>
          </cell>
        </row>
        <row r="1735">
          <cell r="L1735" t="str">
            <v>SY040200</v>
          </cell>
          <cell r="M1735" t="str">
            <v>C2748</v>
          </cell>
          <cell r="N1735" t="str">
            <v>Hamam\الحمام</v>
          </cell>
        </row>
        <row r="1736">
          <cell r="L1736" t="str">
            <v>SY040200</v>
          </cell>
          <cell r="M1736" t="str">
            <v>C2716</v>
          </cell>
          <cell r="N1736" t="str">
            <v>Hamediyeh\الحامدية</v>
          </cell>
        </row>
        <row r="1737">
          <cell r="L1737" t="str">
            <v>SY040200</v>
          </cell>
          <cell r="M1737" t="str">
            <v>C2743</v>
          </cell>
          <cell r="N1737" t="str">
            <v>Hamra\الحمراء</v>
          </cell>
        </row>
        <row r="1738">
          <cell r="L1738" t="str">
            <v>SY040200</v>
          </cell>
          <cell r="M1738" t="str">
            <v>C2724</v>
          </cell>
          <cell r="N1738" t="str">
            <v>Hawi - Hawik\الحاوي_الحاويك</v>
          </cell>
        </row>
        <row r="1739">
          <cell r="L1739" t="str">
            <v>SY040200</v>
          </cell>
          <cell r="M1739" t="str">
            <v>C2714</v>
          </cell>
          <cell r="N1739" t="str">
            <v>Haydariyeh\الحيدرية</v>
          </cell>
        </row>
        <row r="1740">
          <cell r="L1740" t="str">
            <v>SY040200</v>
          </cell>
          <cell r="M1740" t="str">
            <v>C2751</v>
          </cell>
          <cell r="N1740" t="str">
            <v>Hosh Elsayed Ali\حوش السيد علي</v>
          </cell>
        </row>
        <row r="1741">
          <cell r="L1741" t="str">
            <v>SY040200</v>
          </cell>
          <cell r="M1741" t="str">
            <v>C2729</v>
          </cell>
          <cell r="N1741" t="str">
            <v>Hosh Morshed Samaan\حوش مرشد سمعان</v>
          </cell>
        </row>
        <row r="1742">
          <cell r="L1742" t="str">
            <v>SY040200</v>
          </cell>
          <cell r="M1742" t="str">
            <v>C2750</v>
          </cell>
          <cell r="N1742" t="str">
            <v>Hoz\الحوز</v>
          </cell>
        </row>
        <row r="1743">
          <cell r="L1743" t="str">
            <v>SY040200</v>
          </cell>
          <cell r="M1743" t="str">
            <v>C2725</v>
          </cell>
          <cell r="N1743" t="str">
            <v>Hseiniyeh\الحسينية</v>
          </cell>
        </row>
        <row r="1744">
          <cell r="L1744" t="str">
            <v>SY040200</v>
          </cell>
          <cell r="M1744" t="str">
            <v>C2747</v>
          </cell>
          <cell r="N1744" t="str">
            <v>Jobaniyeh - Ram Tut\جوبانية-رام توت</v>
          </cell>
        </row>
        <row r="1745">
          <cell r="L1745" t="str">
            <v>SY040200</v>
          </cell>
          <cell r="M1745" t="str">
            <v>C2707</v>
          </cell>
          <cell r="N1745" t="str">
            <v>Josiyet Elemar\جوسية العمار</v>
          </cell>
        </row>
        <row r="1746">
          <cell r="L1746" t="str">
            <v>SY040200</v>
          </cell>
          <cell r="M1746" t="str">
            <v>C2734</v>
          </cell>
          <cell r="N1746" t="str">
            <v>Kalidiyeh\الخالدية</v>
          </cell>
        </row>
        <row r="1747">
          <cell r="L1747" t="str">
            <v>SY040200</v>
          </cell>
          <cell r="M1747" t="str">
            <v>C2754</v>
          </cell>
          <cell r="N1747" t="str">
            <v>Kamam\كمام</v>
          </cell>
        </row>
        <row r="1748">
          <cell r="L1748" t="str">
            <v>SY040200</v>
          </cell>
          <cell r="M1748" t="str">
            <v>C2755</v>
          </cell>
          <cell r="N1748" t="str">
            <v>Kokran - Seidat\كوكران-السعديات</v>
          </cell>
        </row>
        <row r="1749">
          <cell r="L1749" t="str">
            <v>SY040200</v>
          </cell>
          <cell r="M1749" t="str">
            <v>C2745</v>
          </cell>
          <cell r="N1749" t="str">
            <v>Masriyeh\المصرية</v>
          </cell>
        </row>
        <row r="1750">
          <cell r="L1750" t="str">
            <v>SY040200</v>
          </cell>
          <cell r="M1750" t="str">
            <v>C2739</v>
          </cell>
          <cell r="N1750" t="str">
            <v>Moh\الموح</v>
          </cell>
        </row>
        <row r="1751">
          <cell r="L1751" t="str">
            <v>SY040200</v>
          </cell>
          <cell r="M1751" t="str">
            <v>C2744</v>
          </cell>
          <cell r="N1751" t="str">
            <v>Mseitbeh\المصيطبة</v>
          </cell>
        </row>
        <row r="1752">
          <cell r="L1752" t="str">
            <v>SY040200</v>
          </cell>
          <cell r="M1752" t="str">
            <v>C2756</v>
          </cell>
          <cell r="N1752" t="str">
            <v>Mudan\مودان</v>
          </cell>
        </row>
        <row r="1753">
          <cell r="L1753" t="str">
            <v>SY040200</v>
          </cell>
          <cell r="M1753" t="str">
            <v>C2740</v>
          </cell>
          <cell r="N1753" t="str">
            <v>Naem\الناعم</v>
          </cell>
        </row>
        <row r="1754">
          <cell r="L1754" t="str">
            <v>SY040200</v>
          </cell>
          <cell r="M1754" t="str">
            <v>C2727</v>
          </cell>
          <cell r="N1754" t="str">
            <v>Nizariyeh\النيزارية</v>
          </cell>
        </row>
        <row r="1755">
          <cell r="L1755" t="str">
            <v>SY040200</v>
          </cell>
          <cell r="M1755" t="str">
            <v>C2708</v>
          </cell>
          <cell r="N1755" t="str">
            <v>Old Um Hartein \أم حارتين عتيق</v>
          </cell>
        </row>
        <row r="1756">
          <cell r="L1756" t="str">
            <v>SY040200</v>
          </cell>
          <cell r="M1756" t="str">
            <v>C2757</v>
          </cell>
          <cell r="N1756" t="str">
            <v>Qadesh - Tal Elnabi Mandu\قادش-تل النبي مندو</v>
          </cell>
        </row>
        <row r="1757">
          <cell r="L1757" t="str">
            <v>SY040200</v>
          </cell>
          <cell r="M1757" t="str">
            <v>C2742</v>
          </cell>
          <cell r="N1757" t="str">
            <v>Qorniyeh\القرنية</v>
          </cell>
        </row>
        <row r="1758">
          <cell r="L1758" t="str">
            <v>SY040200</v>
          </cell>
          <cell r="M1758" t="str">
            <v>C2705</v>
          </cell>
          <cell r="N1758" t="str">
            <v>Rableh\ربلة</v>
          </cell>
        </row>
        <row r="1759">
          <cell r="L1759" t="str">
            <v>SY040200</v>
          </cell>
          <cell r="M1759" t="str">
            <v>C2711</v>
          </cell>
          <cell r="N1759" t="str">
            <v>Sakher Hit\الصخر-هيت</v>
          </cell>
        </row>
        <row r="1760">
          <cell r="L1760" t="str">
            <v>SY040200</v>
          </cell>
          <cell r="M1760" t="str">
            <v>C2752</v>
          </cell>
          <cell r="N1760" t="str">
            <v>Sallumiyeh\السلومية</v>
          </cell>
        </row>
        <row r="1761">
          <cell r="L1761" t="str">
            <v>SY040200</v>
          </cell>
          <cell r="M1761" t="str">
            <v>C2746</v>
          </cell>
          <cell r="N1761" t="str">
            <v>Saqraja - Ein Eltannur\سقرجة-عين التنور</v>
          </cell>
        </row>
        <row r="1762">
          <cell r="L1762" t="str">
            <v>SY040200</v>
          </cell>
          <cell r="M1762" t="str">
            <v>C2721</v>
          </cell>
          <cell r="N1762" t="str">
            <v>Sawadiya\السوادية</v>
          </cell>
        </row>
        <row r="1763">
          <cell r="L1763" t="str">
            <v>SY040200</v>
          </cell>
          <cell r="M1763" t="str">
            <v>C2723</v>
          </cell>
          <cell r="N1763" t="str">
            <v>Shayahat\الشياحات</v>
          </cell>
        </row>
        <row r="1764">
          <cell r="L1764" t="str">
            <v>SY040200</v>
          </cell>
          <cell r="M1764" t="str">
            <v>C2736</v>
          </cell>
          <cell r="N1764" t="str">
            <v>Shinshar\شنشار</v>
          </cell>
        </row>
        <row r="1765">
          <cell r="L1765" t="str">
            <v>SY040200</v>
          </cell>
          <cell r="M1765" t="str">
            <v>C2717</v>
          </cell>
          <cell r="N1765" t="str">
            <v>Shomriyeh\الشومرية</v>
          </cell>
        </row>
        <row r="1766">
          <cell r="L1766" t="str">
            <v>SY040200</v>
          </cell>
          <cell r="M1766" t="str">
            <v>C2753</v>
          </cell>
          <cell r="N1766" t="str">
            <v>Wadi Hanna\وادي حنا</v>
          </cell>
        </row>
        <row r="1767">
          <cell r="L1767" t="str">
            <v>SY040200</v>
          </cell>
          <cell r="M1767" t="str">
            <v>C2722</v>
          </cell>
          <cell r="N1767" t="str">
            <v>Western Buwayda - Aqrabiya\البويضة الغربية-العقربية</v>
          </cell>
        </row>
        <row r="1768">
          <cell r="L1768" t="str">
            <v>SY040200</v>
          </cell>
          <cell r="M1768" t="str">
            <v>C2704</v>
          </cell>
          <cell r="N1768" t="str">
            <v>Western Damina\دمينة الغربية</v>
          </cell>
        </row>
        <row r="1769">
          <cell r="L1769" t="str">
            <v>SY040200</v>
          </cell>
          <cell r="M1769" t="str">
            <v>C2732</v>
          </cell>
          <cell r="N1769" t="str">
            <v>Western Smaqiyat\سماقيات غربية</v>
          </cell>
        </row>
        <row r="1770">
          <cell r="L1770" t="str">
            <v>SY040200</v>
          </cell>
          <cell r="M1770" t="str">
            <v>C2718</v>
          </cell>
          <cell r="N1770" t="str">
            <v>Western Zeita\زيتا الغربية</v>
          </cell>
        </row>
        <row r="1771">
          <cell r="L1771" t="str">
            <v>SY040200</v>
          </cell>
          <cell r="M1771" t="str">
            <v>C2719</v>
          </cell>
          <cell r="N1771" t="str">
            <v>Ziraa\زراعة</v>
          </cell>
        </row>
        <row r="1772">
          <cell r="L1772" t="str">
            <v>SY040300</v>
          </cell>
          <cell r="M1772" t="str">
            <v>C2790</v>
          </cell>
          <cell r="N1772" t="str">
            <v>Abul Mashaeeb\أبو المشاعيب</v>
          </cell>
        </row>
        <row r="1773">
          <cell r="L1773" t="str">
            <v>SY040300</v>
          </cell>
          <cell r="M1773" t="str">
            <v>C2763</v>
          </cell>
          <cell r="N1773" t="str">
            <v>Adlein\ادلين</v>
          </cell>
        </row>
        <row r="1774">
          <cell r="L1774" t="str">
            <v>SY040300</v>
          </cell>
          <cell r="M1774" t="str">
            <v>C2786</v>
          </cell>
          <cell r="N1774" t="str">
            <v>Akkari\عكاري</v>
          </cell>
        </row>
        <row r="1775">
          <cell r="L1775" t="str">
            <v>SY040300</v>
          </cell>
          <cell r="M1775" t="str">
            <v>C2768</v>
          </cell>
          <cell r="N1775" t="str">
            <v>Ameriyeh\العامرية</v>
          </cell>
        </row>
        <row r="1776">
          <cell r="L1776" t="str">
            <v>SY040300</v>
          </cell>
          <cell r="M1776" t="str">
            <v>C2783</v>
          </cell>
          <cell r="N1776" t="str">
            <v>Arida\عريضة</v>
          </cell>
        </row>
        <row r="1777">
          <cell r="L1777" t="str">
            <v>SY040300</v>
          </cell>
          <cell r="M1777" t="str">
            <v>C2779</v>
          </cell>
          <cell r="N1777" t="str">
            <v>Aziz\عزير</v>
          </cell>
        </row>
        <row r="1778">
          <cell r="L1778" t="str">
            <v>SY040300</v>
          </cell>
          <cell r="M1778" t="str">
            <v>C2764</v>
          </cell>
          <cell r="N1778" t="str">
            <v>Bahlawaniyeh\البهلوانية</v>
          </cell>
        </row>
        <row r="1779">
          <cell r="L1779" t="str">
            <v>SY040300</v>
          </cell>
          <cell r="M1779" t="str">
            <v>C2778</v>
          </cell>
          <cell r="N1779" t="str">
            <v>Baruha\باروحة</v>
          </cell>
        </row>
        <row r="1780">
          <cell r="L1780" t="str">
            <v>SY040300</v>
          </cell>
          <cell r="M1780" t="str">
            <v>C2765</v>
          </cell>
          <cell r="N1780" t="str">
            <v>Beit Qarin\بيت قرين</v>
          </cell>
        </row>
        <row r="1781">
          <cell r="L1781" t="str">
            <v>SY040300</v>
          </cell>
          <cell r="M1781" t="str">
            <v>C2776</v>
          </cell>
          <cell r="N1781" t="str">
            <v>Burj Arab\برج عرب</v>
          </cell>
        </row>
        <row r="1782">
          <cell r="L1782" t="str">
            <v>SY040300</v>
          </cell>
          <cell r="M1782" t="str">
            <v>C2759</v>
          </cell>
          <cell r="N1782" t="str">
            <v>Burj Elmaksur\برج المكسور</v>
          </cell>
        </row>
        <row r="1783">
          <cell r="L1783" t="str">
            <v>SY040300</v>
          </cell>
          <cell r="M1783" t="str">
            <v>C2782</v>
          </cell>
          <cell r="N1783" t="str">
            <v>Ein Elshaara\عين الشعرة</v>
          </cell>
        </row>
        <row r="1784">
          <cell r="L1784" t="str">
            <v>SY040300</v>
          </cell>
          <cell r="M1784" t="str">
            <v>C2775</v>
          </cell>
          <cell r="N1784" t="str">
            <v>Ein Elsoda\عين السودة</v>
          </cell>
        </row>
        <row r="1785">
          <cell r="L1785" t="str">
            <v>SY040300</v>
          </cell>
          <cell r="M1785" t="str">
            <v>C2789</v>
          </cell>
          <cell r="N1785" t="str">
            <v>Hajar Abyad\الحجر الأبيض</v>
          </cell>
        </row>
        <row r="1786">
          <cell r="L1786" t="str">
            <v>SY040300</v>
          </cell>
          <cell r="M1786" t="str">
            <v>C2767</v>
          </cell>
          <cell r="N1786" t="str">
            <v>Halat\الحالات</v>
          </cell>
        </row>
        <row r="1787">
          <cell r="L1787" t="str">
            <v>SY040300</v>
          </cell>
          <cell r="M1787" t="str">
            <v>C2773</v>
          </cell>
          <cell r="N1787" t="str">
            <v>Hasrajiyeh\حصرجية</v>
          </cell>
        </row>
        <row r="1788">
          <cell r="L1788" t="str">
            <v>SY040300</v>
          </cell>
          <cell r="M1788" t="str">
            <v>C2774</v>
          </cell>
          <cell r="N1788" t="str">
            <v>Jaafariyat\جعفريات</v>
          </cell>
        </row>
        <row r="1789">
          <cell r="L1789" t="str">
            <v>SY040300</v>
          </cell>
          <cell r="M1789" t="str">
            <v>C2795</v>
          </cell>
          <cell r="N1789" t="str">
            <v>Kafrish\كفريش</v>
          </cell>
        </row>
        <row r="1790">
          <cell r="L1790" t="str">
            <v>SY040300</v>
          </cell>
          <cell r="M1790" t="str">
            <v>C2771</v>
          </cell>
          <cell r="N1790" t="str">
            <v>Kherbet Eljbab\خربة الجباب</v>
          </cell>
        </row>
        <row r="1791">
          <cell r="L1791" t="str">
            <v>SY040300</v>
          </cell>
          <cell r="M1791" t="str">
            <v>C2793</v>
          </cell>
          <cell r="N1791" t="str">
            <v>Marabo - Albusiyeh\معربو_الدبوسية</v>
          </cell>
        </row>
        <row r="1792">
          <cell r="L1792" t="str">
            <v>SY040300</v>
          </cell>
          <cell r="M1792" t="str">
            <v>C2791</v>
          </cell>
          <cell r="N1792" t="str">
            <v>Masyadeh\مصيدة</v>
          </cell>
        </row>
        <row r="1793">
          <cell r="L1793" t="str">
            <v>SY040300</v>
          </cell>
          <cell r="M1793" t="str">
            <v>C2796</v>
          </cell>
          <cell r="N1793" t="str">
            <v>Naara\نعرة</v>
          </cell>
        </row>
        <row r="1794">
          <cell r="L1794" t="str">
            <v>SY040300</v>
          </cell>
          <cell r="M1794" t="str">
            <v>C2794</v>
          </cell>
          <cell r="N1794" t="str">
            <v>Qanuta\قنوتة</v>
          </cell>
        </row>
        <row r="1795">
          <cell r="L1795" t="str">
            <v>SY040300</v>
          </cell>
          <cell r="M1795" t="str">
            <v>C2797</v>
          </cell>
          <cell r="N1795" t="str">
            <v>Qrayat\قريات</v>
          </cell>
        </row>
        <row r="1796">
          <cell r="L1796" t="str">
            <v>SY040300</v>
          </cell>
          <cell r="M1796" t="str">
            <v>C2792</v>
          </cell>
          <cell r="N1796" t="str">
            <v>Qumayra\قميرة</v>
          </cell>
        </row>
        <row r="1797">
          <cell r="L1797" t="str">
            <v>SY040300</v>
          </cell>
          <cell r="M1797" t="str">
            <v>C2787</v>
          </cell>
          <cell r="N1797" t="str">
            <v>Riyaf\الرياف</v>
          </cell>
        </row>
        <row r="1798">
          <cell r="L1798" t="str">
            <v>SY040300</v>
          </cell>
          <cell r="M1798" t="str">
            <v>C2769</v>
          </cell>
          <cell r="N1798" t="str">
            <v>Shabaq - Jabaq\الشبق-جبق</v>
          </cell>
        </row>
        <row r="1799">
          <cell r="L1799" t="str">
            <v>SY040300</v>
          </cell>
          <cell r="M1799" t="str">
            <v>C2758</v>
          </cell>
          <cell r="N1799" t="str">
            <v>Shabroniyeh\الشبرونية</v>
          </cell>
        </row>
        <row r="1800">
          <cell r="L1800" t="str">
            <v>SY040300</v>
          </cell>
          <cell r="M1800" t="str">
            <v>C2760</v>
          </cell>
          <cell r="N1800" t="str">
            <v>Shalluh\شلوح</v>
          </cell>
        </row>
        <row r="1801">
          <cell r="L1801" t="str">
            <v>SY040300</v>
          </cell>
          <cell r="M1801" t="str">
            <v>C2761</v>
          </cell>
          <cell r="N1801" t="str">
            <v>Shamsiyeh\شميسة</v>
          </cell>
        </row>
        <row r="1802">
          <cell r="L1802" t="str">
            <v>SY040300</v>
          </cell>
          <cell r="M1802" t="str">
            <v>C2770</v>
          </cell>
          <cell r="N1802" t="str">
            <v>Sheikh Ali\الشيخ علي</v>
          </cell>
        </row>
        <row r="1803">
          <cell r="L1803" t="str">
            <v>SY040300</v>
          </cell>
          <cell r="M1803" t="str">
            <v>C2784</v>
          </cell>
          <cell r="N1803" t="str">
            <v>Sindyana\سنديانة</v>
          </cell>
        </row>
        <row r="1804">
          <cell r="L1804" t="str">
            <v>SY040300</v>
          </cell>
          <cell r="M1804" t="str">
            <v>C2788</v>
          </cell>
          <cell r="N1804" t="str">
            <v>Smikeh\سميكة</v>
          </cell>
        </row>
        <row r="1805">
          <cell r="L1805" t="str">
            <v>SY040300</v>
          </cell>
          <cell r="M1805" t="str">
            <v>C2766</v>
          </cell>
          <cell r="N1805" t="str">
            <v>Tal Hosh\تل حوش</v>
          </cell>
        </row>
        <row r="1806">
          <cell r="L1806" t="str">
            <v>SY040300</v>
          </cell>
          <cell r="M1806" t="str">
            <v>C2781</v>
          </cell>
          <cell r="N1806" t="str">
            <v>Tal Sarine\تل سارين</v>
          </cell>
        </row>
        <row r="1807">
          <cell r="L1807" t="str">
            <v>SY040300</v>
          </cell>
          <cell r="M1807" t="str">
            <v>C2762</v>
          </cell>
          <cell r="N1807" t="str">
            <v>Tall Kalakh\تلكلخ</v>
          </cell>
        </row>
        <row r="1808">
          <cell r="L1808" t="str">
            <v>SY040300</v>
          </cell>
          <cell r="M1808" t="str">
            <v>C2780</v>
          </cell>
          <cell r="N1808" t="str">
            <v>Western Ein Eltineh\عين التينة الغربية</v>
          </cell>
        </row>
        <row r="1809">
          <cell r="L1809" t="str">
            <v>SY040300</v>
          </cell>
          <cell r="M1809" t="str">
            <v>C2785</v>
          </cell>
          <cell r="N1809" t="str">
            <v>Wreidat\الوريدات</v>
          </cell>
        </row>
        <row r="1810">
          <cell r="L1810" t="str">
            <v>SY040300</v>
          </cell>
          <cell r="M1810" t="str">
            <v>C2777</v>
          </cell>
          <cell r="N1810" t="str">
            <v>Zara\الزارة</v>
          </cell>
        </row>
        <row r="1811">
          <cell r="L1811" t="str">
            <v>SY040300</v>
          </cell>
          <cell r="M1811" t="str">
            <v>C2772</v>
          </cell>
          <cell r="N1811" t="str">
            <v>Zenbiyeh\الزينبية</v>
          </cell>
        </row>
        <row r="1812">
          <cell r="L1812" t="str">
            <v>SY040301</v>
          </cell>
          <cell r="M1812" t="str">
            <v>C2814</v>
          </cell>
          <cell r="N1812" t="str">
            <v>Baroudiyeh\البارودية</v>
          </cell>
        </row>
        <row r="1813">
          <cell r="L1813" t="str">
            <v>SY040301</v>
          </cell>
          <cell r="M1813" t="str">
            <v>C2810</v>
          </cell>
          <cell r="N1813" t="str">
            <v>Bayun\بعيون</v>
          </cell>
        </row>
        <row r="1814">
          <cell r="L1814" t="str">
            <v>SY040301</v>
          </cell>
          <cell r="M1814" t="str">
            <v>C2811</v>
          </cell>
          <cell r="N1814" t="str">
            <v>Beznaya\بزناية</v>
          </cell>
        </row>
        <row r="1815">
          <cell r="L1815" t="str">
            <v>SY040301</v>
          </cell>
          <cell r="M1815" t="str">
            <v>C2802</v>
          </cell>
          <cell r="N1815" t="str">
            <v>Dardariyeh\دردارية</v>
          </cell>
        </row>
        <row r="1816">
          <cell r="L1816" t="str">
            <v>SY040301</v>
          </cell>
          <cell r="M1816" t="str">
            <v>C2807</v>
          </cell>
          <cell r="N1816" t="str">
            <v>Eastern Ein Eltineh\عين التينة الشرقية</v>
          </cell>
        </row>
        <row r="1817">
          <cell r="L1817" t="str">
            <v>SY040301</v>
          </cell>
          <cell r="M1817" t="str">
            <v>C2818</v>
          </cell>
          <cell r="N1817" t="str">
            <v>Eastern Msheirfeh\مشيرفة الشرقية</v>
          </cell>
        </row>
        <row r="1818">
          <cell r="L1818" t="str">
            <v>SY040301</v>
          </cell>
          <cell r="M1818" t="str">
            <v>C2812</v>
          </cell>
          <cell r="N1818" t="str">
            <v>Hadideh\حديدة</v>
          </cell>
        </row>
        <row r="1819">
          <cell r="L1819" t="str">
            <v>SY040301</v>
          </cell>
          <cell r="M1819" t="str">
            <v>C2803</v>
          </cell>
          <cell r="N1819" t="str">
            <v>Hartein\الحارتين</v>
          </cell>
        </row>
        <row r="1820">
          <cell r="L1820" t="str">
            <v>SY040301</v>
          </cell>
          <cell r="M1820" t="str">
            <v>C2805</v>
          </cell>
          <cell r="N1820" t="str">
            <v>Khansaa - Qazlakher\خنساء-قزلاخر</v>
          </cell>
        </row>
        <row r="1821">
          <cell r="L1821" t="str">
            <v>SY040301</v>
          </cell>
          <cell r="M1821" t="str">
            <v>C2800</v>
          </cell>
          <cell r="N1821" t="str">
            <v>Kherbet Elmanqaleh\خربة المنقلة</v>
          </cell>
        </row>
        <row r="1822">
          <cell r="L1822" t="str">
            <v>SY040301</v>
          </cell>
          <cell r="M1822" t="str">
            <v>C2819</v>
          </cell>
          <cell r="N1822" t="str">
            <v>Lweibdeh\لويبدة</v>
          </cell>
        </row>
        <row r="1823">
          <cell r="L1823" t="str">
            <v>SY040301</v>
          </cell>
          <cell r="M1823" t="str">
            <v>C2817</v>
          </cell>
          <cell r="N1823" t="str">
            <v>Marasiyeh\مراسية</v>
          </cell>
        </row>
        <row r="1824">
          <cell r="L1824" t="str">
            <v>SY040301</v>
          </cell>
          <cell r="M1824" t="str">
            <v>C2820</v>
          </cell>
          <cell r="N1824" t="str">
            <v>Naesiyeh\ناعسية</v>
          </cell>
        </row>
        <row r="1825">
          <cell r="L1825" t="str">
            <v>SY040301</v>
          </cell>
          <cell r="M1825" t="str">
            <v>C2799</v>
          </cell>
          <cell r="N1825" t="str">
            <v>Naura\الناعورة</v>
          </cell>
        </row>
        <row r="1826">
          <cell r="L1826" t="str">
            <v>SY040301</v>
          </cell>
          <cell r="M1826" t="str">
            <v>C2809</v>
          </cell>
          <cell r="N1826" t="str">
            <v>Rabyeh - Qoz Elkhas\الرابية-قز الخاص</v>
          </cell>
        </row>
        <row r="1827">
          <cell r="L1827" t="str">
            <v>SY040301</v>
          </cell>
          <cell r="M1827" t="str">
            <v>C2808</v>
          </cell>
          <cell r="N1827" t="str">
            <v>Rajabliyeh\رجبلية</v>
          </cell>
        </row>
        <row r="1828">
          <cell r="L1828" t="str">
            <v>SY040301</v>
          </cell>
          <cell r="M1828" t="str">
            <v>C2804</v>
          </cell>
          <cell r="N1828" t="str">
            <v>Rawdet Elwer - Alzanabil\روضة الوعر-الزنابيل</v>
          </cell>
        </row>
        <row r="1829">
          <cell r="L1829" t="str">
            <v>SY040301</v>
          </cell>
          <cell r="M1829" t="str">
            <v>C2806</v>
          </cell>
          <cell r="N1829" t="str">
            <v>Rihaniya\ريحانية</v>
          </cell>
        </row>
        <row r="1830">
          <cell r="L1830" t="str">
            <v>SY040301</v>
          </cell>
          <cell r="M1830" t="str">
            <v>C2813</v>
          </cell>
          <cell r="N1830" t="str">
            <v>Siwana\الصوانة</v>
          </cell>
        </row>
        <row r="1831">
          <cell r="L1831" t="str">
            <v>SY040301</v>
          </cell>
          <cell r="M1831" t="str">
            <v>C2816</v>
          </cell>
          <cell r="N1831" t="str">
            <v>Tal Elsafa - Tal Jardon\تل الصفا-تل جردون</v>
          </cell>
        </row>
        <row r="1832">
          <cell r="L1832" t="str">
            <v>SY040301</v>
          </cell>
          <cell r="M1832" t="str">
            <v>C2815</v>
          </cell>
          <cell r="N1832" t="str">
            <v>Um Eldawali\أم الدوالي</v>
          </cell>
        </row>
        <row r="1833">
          <cell r="L1833" t="str">
            <v>SY040301</v>
          </cell>
          <cell r="M1833" t="str">
            <v>C2801</v>
          </cell>
          <cell r="N1833" t="str">
            <v>Um Elmis\أم الميس</v>
          </cell>
        </row>
        <row r="1834">
          <cell r="L1834" t="str">
            <v>SY040301</v>
          </cell>
          <cell r="M1834" t="str">
            <v>C2798</v>
          </cell>
          <cell r="N1834" t="str">
            <v>Um Jameh\أم جامع</v>
          </cell>
        </row>
        <row r="1835">
          <cell r="L1835" t="str">
            <v>SY040303</v>
          </cell>
          <cell r="M1835" t="str">
            <v>C2830</v>
          </cell>
          <cell r="N1835" t="str">
            <v>Ammar\عمار</v>
          </cell>
        </row>
        <row r="1836">
          <cell r="L1836" t="str">
            <v>SY040303</v>
          </cell>
          <cell r="M1836" t="str">
            <v>C2822</v>
          </cell>
          <cell r="N1836" t="str">
            <v>Bahzina\بحزينا</v>
          </cell>
        </row>
        <row r="1837">
          <cell r="L1837" t="str">
            <v>SY040303</v>
          </cell>
          <cell r="M1837" t="str">
            <v>C2829</v>
          </cell>
          <cell r="N1837" t="str">
            <v>Baydar Rafie\بيدر رفيع</v>
          </cell>
        </row>
        <row r="1838">
          <cell r="L1838" t="str">
            <v>SY040303</v>
          </cell>
          <cell r="M1838" t="str">
            <v>C2831</v>
          </cell>
          <cell r="N1838" t="str">
            <v>Daghleh\دغلة</v>
          </cell>
        </row>
        <row r="1839">
          <cell r="L1839" t="str">
            <v>SY040303</v>
          </cell>
          <cell r="M1839" t="str">
            <v>C2834</v>
          </cell>
          <cell r="N1839" t="str">
            <v>Ein Elbardeh\عين الباردة</v>
          </cell>
        </row>
        <row r="1840">
          <cell r="L1840" t="str">
            <v>SY040303</v>
          </cell>
          <cell r="M1840" t="str">
            <v>C2833</v>
          </cell>
          <cell r="N1840" t="str">
            <v>Ein Elraheb\عين الراهب</v>
          </cell>
        </row>
        <row r="1841">
          <cell r="L1841" t="str">
            <v>SY040303</v>
          </cell>
          <cell r="M1841" t="str">
            <v>C2827</v>
          </cell>
          <cell r="N1841" t="str">
            <v>Habnumra\حبنمرة</v>
          </cell>
        </row>
        <row r="1842">
          <cell r="L1842" t="str">
            <v>SY040303</v>
          </cell>
          <cell r="M1842" t="str">
            <v>C2825</v>
          </cell>
          <cell r="N1842" t="str">
            <v>Jankamra\جنكمرة</v>
          </cell>
        </row>
        <row r="1843">
          <cell r="L1843" t="str">
            <v>SY040303</v>
          </cell>
          <cell r="M1843" t="str">
            <v>C2823</v>
          </cell>
          <cell r="N1843" t="str">
            <v>Jiwar Elafas\جوار العفص</v>
          </cell>
        </row>
        <row r="1844">
          <cell r="L1844" t="str">
            <v>SY040303</v>
          </cell>
          <cell r="M1844" t="str">
            <v>C2840</v>
          </cell>
          <cell r="N1844" t="str">
            <v>Kafra\كفرة</v>
          </cell>
        </row>
        <row r="1845">
          <cell r="L1845" t="str">
            <v>SY040303</v>
          </cell>
          <cell r="M1845" t="str">
            <v>C2835</v>
          </cell>
          <cell r="N1845" t="str">
            <v>Kima \كيمة</v>
          </cell>
        </row>
        <row r="1846">
          <cell r="L1846" t="str">
            <v>SY040303</v>
          </cell>
          <cell r="M1846" t="str">
            <v>C2838</v>
          </cell>
          <cell r="N1846" t="str">
            <v>Marmarita\مرمريتا</v>
          </cell>
        </row>
        <row r="1847">
          <cell r="L1847" t="str">
            <v>SY040303</v>
          </cell>
          <cell r="M1847" t="str">
            <v>C2836</v>
          </cell>
          <cell r="N1847" t="str">
            <v>Mashta Azar\مشتى عازار</v>
          </cell>
        </row>
        <row r="1848">
          <cell r="L1848" t="str">
            <v>SY040303</v>
          </cell>
          <cell r="M1848" t="str">
            <v>C2824</v>
          </cell>
          <cell r="N1848" t="str">
            <v>Mishtaya\المشتاية</v>
          </cell>
        </row>
        <row r="1849">
          <cell r="L1849" t="str">
            <v>SY040303</v>
          </cell>
          <cell r="M1849" t="str">
            <v>C2828</v>
          </cell>
          <cell r="N1849" t="str">
            <v>Nasra\الناصرة</v>
          </cell>
        </row>
        <row r="1850">
          <cell r="L1850" t="str">
            <v>SY040303</v>
          </cell>
          <cell r="M1850" t="str">
            <v>C2839</v>
          </cell>
          <cell r="N1850" t="str">
            <v>Qalatya\قلاطية</v>
          </cell>
        </row>
        <row r="1851">
          <cell r="L1851" t="str">
            <v>SY040303</v>
          </cell>
          <cell r="M1851" t="str">
            <v>C2837</v>
          </cell>
          <cell r="N1851" t="str">
            <v>Qurb Ali\قرب علي</v>
          </cell>
        </row>
        <row r="1852">
          <cell r="L1852" t="str">
            <v>SY040303</v>
          </cell>
          <cell r="M1852" t="str">
            <v>C2826</v>
          </cell>
          <cell r="N1852" t="str">
            <v>Tannurine\تنورين</v>
          </cell>
        </row>
        <row r="1853">
          <cell r="L1853" t="str">
            <v>SY040303</v>
          </cell>
          <cell r="M1853" t="str">
            <v>C2832</v>
          </cell>
          <cell r="N1853" t="str">
            <v>Zweitiniyeh\زويتينة</v>
          </cell>
        </row>
        <row r="1854">
          <cell r="L1854" t="str">
            <v>SY040304</v>
          </cell>
          <cell r="M1854" t="str">
            <v>C2852</v>
          </cell>
          <cell r="N1854" t="str">
            <v>Balat\بلاط</v>
          </cell>
        </row>
        <row r="1855">
          <cell r="L1855" t="str">
            <v>SY040304</v>
          </cell>
          <cell r="M1855" t="str">
            <v>C2850</v>
          </cell>
          <cell r="N1855" t="str">
            <v>Bsas\بساس</v>
          </cell>
        </row>
        <row r="1856">
          <cell r="L1856" t="str">
            <v>SY040304</v>
          </cell>
          <cell r="M1856" t="str">
            <v>C2845</v>
          </cell>
          <cell r="N1856" t="str">
            <v>Bsomaa\بصومع</v>
          </cell>
        </row>
        <row r="1857">
          <cell r="L1857" t="str">
            <v>SY040304</v>
          </cell>
          <cell r="M1857" t="str">
            <v>C2846</v>
          </cell>
          <cell r="N1857" t="str">
            <v>Dweir Ellin\دوير اللين</v>
          </cell>
        </row>
        <row r="1858">
          <cell r="L1858" t="str">
            <v>SY040304</v>
          </cell>
          <cell r="M1858" t="str">
            <v>C2844</v>
          </cell>
          <cell r="N1858" t="str">
            <v>Ein Elghara\عين الغارة</v>
          </cell>
        </row>
        <row r="1859">
          <cell r="L1859" t="str">
            <v>SY040304</v>
          </cell>
          <cell r="M1859" t="str">
            <v>C2847</v>
          </cell>
          <cell r="N1859" t="str">
            <v>Ennaz\عناز</v>
          </cell>
        </row>
        <row r="1860">
          <cell r="L1860" t="str">
            <v>SY040304</v>
          </cell>
          <cell r="M1860" t="str">
            <v>C2843</v>
          </cell>
          <cell r="N1860" t="str">
            <v>Esh Elshoha\عش الشوحة</v>
          </cell>
        </row>
        <row r="1861">
          <cell r="L1861" t="str">
            <v>SY040304</v>
          </cell>
          <cell r="M1861" t="str">
            <v>C2821</v>
          </cell>
          <cell r="N1861" t="str">
            <v>Haret Mahfud\حارة محفوض</v>
          </cell>
        </row>
        <row r="1862">
          <cell r="L1862" t="str">
            <v>SY040304</v>
          </cell>
          <cell r="M1862" t="str">
            <v>C2842</v>
          </cell>
          <cell r="N1862" t="str">
            <v>Hawash\الحواش</v>
          </cell>
        </row>
        <row r="1863">
          <cell r="L1863" t="str">
            <v>SY040304</v>
          </cell>
          <cell r="M1863" t="str">
            <v>C2841</v>
          </cell>
          <cell r="N1863" t="str">
            <v>Hisn\الحصن</v>
          </cell>
        </row>
        <row r="1864">
          <cell r="L1864" t="str">
            <v>SY040304</v>
          </cell>
          <cell r="M1864" t="str">
            <v>C2849</v>
          </cell>
          <cell r="N1864" t="str">
            <v>Inata\عيناتا</v>
          </cell>
        </row>
        <row r="1865">
          <cell r="L1865" t="str">
            <v>SY040304</v>
          </cell>
          <cell r="M1865" t="str">
            <v>C2853</v>
          </cell>
          <cell r="N1865" t="str">
            <v>Jwaniyat\جوانيات</v>
          </cell>
        </row>
        <row r="1866">
          <cell r="L1866" t="str">
            <v>SY040304</v>
          </cell>
          <cell r="M1866" t="str">
            <v>C2854</v>
          </cell>
          <cell r="N1866" t="str">
            <v>Maqlas\مقلس</v>
          </cell>
        </row>
        <row r="1867">
          <cell r="L1867" t="str">
            <v>SY040304</v>
          </cell>
          <cell r="M1867" t="str">
            <v>C2857</v>
          </cell>
          <cell r="N1867" t="str">
            <v>Mazraa\مزرعة</v>
          </cell>
        </row>
        <row r="1868">
          <cell r="L1868" t="str">
            <v>SY040304</v>
          </cell>
          <cell r="M1868" t="str">
            <v>C2855</v>
          </cell>
          <cell r="N1868" t="str">
            <v>Mizyeneh\مزينة</v>
          </cell>
        </row>
        <row r="1869">
          <cell r="L1869" t="str">
            <v>SY040304</v>
          </cell>
          <cell r="M1869" t="str">
            <v>C2856</v>
          </cell>
          <cell r="N1869" t="str">
            <v>Mqaabara\مقعبرة</v>
          </cell>
        </row>
        <row r="1870">
          <cell r="L1870" t="str">
            <v>SY040304</v>
          </cell>
          <cell r="M1870" t="str">
            <v>C2858</v>
          </cell>
          <cell r="N1870" t="str">
            <v>Qale Elsaqa - Ein Elmilla\قلع السقا-عين الملا</v>
          </cell>
        </row>
        <row r="1871">
          <cell r="L1871" t="str">
            <v>SY040304</v>
          </cell>
          <cell r="M1871" t="str">
            <v>C2848</v>
          </cell>
          <cell r="N1871" t="str">
            <v>Shawahed\شواهد</v>
          </cell>
        </row>
        <row r="1872">
          <cell r="L1872" t="str">
            <v>SY040304</v>
          </cell>
          <cell r="M1872" t="str">
            <v>C2851</v>
          </cell>
          <cell r="N1872" t="str">
            <v>Talleh\تلة</v>
          </cell>
        </row>
        <row r="1873">
          <cell r="L1873" t="str">
            <v>SY040400</v>
          </cell>
          <cell r="M1873" t="str">
            <v>C2866</v>
          </cell>
          <cell r="N1873" t="str">
            <v>Abu Homama\أبو همامة</v>
          </cell>
        </row>
        <row r="1874">
          <cell r="L1874" t="str">
            <v>SY040400</v>
          </cell>
          <cell r="M1874" t="str">
            <v>C2870</v>
          </cell>
          <cell r="N1874" t="str">
            <v>Ar-Rastan\الرستن</v>
          </cell>
        </row>
        <row r="1875">
          <cell r="L1875" t="str">
            <v>SY040400</v>
          </cell>
          <cell r="M1875" t="str">
            <v>C2863</v>
          </cell>
          <cell r="N1875" t="str">
            <v>Asaliyeh\عسيلة</v>
          </cell>
        </row>
        <row r="1876">
          <cell r="L1876" t="str">
            <v>SY040400</v>
          </cell>
          <cell r="M1876" t="str">
            <v>C2861</v>
          </cell>
          <cell r="N1876" t="str">
            <v>Ballan\البلان</v>
          </cell>
        </row>
        <row r="1877">
          <cell r="L1877" t="str">
            <v>SY040400</v>
          </cell>
          <cell r="M1877" t="str">
            <v>C2871</v>
          </cell>
          <cell r="N1877" t="str">
            <v>Dalfin\دلفين</v>
          </cell>
        </row>
        <row r="1878">
          <cell r="L1878" t="str">
            <v>SY040400</v>
          </cell>
          <cell r="M1878" t="str">
            <v>C2860</v>
          </cell>
          <cell r="N1878" t="str">
            <v>Ez Eldin\عز الدين</v>
          </cell>
        </row>
        <row r="1879">
          <cell r="L1879" t="str">
            <v>SY040400</v>
          </cell>
          <cell r="M1879" t="str">
            <v>C2867</v>
          </cell>
          <cell r="N1879" t="str">
            <v>Ghasbiyeh\الغاصبية</v>
          </cell>
        </row>
        <row r="1880">
          <cell r="L1880" t="str">
            <v>SY040400</v>
          </cell>
          <cell r="M1880" t="str">
            <v>C2868</v>
          </cell>
          <cell r="N1880" t="str">
            <v>Grandad\غرناطة</v>
          </cell>
        </row>
        <row r="1881">
          <cell r="L1881" t="str">
            <v>SY040400</v>
          </cell>
          <cell r="M1881" t="str">
            <v>C2869</v>
          </cell>
          <cell r="N1881" t="str">
            <v>Hmeis\الحميس</v>
          </cell>
        </row>
        <row r="1882">
          <cell r="L1882" t="str">
            <v>SY040400</v>
          </cell>
          <cell r="M1882" t="str">
            <v>C2875</v>
          </cell>
          <cell r="N1882" t="str">
            <v>Kafrnan\كفرنان</v>
          </cell>
        </row>
        <row r="1883">
          <cell r="L1883" t="str">
            <v>SY040400</v>
          </cell>
          <cell r="M1883" t="str">
            <v>C2876</v>
          </cell>
          <cell r="N1883" t="str">
            <v>Kisein\كيسين</v>
          </cell>
        </row>
        <row r="1884">
          <cell r="L1884" t="str">
            <v>SY040400</v>
          </cell>
          <cell r="M1884" t="str">
            <v>C2864</v>
          </cell>
          <cell r="N1884" t="str">
            <v>Manara\المنارة</v>
          </cell>
        </row>
        <row r="1885">
          <cell r="L1885" t="str">
            <v>SY040400</v>
          </cell>
          <cell r="M1885" t="str">
            <v>C2874</v>
          </cell>
          <cell r="N1885" t="str">
            <v>Marj Eldur\مرج الدر</v>
          </cell>
        </row>
        <row r="1886">
          <cell r="L1886" t="str">
            <v>SY040400</v>
          </cell>
          <cell r="M1886" t="str">
            <v>C2872</v>
          </cell>
          <cell r="N1886" t="str">
            <v>Qneitrat \القنيطرات</v>
          </cell>
        </row>
        <row r="1887">
          <cell r="L1887" t="str">
            <v>SY040400</v>
          </cell>
          <cell r="M1887" t="str">
            <v>C2865</v>
          </cell>
          <cell r="N1887" t="str">
            <v>Salim\سليم</v>
          </cell>
        </row>
        <row r="1888">
          <cell r="L1888" t="str">
            <v>SY040400</v>
          </cell>
          <cell r="M1888" t="str">
            <v>C2873</v>
          </cell>
          <cell r="N1888" t="str">
            <v>Tesnine\تسنين</v>
          </cell>
        </row>
        <row r="1889">
          <cell r="L1889" t="str">
            <v>SY040400</v>
          </cell>
          <cell r="M1889" t="str">
            <v>C2862</v>
          </cell>
          <cell r="N1889" t="str">
            <v>Wazeiyeh\الوازعية</v>
          </cell>
        </row>
        <row r="1890">
          <cell r="L1890" t="str">
            <v>SY040400</v>
          </cell>
          <cell r="M1890" t="str">
            <v>C2859</v>
          </cell>
          <cell r="N1890" t="str">
            <v>Zmeimer\زميمير</v>
          </cell>
        </row>
        <row r="1891">
          <cell r="L1891" t="str">
            <v>SY040401</v>
          </cell>
          <cell r="M1891" t="str">
            <v>C2878</v>
          </cell>
          <cell r="N1891" t="str">
            <v>Deir Fool\دير فول</v>
          </cell>
        </row>
        <row r="1892">
          <cell r="L1892" t="str">
            <v>SY040401</v>
          </cell>
          <cell r="M1892" t="str">
            <v>C2887</v>
          </cell>
          <cell r="N1892" t="str">
            <v>Farhaniyeh\الفرحانية</v>
          </cell>
        </row>
        <row r="1893">
          <cell r="L1893" t="str">
            <v>SY040401</v>
          </cell>
          <cell r="M1893" t="str">
            <v>C2885</v>
          </cell>
          <cell r="N1893" t="str">
            <v>Ghanto\الغنطو</v>
          </cell>
        </row>
        <row r="1894">
          <cell r="L1894" t="str">
            <v>SY040401</v>
          </cell>
          <cell r="M1894" t="str">
            <v>C2877</v>
          </cell>
          <cell r="N1894" t="str">
            <v>Hashemiyeh\الهاشمية</v>
          </cell>
        </row>
        <row r="1895">
          <cell r="L1895" t="str">
            <v>SY040401</v>
          </cell>
          <cell r="M1895" t="str">
            <v>C2879</v>
          </cell>
          <cell r="N1895" t="str">
            <v>Makrumiyeh\المكرمية</v>
          </cell>
        </row>
        <row r="1896">
          <cell r="L1896" t="str">
            <v>SY040401</v>
          </cell>
          <cell r="M1896" t="str">
            <v>C2884</v>
          </cell>
          <cell r="N1896" t="str">
            <v>Qanniyeh\القنية</v>
          </cell>
        </row>
        <row r="1897">
          <cell r="L1897" t="str">
            <v>SY040401</v>
          </cell>
          <cell r="M1897" t="str">
            <v>C2881</v>
          </cell>
          <cell r="N1897" t="str">
            <v>Saan Elosud\سعن الاسود</v>
          </cell>
        </row>
        <row r="1898">
          <cell r="L1898" t="str">
            <v>SY040401</v>
          </cell>
          <cell r="M1898" t="str">
            <v>C2886</v>
          </cell>
          <cell r="N1898" t="str">
            <v>Shabaaniyeh\الشبعانية</v>
          </cell>
        </row>
        <row r="1899">
          <cell r="L1899" t="str">
            <v>SY040401</v>
          </cell>
          <cell r="M1899" t="str">
            <v>C2880</v>
          </cell>
          <cell r="N1899" t="str">
            <v>Tal Jyorine\تل جيورين</v>
          </cell>
        </row>
        <row r="1900">
          <cell r="L1900" t="str">
            <v>SY040401</v>
          </cell>
          <cell r="M1900" t="str">
            <v>C2882</v>
          </cell>
          <cell r="N1900" t="str">
            <v>Talbiseh\تلبيسة</v>
          </cell>
        </row>
        <row r="1901">
          <cell r="L1901" t="str">
            <v>SY040401</v>
          </cell>
          <cell r="M1901" t="str">
            <v>C2883</v>
          </cell>
          <cell r="N1901" t="str">
            <v>Um Sharshouh\أم شرشوح</v>
          </cell>
        </row>
        <row r="1902">
          <cell r="L1902" t="str">
            <v>SY040401</v>
          </cell>
          <cell r="M1902" t="str">
            <v>C2888</v>
          </cell>
          <cell r="N1902" t="str">
            <v>Zafaraniya\الزعفرانية</v>
          </cell>
        </row>
        <row r="1903">
          <cell r="L1903" t="str">
            <v>SY040500</v>
          </cell>
          <cell r="M1903" t="str">
            <v>C2891</v>
          </cell>
          <cell r="N1903" t="str">
            <v>Alianiyeh\العليانية</v>
          </cell>
        </row>
        <row r="1904">
          <cell r="L1904" t="str">
            <v>SY040500</v>
          </cell>
          <cell r="M1904" t="str">
            <v>C2890</v>
          </cell>
          <cell r="N1904" t="str">
            <v>Arak\آراك</v>
          </cell>
        </row>
        <row r="1905">
          <cell r="L1905" t="str">
            <v>SY040500</v>
          </cell>
          <cell r="M1905" t="str">
            <v>C2889</v>
          </cell>
          <cell r="N1905" t="str">
            <v>Tadmor\تدمر</v>
          </cell>
        </row>
        <row r="1906">
          <cell r="L1906" t="str">
            <v>SY040501</v>
          </cell>
          <cell r="M1906" t="str">
            <v>C2898</v>
          </cell>
          <cell r="N1906" t="str">
            <v>Karim\كريم</v>
          </cell>
        </row>
        <row r="1907">
          <cell r="L1907" t="str">
            <v>SY040501</v>
          </cell>
          <cell r="M1907" t="str">
            <v>C2895</v>
          </cell>
          <cell r="N1907" t="str">
            <v>Kdir\الكدير</v>
          </cell>
        </row>
        <row r="1908">
          <cell r="L1908" t="str">
            <v>SY040501</v>
          </cell>
          <cell r="M1908" t="str">
            <v>C2894</v>
          </cell>
          <cell r="N1908" t="str">
            <v>Kum\الكوم</v>
          </cell>
        </row>
        <row r="1909">
          <cell r="L1909" t="str">
            <v>SY040501</v>
          </cell>
          <cell r="M1909" t="str">
            <v>C2893</v>
          </cell>
          <cell r="N1909" t="str">
            <v>Sokhneh\السخنة</v>
          </cell>
        </row>
        <row r="1910">
          <cell r="L1910" t="str">
            <v>SY040501</v>
          </cell>
          <cell r="M1910" t="str">
            <v>C2896</v>
          </cell>
          <cell r="N1910" t="str">
            <v>Tiba\الطيبة</v>
          </cell>
        </row>
        <row r="1911">
          <cell r="L1911" t="str">
            <v>SY040501</v>
          </cell>
          <cell r="M1911" t="str">
            <v>C2892</v>
          </cell>
          <cell r="N1911" t="str">
            <v>Tweinat\التوينات</v>
          </cell>
        </row>
        <row r="1912">
          <cell r="L1912" t="str">
            <v>SY040600</v>
          </cell>
          <cell r="M1912" t="str">
            <v>C2922</v>
          </cell>
          <cell r="N1912" t="str">
            <v>Abu Khashbeh\أبو خشبة</v>
          </cell>
        </row>
        <row r="1913">
          <cell r="L1913" t="str">
            <v>SY040600</v>
          </cell>
          <cell r="M1913" t="str">
            <v>C2902</v>
          </cell>
          <cell r="N1913" t="str">
            <v>Bab Elhawa\باب الهوى</v>
          </cell>
        </row>
        <row r="1914">
          <cell r="L1914" t="str">
            <v>SY040600</v>
          </cell>
          <cell r="M1914" t="str">
            <v>C2899</v>
          </cell>
          <cell r="N1914" t="str">
            <v>Batma\البطمة</v>
          </cell>
        </row>
        <row r="1915">
          <cell r="L1915" t="str">
            <v>SY040600</v>
          </cell>
          <cell r="M1915" t="str">
            <v>C2923</v>
          </cell>
          <cell r="N1915" t="str">
            <v>Bweidet Rihaniya\بويضة ريحانية</v>
          </cell>
        </row>
        <row r="1916">
          <cell r="L1916" t="str">
            <v>SY040600</v>
          </cell>
          <cell r="M1916" t="str">
            <v>C2924</v>
          </cell>
          <cell r="N1916" t="str">
            <v>Bweidet Salimeh\بويضة سلمية</v>
          </cell>
        </row>
        <row r="1917">
          <cell r="L1917" t="str">
            <v>SY040600</v>
          </cell>
          <cell r="M1917" t="str">
            <v>C2909</v>
          </cell>
          <cell r="N1917" t="str">
            <v>Hamudiyeh\الحمودية</v>
          </cell>
        </row>
        <row r="1918">
          <cell r="L1918" t="str">
            <v>SY040600</v>
          </cell>
          <cell r="M1918" t="str">
            <v>C2911</v>
          </cell>
          <cell r="N1918" t="str">
            <v>Hraki\الحراكي</v>
          </cell>
        </row>
        <row r="1919">
          <cell r="L1919" t="str">
            <v>SY040600</v>
          </cell>
          <cell r="M1919" t="str">
            <v>C2910</v>
          </cell>
          <cell r="N1919" t="str">
            <v>Jamaliyeh\الجمالية</v>
          </cell>
        </row>
        <row r="1920">
          <cell r="L1920" t="str">
            <v>SY040600</v>
          </cell>
          <cell r="M1920" t="str">
            <v>C2926</v>
          </cell>
          <cell r="N1920" t="str">
            <v>Jeb Abbas\جب عباس</v>
          </cell>
        </row>
        <row r="1921">
          <cell r="L1921" t="str">
            <v>SY040600</v>
          </cell>
          <cell r="M1921" t="str">
            <v>C2904</v>
          </cell>
          <cell r="N1921" t="str">
            <v>Jneinat\الجنينات</v>
          </cell>
        </row>
        <row r="1922">
          <cell r="L1922" t="str">
            <v>SY040600</v>
          </cell>
          <cell r="M1922" t="str">
            <v>C2917</v>
          </cell>
          <cell r="N1922" t="str">
            <v>Khilfah\خلفة</v>
          </cell>
        </row>
        <row r="1923">
          <cell r="L1923" t="str">
            <v>SY040600</v>
          </cell>
          <cell r="M1923" t="str">
            <v>C2927</v>
          </cell>
          <cell r="N1923" t="str">
            <v>Lower Makhram\مخرم التحتاني</v>
          </cell>
        </row>
        <row r="1924">
          <cell r="L1924" t="str">
            <v>SY040600</v>
          </cell>
          <cell r="M1924" t="str">
            <v>C2928</v>
          </cell>
          <cell r="N1924" t="str">
            <v>Nawa \نوى</v>
          </cell>
        </row>
        <row r="1925">
          <cell r="L1925" t="str">
            <v>SY040600</v>
          </cell>
          <cell r="M1925" t="str">
            <v>C2925</v>
          </cell>
          <cell r="N1925" t="str">
            <v>Norhern Abu Hakfa \أبو حكفة الشمالي</v>
          </cell>
        </row>
        <row r="1926">
          <cell r="L1926" t="str">
            <v>SY040600</v>
          </cell>
          <cell r="M1926" t="str">
            <v>C2906</v>
          </cell>
          <cell r="N1926" t="str">
            <v>Nothern Um Elsarj\أم السرج الشمالي</v>
          </cell>
        </row>
        <row r="1927">
          <cell r="L1927" t="str">
            <v>SY040600</v>
          </cell>
          <cell r="M1927" t="str">
            <v>C2912</v>
          </cell>
          <cell r="N1927" t="str">
            <v>Othmaniya\العثمانية</v>
          </cell>
        </row>
        <row r="1928">
          <cell r="L1928" t="str">
            <v>SY040600</v>
          </cell>
          <cell r="M1928" t="str">
            <v>C2914</v>
          </cell>
          <cell r="N1928" t="str">
            <v>Sankari\السنكري</v>
          </cell>
        </row>
        <row r="1929">
          <cell r="L1929" t="str">
            <v>SY040600</v>
          </cell>
          <cell r="M1929" t="str">
            <v>C2903</v>
          </cell>
          <cell r="N1929" t="str">
            <v>Shoketliyeh\شوكتلية</v>
          </cell>
        </row>
        <row r="1930">
          <cell r="L1930" t="str">
            <v>SY040600</v>
          </cell>
          <cell r="M1930" t="str">
            <v>C2921</v>
          </cell>
          <cell r="N1930" t="str">
            <v>Southern Abu Hakfa \أبو حكفة الجنوبي</v>
          </cell>
        </row>
        <row r="1931">
          <cell r="L1931" t="str">
            <v>SY040600</v>
          </cell>
          <cell r="M1931" t="str">
            <v>C2920</v>
          </cell>
          <cell r="N1931" t="str">
            <v>Tal Elaghar\تل الاغر</v>
          </cell>
        </row>
        <row r="1932">
          <cell r="L1932" t="str">
            <v>SY040600</v>
          </cell>
          <cell r="M1932" t="str">
            <v>C2916</v>
          </cell>
          <cell r="N1932" t="str">
            <v>Tal Elward\تل الورد</v>
          </cell>
        </row>
        <row r="1933">
          <cell r="L1933" t="str">
            <v>SY040600</v>
          </cell>
          <cell r="M1933" t="str">
            <v>C2908</v>
          </cell>
          <cell r="N1933" t="str">
            <v>Tal Shnan\تل شنان</v>
          </cell>
        </row>
        <row r="1934">
          <cell r="L1934" t="str">
            <v>SY040600</v>
          </cell>
          <cell r="M1934" t="str">
            <v>C2913</v>
          </cell>
          <cell r="N1934" t="str">
            <v>Um Dali\أم دالي</v>
          </cell>
        </row>
        <row r="1935">
          <cell r="L1935" t="str">
            <v>SY040600</v>
          </cell>
          <cell r="M1935" t="str">
            <v>C2915</v>
          </cell>
          <cell r="N1935" t="str">
            <v>Um Elamad\أم العمد</v>
          </cell>
        </row>
        <row r="1936">
          <cell r="L1936" t="str">
            <v>SY040600</v>
          </cell>
          <cell r="M1936" t="str">
            <v>C2907</v>
          </cell>
          <cell r="N1936" t="str">
            <v>Um Elsarj Elqabli\أم السرج القبلي</v>
          </cell>
        </row>
        <row r="1937">
          <cell r="L1937" t="str">
            <v>SY040600</v>
          </cell>
          <cell r="M1937" t="str">
            <v>C2919</v>
          </cell>
          <cell r="N1937" t="str">
            <v>Um Jameh\أم جامع</v>
          </cell>
        </row>
        <row r="1938">
          <cell r="L1938" t="str">
            <v>SY040600</v>
          </cell>
          <cell r="M1938" t="str">
            <v>C2918</v>
          </cell>
          <cell r="N1938" t="str">
            <v>Um Jbab\أم جباب</v>
          </cell>
        </row>
        <row r="1939">
          <cell r="L1939" t="str">
            <v>SY040600</v>
          </cell>
          <cell r="M1939" t="str">
            <v>C2900</v>
          </cell>
          <cell r="N1939" t="str">
            <v>Un Tin - Um Tweini\ام التين-ام تويني</v>
          </cell>
        </row>
        <row r="1940">
          <cell r="L1940" t="str">
            <v>SY040600</v>
          </cell>
          <cell r="M1940" t="str">
            <v>C2901</v>
          </cell>
          <cell r="N1940" t="str">
            <v>Upper Makhrim\المخرم الفوقاني</v>
          </cell>
        </row>
        <row r="1941">
          <cell r="L1941" t="str">
            <v>SY040601</v>
          </cell>
          <cell r="M1941" t="str">
            <v>C2939</v>
          </cell>
          <cell r="N1941" t="str">
            <v>Abu Qatur\أبو قاطور</v>
          </cell>
        </row>
        <row r="1942">
          <cell r="L1942" t="str">
            <v>SY040601</v>
          </cell>
          <cell r="M1942" t="str">
            <v>C2905</v>
          </cell>
          <cell r="N1942" t="str">
            <v>Abul Alaya\أبو العلايا</v>
          </cell>
        </row>
        <row r="1943">
          <cell r="L1943" t="str">
            <v>SY040601</v>
          </cell>
          <cell r="M1943" t="str">
            <v>C2945</v>
          </cell>
          <cell r="N1943" t="str">
            <v>Arida - Khatamlo\العريضة-خطملو</v>
          </cell>
        </row>
        <row r="1944">
          <cell r="L1944" t="str">
            <v>SY040601</v>
          </cell>
          <cell r="M1944" t="str">
            <v>C2930</v>
          </cell>
          <cell r="N1944" t="str">
            <v>Asmad\اصمد</v>
          </cell>
        </row>
        <row r="1945">
          <cell r="L1945" t="str">
            <v>SY040601</v>
          </cell>
          <cell r="M1945" t="str">
            <v>C2929</v>
          </cell>
          <cell r="N1945" t="str">
            <v>Eastern Ashrafiyeh - Eastern Dweir \الاشرفية الشرقية-دويعر الشرقي</v>
          </cell>
        </row>
        <row r="1946">
          <cell r="L1946" t="str">
            <v>SY040601</v>
          </cell>
          <cell r="M1946" t="str">
            <v>C2957</v>
          </cell>
          <cell r="N1946" t="str">
            <v>Eastern Habra\هبرة شرقية</v>
          </cell>
        </row>
        <row r="1947">
          <cell r="L1947" t="str">
            <v>SY040601</v>
          </cell>
          <cell r="M1947" t="str">
            <v>C2948</v>
          </cell>
          <cell r="N1947" t="str">
            <v>Eastern Salam\سلام شرقي</v>
          </cell>
        </row>
        <row r="1948">
          <cell r="L1948" t="str">
            <v>SY040601</v>
          </cell>
          <cell r="M1948" t="str">
            <v>C2935</v>
          </cell>
          <cell r="N1948" t="str">
            <v>Eliyet Elalyan - Eliyet Elomyan\علية العليان-علية العميان</v>
          </cell>
        </row>
        <row r="1949">
          <cell r="L1949" t="str">
            <v>SY040601</v>
          </cell>
          <cell r="M1949" t="str">
            <v>C2944</v>
          </cell>
          <cell r="N1949" t="str">
            <v>Ghazla - Ghazileh\غزالة-غزيلة</v>
          </cell>
        </row>
        <row r="1950">
          <cell r="L1950" t="str">
            <v>SY040601</v>
          </cell>
          <cell r="M1950" t="str">
            <v>C2937</v>
          </cell>
          <cell r="N1950" t="str">
            <v>Hweisis\حويسيس</v>
          </cell>
        </row>
        <row r="1951">
          <cell r="L1951" t="str">
            <v>SY040601</v>
          </cell>
          <cell r="M1951" t="str">
            <v>C2947</v>
          </cell>
          <cell r="N1951" t="str">
            <v>Jeb Ej-Jarrah\جب الجراح</v>
          </cell>
        </row>
        <row r="1952">
          <cell r="L1952" t="str">
            <v>SY040601</v>
          </cell>
          <cell r="M1952" t="str">
            <v>C2954</v>
          </cell>
          <cell r="N1952" t="str">
            <v>Maksar Elhisan\مكسر الحصان</v>
          </cell>
        </row>
        <row r="1953">
          <cell r="L1953" t="str">
            <v>SY040601</v>
          </cell>
          <cell r="M1953" t="str">
            <v>C2952</v>
          </cell>
          <cell r="N1953" t="str">
            <v>Masaada\مسعدة</v>
          </cell>
        </row>
        <row r="1954">
          <cell r="L1954" t="str">
            <v>SY040601</v>
          </cell>
          <cell r="M1954" t="str">
            <v>C2950</v>
          </cell>
          <cell r="N1954" t="str">
            <v>Masudiyeh\مسعودية</v>
          </cell>
        </row>
        <row r="1955">
          <cell r="L1955" t="str">
            <v>SY040601</v>
          </cell>
          <cell r="M1955" t="str">
            <v>C2951</v>
          </cell>
          <cell r="N1955" t="str">
            <v>Mintar Elabal\منطار العبل</v>
          </cell>
        </row>
        <row r="1956">
          <cell r="L1956" t="str">
            <v>SY040601</v>
          </cell>
          <cell r="M1956" t="str">
            <v>C2956</v>
          </cell>
          <cell r="N1956" t="str">
            <v>Mizyen Elbaqar\مزين البقر</v>
          </cell>
        </row>
        <row r="1957">
          <cell r="L1957" t="str">
            <v>SY040601</v>
          </cell>
          <cell r="M1957" t="str">
            <v>C2955</v>
          </cell>
          <cell r="N1957" t="str">
            <v>Mqeizel\مقيزل</v>
          </cell>
        </row>
        <row r="1958">
          <cell r="L1958" t="str">
            <v>SY040601</v>
          </cell>
          <cell r="M1958" t="str">
            <v>C2949</v>
          </cell>
          <cell r="N1958" t="str">
            <v>Msheirfeh Qabliyeh\مشيرفة قبلية</v>
          </cell>
        </row>
        <row r="1959">
          <cell r="L1959" t="str">
            <v>SY040601</v>
          </cell>
          <cell r="M1959" t="str">
            <v>C2942</v>
          </cell>
          <cell r="N1959" t="str">
            <v>Northern Um Tweini \ام تويني شمالية</v>
          </cell>
        </row>
        <row r="1960">
          <cell r="L1960" t="str">
            <v>SY040601</v>
          </cell>
          <cell r="M1960" t="str">
            <v>C2932</v>
          </cell>
          <cell r="N1960" t="str">
            <v>Rahum\رحوم</v>
          </cell>
        </row>
        <row r="1961">
          <cell r="L1961" t="str">
            <v>SY040601</v>
          </cell>
          <cell r="M1961" t="str">
            <v>C2936</v>
          </cell>
          <cell r="N1961" t="str">
            <v>Rasm Eltawil\رسم الطويل</v>
          </cell>
        </row>
        <row r="1962">
          <cell r="L1962" t="str">
            <v>SY040601</v>
          </cell>
          <cell r="M1962" t="str">
            <v>C2940</v>
          </cell>
          <cell r="N1962" t="str">
            <v>Rasm Hamideh\رسم حميدة</v>
          </cell>
        </row>
        <row r="1963">
          <cell r="L1963" t="str">
            <v>SY040601</v>
          </cell>
          <cell r="M1963" t="str">
            <v>C2943</v>
          </cell>
          <cell r="N1963" t="str">
            <v>Shiha\شيحة</v>
          </cell>
        </row>
        <row r="1964">
          <cell r="L1964" t="str">
            <v>SY040601</v>
          </cell>
          <cell r="M1964" t="str">
            <v>C2933</v>
          </cell>
          <cell r="N1964" t="str">
            <v>Talaqta\تلقطا</v>
          </cell>
        </row>
        <row r="1965">
          <cell r="L1965" t="str">
            <v>SY040601</v>
          </cell>
          <cell r="M1965" t="str">
            <v>C2946</v>
          </cell>
          <cell r="N1965" t="str">
            <v>Tarfawi\طرفاوي</v>
          </cell>
        </row>
        <row r="1966">
          <cell r="L1966" t="str">
            <v>SY040601</v>
          </cell>
          <cell r="M1966" t="str">
            <v>C2941</v>
          </cell>
          <cell r="N1966" t="str">
            <v>Tawil\طويل</v>
          </cell>
        </row>
        <row r="1967">
          <cell r="L1967" t="str">
            <v>SY040601</v>
          </cell>
          <cell r="M1967" t="str">
            <v>C2934</v>
          </cell>
          <cell r="N1967" t="str">
            <v>Teladi\تلعداي</v>
          </cell>
        </row>
        <row r="1968">
          <cell r="L1968" t="str">
            <v>SY040601</v>
          </cell>
          <cell r="M1968" t="str">
            <v>C2938</v>
          </cell>
          <cell r="N1968" t="str">
            <v>Um Elrif - Elrish\أم الريف-الريش</v>
          </cell>
        </row>
        <row r="1969">
          <cell r="L1969" t="str">
            <v>SY040601</v>
          </cell>
          <cell r="M1969" t="str">
            <v>C2931</v>
          </cell>
          <cell r="N1969" t="str">
            <v>Western Ashrafiyeh - Western Dweir\الاشرفية الغربية_دويعر الغربي</v>
          </cell>
        </row>
        <row r="1970">
          <cell r="L1970" t="str">
            <v>SY040601</v>
          </cell>
          <cell r="M1970" t="str">
            <v>C2953</v>
          </cell>
          <cell r="N1970" t="str">
            <v>Western Habra\هبرة غربية</v>
          </cell>
        </row>
        <row r="1971">
          <cell r="L1971" t="str">
            <v>SY050100</v>
          </cell>
          <cell r="M1971" t="str">
            <v>C2989</v>
          </cell>
          <cell r="N1971" t="str">
            <v>Absirin\أبسيرين</v>
          </cell>
        </row>
        <row r="1972">
          <cell r="L1972" t="str">
            <v>SY050100</v>
          </cell>
          <cell r="M1972" t="str">
            <v>C2990</v>
          </cell>
          <cell r="N1972" t="str">
            <v>Abu Dorra\أبو دردة</v>
          </cell>
        </row>
        <row r="1973">
          <cell r="L1973" t="str">
            <v>SY050100</v>
          </cell>
          <cell r="M1973" t="str">
            <v>C2978</v>
          </cell>
          <cell r="N1973" t="str">
            <v>Abu Mansaf\أبو منسف</v>
          </cell>
        </row>
        <row r="1974">
          <cell r="L1974" t="str">
            <v>SY050100</v>
          </cell>
          <cell r="M1974" t="str">
            <v>C2982</v>
          </cell>
          <cell r="N1974" t="str">
            <v>Adabas\عدبس</v>
          </cell>
        </row>
        <row r="1975">
          <cell r="L1975" t="str">
            <v>SY050100</v>
          </cell>
          <cell r="M1975" t="str">
            <v>C2988</v>
          </cell>
          <cell r="N1975" t="str">
            <v>Alamein\العلمين</v>
          </cell>
        </row>
        <row r="1976">
          <cell r="L1976" t="str">
            <v>SY050100</v>
          </cell>
          <cell r="M1976" t="str">
            <v>C2997</v>
          </cell>
          <cell r="N1976" t="str">
            <v>Amara Aslan\عمارة أصلان</v>
          </cell>
        </row>
        <row r="1977">
          <cell r="L1977" t="str">
            <v>SY050100</v>
          </cell>
          <cell r="M1977" t="str">
            <v>C2962</v>
          </cell>
          <cell r="N1977" t="str">
            <v>Arzet Eldabaa\أرزة_الضبعة</v>
          </cell>
        </row>
        <row r="1978">
          <cell r="L1978" t="str">
            <v>SY050100</v>
          </cell>
          <cell r="M1978" t="str">
            <v>C2992</v>
          </cell>
          <cell r="N1978" t="str">
            <v>Ayo\أيو</v>
          </cell>
        </row>
        <row r="1979">
          <cell r="L1979" t="str">
            <v>SY050100</v>
          </cell>
          <cell r="M1979" t="str">
            <v>C3002</v>
          </cell>
          <cell r="N1979" t="str">
            <v>Bahra\البحرة</v>
          </cell>
        </row>
        <row r="1980">
          <cell r="L1980" t="str">
            <v>SY050100</v>
          </cell>
          <cell r="M1980" t="str">
            <v>C2981</v>
          </cell>
          <cell r="N1980" t="str">
            <v>Barraq\البراق</v>
          </cell>
        </row>
        <row r="1981">
          <cell r="L1981" t="str">
            <v>SY050100</v>
          </cell>
          <cell r="M1981" t="str">
            <v>C2963</v>
          </cell>
          <cell r="N1981" t="str">
            <v>Bayad\البياض</v>
          </cell>
        </row>
        <row r="1982">
          <cell r="L1982" t="str">
            <v>SY050100</v>
          </cell>
          <cell r="M1982" t="str">
            <v>C2994</v>
          </cell>
          <cell r="N1982" t="str">
            <v>Dmeineh\الدمينة</v>
          </cell>
        </row>
        <row r="1983">
          <cell r="L1983" t="str">
            <v>SY050100</v>
          </cell>
          <cell r="M1983" t="str">
            <v>C2984</v>
          </cell>
          <cell r="N1983" t="str">
            <v>Eastern Sweida\السويدة الشرقية</v>
          </cell>
        </row>
        <row r="1984">
          <cell r="L1984" t="str">
            <v>SY050100</v>
          </cell>
          <cell r="M1984" t="str">
            <v>C3010</v>
          </cell>
          <cell r="N1984" t="str">
            <v>Ghor Elasi\غور العاصي</v>
          </cell>
        </row>
        <row r="1985">
          <cell r="L1985" t="str">
            <v>SY050100</v>
          </cell>
          <cell r="M1985" t="str">
            <v>C2987</v>
          </cell>
          <cell r="N1985" t="str">
            <v>Hama\حماة</v>
          </cell>
        </row>
        <row r="1986">
          <cell r="L1986" t="str">
            <v>SY050100</v>
          </cell>
          <cell r="M1986" t="str">
            <v>C2966</v>
          </cell>
          <cell r="N1986" t="str">
            <v>Hashemiyeh\الهاشمية</v>
          </cell>
        </row>
        <row r="1987">
          <cell r="L1987" t="str">
            <v>SY050100</v>
          </cell>
          <cell r="M1987" t="str">
            <v>C3001</v>
          </cell>
          <cell r="N1987" t="str">
            <v>Hawayes Un Jern\حوايس أم جرن</v>
          </cell>
        </row>
        <row r="1988">
          <cell r="L1988" t="str">
            <v>SY050100</v>
          </cell>
          <cell r="M1988" t="str">
            <v>C2971</v>
          </cell>
          <cell r="N1988" t="str">
            <v>Hawir Elsalib\حوير الصليب</v>
          </cell>
        </row>
        <row r="1989">
          <cell r="L1989" t="str">
            <v>SY050100</v>
          </cell>
          <cell r="M1989" t="str">
            <v>C2965</v>
          </cell>
          <cell r="N1989" t="str">
            <v>Jahiyeh\الجاجية</v>
          </cell>
        </row>
        <row r="1990">
          <cell r="L1990" t="str">
            <v>SY050100</v>
          </cell>
          <cell r="M1990" t="str">
            <v>C2970</v>
          </cell>
          <cell r="N1990" t="str">
            <v>Jarajara\جرجرة</v>
          </cell>
        </row>
        <row r="1991">
          <cell r="L1991" t="str">
            <v>SY050100</v>
          </cell>
          <cell r="M1991" t="str">
            <v>C2972</v>
          </cell>
          <cell r="N1991" t="str">
            <v>Jinan\الجنان</v>
          </cell>
        </row>
        <row r="1992">
          <cell r="L1992" t="str">
            <v>SY050100</v>
          </cell>
          <cell r="M1992" t="str">
            <v>C2969</v>
          </cell>
          <cell r="N1992" t="str">
            <v>Jirbeen\جبرين</v>
          </cell>
        </row>
        <row r="1993">
          <cell r="L1993" t="str">
            <v>SY050100</v>
          </cell>
          <cell r="M1993" t="str">
            <v>C2986</v>
          </cell>
          <cell r="N1993" t="str">
            <v>Jomaqliyeh\الجومقلية</v>
          </cell>
        </row>
        <row r="1994">
          <cell r="L1994" t="str">
            <v>SY050100</v>
          </cell>
          <cell r="M1994" t="str">
            <v>C2968</v>
          </cell>
          <cell r="N1994" t="str">
            <v>Joziyeh - Jerniyeh\الجوزية_الجرنية</v>
          </cell>
        </row>
        <row r="1995">
          <cell r="L1995" t="str">
            <v>SY050100</v>
          </cell>
          <cell r="M1995" t="str">
            <v>C3013</v>
          </cell>
          <cell r="N1995" t="str">
            <v>Kafr Bihem\كفر بهم</v>
          </cell>
        </row>
        <row r="1996">
          <cell r="L1996" t="str">
            <v>SY050100</v>
          </cell>
          <cell r="M1996" t="str">
            <v>C3012</v>
          </cell>
          <cell r="N1996" t="str">
            <v>Kafr Eltoon\كفر الطون</v>
          </cell>
        </row>
        <row r="1997">
          <cell r="L1997" t="str">
            <v>SY050100</v>
          </cell>
          <cell r="M1997" t="str">
            <v>C3004</v>
          </cell>
          <cell r="N1997" t="str">
            <v>Kafr Omeim\كفر عميم</v>
          </cell>
        </row>
        <row r="1998">
          <cell r="L1998" t="str">
            <v>SY050100</v>
          </cell>
          <cell r="M1998" t="str">
            <v>C3005</v>
          </cell>
          <cell r="N1998" t="str">
            <v>Kafraa\كفراع</v>
          </cell>
        </row>
        <row r="1999">
          <cell r="L1999" t="str">
            <v>SY050100</v>
          </cell>
          <cell r="M1999" t="str">
            <v>C2999</v>
          </cell>
          <cell r="N1999" t="str">
            <v>Kalidiyeh\الخالدية</v>
          </cell>
        </row>
        <row r="2000">
          <cell r="L2000" t="str">
            <v>SY050100</v>
          </cell>
          <cell r="M2000" t="str">
            <v>C3016</v>
          </cell>
          <cell r="N2000" t="str">
            <v>Kasun Eljabal\كاسون الجبل</v>
          </cell>
        </row>
        <row r="2001">
          <cell r="L2001" t="str">
            <v>SY050100</v>
          </cell>
          <cell r="M2001" t="str">
            <v>C2959</v>
          </cell>
          <cell r="N2001" t="str">
            <v>Khala\الخلا</v>
          </cell>
        </row>
        <row r="2002">
          <cell r="L2002" t="str">
            <v>SY050100</v>
          </cell>
          <cell r="M2002" t="str">
            <v>C2991</v>
          </cell>
          <cell r="N2002" t="str">
            <v>Khattab\خطاب</v>
          </cell>
        </row>
        <row r="2003">
          <cell r="L2003" t="str">
            <v>SY050100</v>
          </cell>
          <cell r="M2003" t="str">
            <v>C3009</v>
          </cell>
          <cell r="N2003" t="str">
            <v>Maar Daftein\معردفتين</v>
          </cell>
        </row>
        <row r="2004">
          <cell r="L2004" t="str">
            <v>SY050100</v>
          </cell>
          <cell r="M2004" t="str">
            <v>C3003</v>
          </cell>
          <cell r="N2004" t="str">
            <v>Maar Shohur\معر شحور</v>
          </cell>
        </row>
        <row r="2005">
          <cell r="L2005" t="str">
            <v>SY050100</v>
          </cell>
          <cell r="M2005" t="str">
            <v>C3011</v>
          </cell>
          <cell r="N2005" t="str">
            <v>Maarin\معرين</v>
          </cell>
        </row>
        <row r="2006">
          <cell r="L2006" t="str">
            <v>SY050100</v>
          </cell>
          <cell r="M2006" t="str">
            <v>C2967</v>
          </cell>
          <cell r="N2006" t="str">
            <v>Mabtan\المبطن</v>
          </cell>
        </row>
        <row r="2007">
          <cell r="L2007" t="str">
            <v>SY050100</v>
          </cell>
          <cell r="M2007" t="str">
            <v>C3014</v>
          </cell>
          <cell r="N2007" t="str">
            <v>Madbaa\مضبعة</v>
          </cell>
        </row>
        <row r="2008">
          <cell r="L2008" t="str">
            <v>SY050100</v>
          </cell>
          <cell r="M2008" t="str">
            <v>C3007</v>
          </cell>
          <cell r="N2008" t="str">
            <v>Maqtaa Elhajar\مقطع الحجر</v>
          </cell>
        </row>
        <row r="2009">
          <cell r="L2009" t="str">
            <v>SY050100</v>
          </cell>
          <cell r="M2009" t="str">
            <v>C3015</v>
          </cell>
          <cell r="N2009" t="str">
            <v>Matnin\متنين</v>
          </cell>
        </row>
        <row r="2010">
          <cell r="L2010" t="str">
            <v>SY050100</v>
          </cell>
          <cell r="M2010" t="str">
            <v>C2958</v>
          </cell>
          <cell r="N2010" t="str">
            <v>Mbarkat\المباركات</v>
          </cell>
        </row>
        <row r="2011">
          <cell r="L2011" t="str">
            <v>SY050100</v>
          </cell>
          <cell r="M2011" t="str">
            <v>C3008</v>
          </cell>
          <cell r="N2011" t="str">
            <v>Qamhana\قمحانة</v>
          </cell>
        </row>
        <row r="2012">
          <cell r="L2012" t="str">
            <v>SY050100</v>
          </cell>
          <cell r="M2012" t="str">
            <v>C3006</v>
          </cell>
          <cell r="N2012" t="str">
            <v>Qbeibat Elasi\قبيبات العاصي</v>
          </cell>
        </row>
        <row r="2013">
          <cell r="L2013" t="str">
            <v>SY050100</v>
          </cell>
          <cell r="M2013" t="str">
            <v>C2961</v>
          </cell>
          <cell r="N2013" t="str">
            <v>Raabun\رعبون</v>
          </cell>
        </row>
        <row r="2014">
          <cell r="L2014" t="str">
            <v>SY050100</v>
          </cell>
          <cell r="M2014" t="str">
            <v>C2975</v>
          </cell>
          <cell r="N2014" t="str">
            <v>Rabiah\الربيعة</v>
          </cell>
        </row>
        <row r="2015">
          <cell r="L2015" t="str">
            <v>SY050100</v>
          </cell>
          <cell r="M2015" t="str">
            <v>C3000</v>
          </cell>
          <cell r="N2015" t="str">
            <v>Samra \السمرة</v>
          </cell>
        </row>
        <row r="2016">
          <cell r="L2016" t="str">
            <v>SY050100</v>
          </cell>
          <cell r="M2016" t="str">
            <v>C2996</v>
          </cell>
          <cell r="N2016" t="str">
            <v>Sawa\الصاوا</v>
          </cell>
        </row>
        <row r="2017">
          <cell r="L2017" t="str">
            <v>SY050100</v>
          </cell>
          <cell r="M2017" t="str">
            <v>C2964</v>
          </cell>
          <cell r="N2017" t="str">
            <v>Sfina\صفينا</v>
          </cell>
        </row>
        <row r="2018">
          <cell r="L2018" t="str">
            <v>SY050100</v>
          </cell>
          <cell r="M2018" t="str">
            <v>C2977</v>
          </cell>
          <cell r="N2018" t="str">
            <v>Shihet Hamah\شيحة حماة</v>
          </cell>
        </row>
        <row r="2019">
          <cell r="L2019" t="str">
            <v>SY050100</v>
          </cell>
          <cell r="M2019" t="str">
            <v>C2980</v>
          </cell>
          <cell r="N2019" t="str">
            <v>Sreihin\سريحين</v>
          </cell>
        </row>
        <row r="2020">
          <cell r="L2020" t="str">
            <v>SY050100</v>
          </cell>
          <cell r="M2020" t="str">
            <v>C2998</v>
          </cell>
          <cell r="N2020" t="str">
            <v>Tal Elnaher Tal Sekkin\تل النهر تل سكين</v>
          </cell>
        </row>
        <row r="2021">
          <cell r="L2021" t="str">
            <v>SY050100</v>
          </cell>
          <cell r="M2021" t="str">
            <v>C2995</v>
          </cell>
          <cell r="N2021" t="str">
            <v>Tal Qartal\تل قرطل</v>
          </cell>
        </row>
        <row r="2022">
          <cell r="L2022" t="str">
            <v>SY050100</v>
          </cell>
          <cell r="M2022" t="str">
            <v>C2983</v>
          </cell>
          <cell r="N2022" t="str">
            <v>Taqsis\تقسيس</v>
          </cell>
        </row>
        <row r="2023">
          <cell r="L2023" t="str">
            <v>SY050100</v>
          </cell>
          <cell r="M2023" t="str">
            <v>C2993</v>
          </cell>
          <cell r="N2023" t="str">
            <v>Teizine\تيزين</v>
          </cell>
        </row>
        <row r="2024">
          <cell r="L2024" t="str">
            <v>SY050100</v>
          </cell>
          <cell r="M2024" t="str">
            <v>C6308</v>
          </cell>
          <cell r="N2024" t="str">
            <v>Tweim\تويم</v>
          </cell>
        </row>
        <row r="2025">
          <cell r="L2025" t="str">
            <v>SY050100</v>
          </cell>
          <cell r="M2025" t="str">
            <v>C2974</v>
          </cell>
          <cell r="N2025" t="str">
            <v>Um Elamad\أم العمد</v>
          </cell>
        </row>
        <row r="2026">
          <cell r="L2026" t="str">
            <v>SY050100</v>
          </cell>
          <cell r="M2026" t="str">
            <v>C2960</v>
          </cell>
          <cell r="N2026" t="str">
            <v>Um Eltoyur\أم الطيور</v>
          </cell>
        </row>
        <row r="2027">
          <cell r="L2027" t="str">
            <v>SY050100</v>
          </cell>
          <cell r="M2027" t="str">
            <v>C2985</v>
          </cell>
          <cell r="N2027" t="str">
            <v>Western Sweida\السويدة الغربية</v>
          </cell>
        </row>
        <row r="2028">
          <cell r="L2028" t="str">
            <v>SY050100</v>
          </cell>
          <cell r="M2028" t="str">
            <v>C2979</v>
          </cell>
          <cell r="N2028" t="str">
            <v>Zbada\الزبادة</v>
          </cell>
        </row>
        <row r="2029">
          <cell r="L2029" t="str">
            <v>SY050100</v>
          </cell>
          <cell r="M2029" t="str">
            <v>C2973</v>
          </cell>
          <cell r="N2029" t="str">
            <v>Zor Abu Darda Elnashmi\زور أبو دردة النشمي</v>
          </cell>
        </row>
        <row r="2030">
          <cell r="L2030" t="str">
            <v>SY050101</v>
          </cell>
          <cell r="M2030" t="str">
            <v>C3021</v>
          </cell>
          <cell r="N2030" t="str">
            <v>Atshan\عطشان</v>
          </cell>
        </row>
        <row r="2031">
          <cell r="L2031" t="str">
            <v>SY050101</v>
          </cell>
          <cell r="M2031" t="str">
            <v>C3020</v>
          </cell>
          <cell r="N2031" t="str">
            <v>Bweida \بويضة</v>
          </cell>
        </row>
        <row r="2032">
          <cell r="L2032" t="str">
            <v>SY050101</v>
          </cell>
          <cell r="M2032" t="str">
            <v>C3023</v>
          </cell>
          <cell r="N2032" t="str">
            <v>Eastern Zor Elheisa\زور الحيصة الشرقية</v>
          </cell>
        </row>
        <row r="2033">
          <cell r="L2033" t="str">
            <v>SY050101</v>
          </cell>
          <cell r="M2033" t="str">
            <v>C3037</v>
          </cell>
          <cell r="N2033" t="str">
            <v>Kawkab\كوكب</v>
          </cell>
        </row>
        <row r="2034">
          <cell r="L2034" t="str">
            <v>SY050101</v>
          </cell>
          <cell r="M2034" t="str">
            <v>C3025</v>
          </cell>
          <cell r="N2034" t="str">
            <v>Khafsine\خفسين</v>
          </cell>
        </row>
        <row r="2035">
          <cell r="L2035" t="str">
            <v>SY050101</v>
          </cell>
          <cell r="M2035" t="str">
            <v>C3019</v>
          </cell>
          <cell r="N2035" t="str">
            <v>Kherbet Elhajama\خربة الحجامة</v>
          </cell>
        </row>
        <row r="2036">
          <cell r="L2036" t="str">
            <v>SY050101</v>
          </cell>
          <cell r="M2036" t="str">
            <v>C3034</v>
          </cell>
          <cell r="N2036" t="str">
            <v>Lahaya\لحايا</v>
          </cell>
        </row>
        <row r="2037">
          <cell r="L2037" t="str">
            <v>SY050101</v>
          </cell>
          <cell r="M2037" t="str">
            <v>C3035</v>
          </cell>
          <cell r="N2037" t="str">
            <v>Maan\معان</v>
          </cell>
        </row>
        <row r="2038">
          <cell r="L2038" t="str">
            <v>SY050101</v>
          </cell>
          <cell r="M2038" t="str">
            <v>C3031</v>
          </cell>
          <cell r="N2038" t="str">
            <v>Maar Dis\معردس</v>
          </cell>
        </row>
        <row r="2039">
          <cell r="L2039" t="str">
            <v>SY050101</v>
          </cell>
          <cell r="M2039" t="str">
            <v>C3030</v>
          </cell>
          <cell r="N2039" t="str">
            <v>Maarkaba\معركبة</v>
          </cell>
        </row>
        <row r="2040">
          <cell r="L2040" t="str">
            <v>SY050101</v>
          </cell>
          <cell r="M2040" t="str">
            <v>C3036</v>
          </cell>
          <cell r="N2040" t="str">
            <v>Masasneh\مصاصنة</v>
          </cell>
        </row>
        <row r="2041">
          <cell r="L2041" t="str">
            <v>SY050101</v>
          </cell>
          <cell r="M2041" t="str">
            <v>C3029</v>
          </cell>
          <cell r="N2041" t="str">
            <v>Murak\مورك</v>
          </cell>
        </row>
        <row r="2042">
          <cell r="L2042" t="str">
            <v>SY050101</v>
          </cell>
          <cell r="M2042" t="str">
            <v>C3032</v>
          </cell>
          <cell r="N2042" t="str">
            <v>Northern Fan\فان شمالي</v>
          </cell>
        </row>
        <row r="2043">
          <cell r="L2043" t="str">
            <v>SY050101</v>
          </cell>
          <cell r="M2043" t="str">
            <v>C3038</v>
          </cell>
          <cell r="N2043" t="str">
            <v>Qasr Abu Samra\قصر أبو سمرة</v>
          </cell>
        </row>
        <row r="2044">
          <cell r="L2044" t="str">
            <v>SY050101</v>
          </cell>
          <cell r="M2044" t="str">
            <v>C3039</v>
          </cell>
          <cell r="N2044" t="str">
            <v>Qasr Elmakhram\قصر المخرم</v>
          </cell>
        </row>
        <row r="2045">
          <cell r="L2045" t="str">
            <v>SY050101</v>
          </cell>
          <cell r="M2045" t="str">
            <v>C3033</v>
          </cell>
          <cell r="N2045" t="str">
            <v>Qbeibat Abu Elhuda\قبيبات أبو الهدى</v>
          </cell>
        </row>
        <row r="2046">
          <cell r="L2046" t="str">
            <v>SY050101</v>
          </cell>
          <cell r="M2046" t="str">
            <v>C3017</v>
          </cell>
          <cell r="N2046" t="str">
            <v>Shatheh\الشعثة</v>
          </cell>
        </row>
        <row r="2047">
          <cell r="L2047" t="str">
            <v>SY050101</v>
          </cell>
          <cell r="M2047" t="str">
            <v>C3026</v>
          </cell>
          <cell r="N2047" t="str">
            <v>Suran\صوران</v>
          </cell>
        </row>
        <row r="2048">
          <cell r="L2048" t="str">
            <v>SY050101</v>
          </cell>
          <cell r="M2048" t="str">
            <v>C3028</v>
          </cell>
          <cell r="N2048" t="str">
            <v>Tiba Elemam\طيبة الإمام</v>
          </cell>
        </row>
        <row r="2049">
          <cell r="L2049" t="str">
            <v>SY050101</v>
          </cell>
          <cell r="M2049" t="str">
            <v>C3027</v>
          </cell>
          <cell r="N2049" t="str">
            <v>Tiba Elesm\طيبة الاسم</v>
          </cell>
        </row>
        <row r="2050">
          <cell r="L2050" t="str">
            <v>SY050101</v>
          </cell>
          <cell r="M2050" t="str">
            <v>C3022</v>
          </cell>
          <cell r="N2050" t="str">
            <v>Tleisiyeh\الطليسية</v>
          </cell>
        </row>
        <row r="2051">
          <cell r="L2051" t="str">
            <v>SY050101</v>
          </cell>
          <cell r="M2051" t="str">
            <v>C3018</v>
          </cell>
          <cell r="N2051" t="str">
            <v>Um Hartein\أم حارتين</v>
          </cell>
        </row>
        <row r="2052">
          <cell r="L2052" t="str">
            <v>SY050101</v>
          </cell>
          <cell r="M2052" t="str">
            <v>C3024</v>
          </cell>
          <cell r="N2052" t="str">
            <v>Zor Abu Zeid\زور أبو زيد</v>
          </cell>
        </row>
        <row r="2053">
          <cell r="L2053" t="str">
            <v>SY050102</v>
          </cell>
          <cell r="M2053" t="str">
            <v>C3046</v>
          </cell>
          <cell r="N2053" t="str">
            <v>Akrad Ibrahim\أكرادإبراهيم</v>
          </cell>
        </row>
        <row r="2054">
          <cell r="L2054" t="str">
            <v>SY050102</v>
          </cell>
          <cell r="M2054" t="str">
            <v>C3049</v>
          </cell>
          <cell r="N2054" t="str">
            <v>Aqrab\عقرب</v>
          </cell>
        </row>
        <row r="2055">
          <cell r="L2055" t="str">
            <v>SY050102</v>
          </cell>
          <cell r="M2055" t="str">
            <v>C3041</v>
          </cell>
          <cell r="N2055" t="str">
            <v>Az-Zara\الزارا</v>
          </cell>
        </row>
        <row r="2056">
          <cell r="L2056" t="str">
            <v>SY050102</v>
          </cell>
          <cell r="M2056" t="str">
            <v>C3043</v>
          </cell>
          <cell r="N2056" t="str">
            <v>Baja\البجة</v>
          </cell>
        </row>
        <row r="2057">
          <cell r="L2057" t="str">
            <v>SY050102</v>
          </cell>
          <cell r="M2057" t="str">
            <v>C3045</v>
          </cell>
          <cell r="N2057" t="str">
            <v>Ballalin\بللين</v>
          </cell>
        </row>
        <row r="2058">
          <cell r="L2058" t="str">
            <v>SY050102</v>
          </cell>
          <cell r="M2058" t="str">
            <v>C3051</v>
          </cell>
          <cell r="N2058" t="str">
            <v>Beisine\بيصين</v>
          </cell>
        </row>
        <row r="2059">
          <cell r="L2059" t="str">
            <v>SY050102</v>
          </cell>
          <cell r="M2059" t="str">
            <v>C3053</v>
          </cell>
          <cell r="N2059" t="str">
            <v>Birein\بيرين</v>
          </cell>
        </row>
        <row r="2060">
          <cell r="L2060" t="str">
            <v>SY050102</v>
          </cell>
          <cell r="M2060" t="str">
            <v>C3047</v>
          </cell>
          <cell r="N2060" t="str">
            <v>Biyeh\البيه</v>
          </cell>
        </row>
        <row r="2061">
          <cell r="L2061" t="str">
            <v>SY050102</v>
          </cell>
          <cell r="M2061" t="str">
            <v>C3052</v>
          </cell>
          <cell r="N2061" t="str">
            <v>Bulos\بولص</v>
          </cell>
        </row>
        <row r="2062">
          <cell r="L2062" t="str">
            <v>SY050102</v>
          </cell>
          <cell r="M2062" t="str">
            <v>C3063</v>
          </cell>
          <cell r="N2062" t="str">
            <v>Deir Elfardis\دير الفرديس</v>
          </cell>
        </row>
        <row r="2063">
          <cell r="L2063" t="str">
            <v>SY050102</v>
          </cell>
          <cell r="M2063" t="str">
            <v>C3054</v>
          </cell>
          <cell r="N2063" t="str">
            <v>Hmeiri\الحميري</v>
          </cell>
        </row>
        <row r="2064">
          <cell r="L2064" t="str">
            <v>SY050102</v>
          </cell>
          <cell r="M2064" t="str">
            <v>C3040</v>
          </cell>
          <cell r="N2064" t="str">
            <v>Hor Bnafsor\حر بنفسه</v>
          </cell>
        </row>
        <row r="2065">
          <cell r="L2065" t="str">
            <v>SY050102</v>
          </cell>
          <cell r="M2065" t="str">
            <v>C3061</v>
          </cell>
          <cell r="N2065" t="str">
            <v>Jadrine\جدرين</v>
          </cell>
        </row>
        <row r="2066">
          <cell r="L2066" t="str">
            <v>SY050102</v>
          </cell>
          <cell r="M2066" t="str">
            <v>C3057</v>
          </cell>
          <cell r="N2066" t="str">
            <v>Jafaa\جافعا</v>
          </cell>
        </row>
        <row r="2067">
          <cell r="L2067" t="str">
            <v>SY050102</v>
          </cell>
          <cell r="M2067" t="str">
            <v>C3048</v>
          </cell>
          <cell r="N2067" t="str">
            <v>Jarjisa\جرجيسا</v>
          </cell>
        </row>
        <row r="2068">
          <cell r="L2068" t="str">
            <v>SY050102</v>
          </cell>
          <cell r="M2068" t="str">
            <v>C3064</v>
          </cell>
          <cell r="N2068" t="str">
            <v>Kafr Qadah\كفر قدح</v>
          </cell>
        </row>
        <row r="2069">
          <cell r="L2069" t="str">
            <v>SY050102</v>
          </cell>
          <cell r="M2069" t="str">
            <v>C3042</v>
          </cell>
          <cell r="N2069" t="str">
            <v>Kherbet Aref\خربة عارف</v>
          </cell>
        </row>
        <row r="2070">
          <cell r="L2070" t="str">
            <v>SY050102</v>
          </cell>
          <cell r="M2070" t="str">
            <v>C3062</v>
          </cell>
          <cell r="N2070" t="str">
            <v>Kherbet Eljame\خربة الجامع</v>
          </cell>
        </row>
        <row r="2071">
          <cell r="L2071" t="str">
            <v>SY050102</v>
          </cell>
          <cell r="M2071" t="str">
            <v>C3058</v>
          </cell>
          <cell r="N2071" t="str">
            <v>Kherbet Elqasr\خربة القصر</v>
          </cell>
        </row>
        <row r="2072">
          <cell r="L2072" t="str">
            <v>SY050102</v>
          </cell>
          <cell r="M2072" t="str">
            <v>C3056</v>
          </cell>
          <cell r="N2072" t="str">
            <v>Moah\الموعة</v>
          </cell>
        </row>
        <row r="2073">
          <cell r="L2073" t="str">
            <v>SY050102</v>
          </cell>
          <cell r="M2073" t="str">
            <v>C3066</v>
          </cell>
          <cell r="N2073" t="str">
            <v>Musa Elhawleh\موسى الحوله</v>
          </cell>
        </row>
        <row r="2074">
          <cell r="L2074" t="str">
            <v>SY050102</v>
          </cell>
          <cell r="M2074" t="str">
            <v>C3065</v>
          </cell>
          <cell r="N2074" t="str">
            <v>Qfeilun\قفيلون</v>
          </cell>
        </row>
        <row r="2075">
          <cell r="L2075" t="str">
            <v>SY050102</v>
          </cell>
          <cell r="M2075" t="str">
            <v>C3055</v>
          </cell>
          <cell r="N2075" t="str">
            <v>Somaah\الصومعة</v>
          </cell>
        </row>
        <row r="2076">
          <cell r="L2076" t="str">
            <v>SY050102</v>
          </cell>
          <cell r="M2076" t="str">
            <v>C3050</v>
          </cell>
          <cell r="N2076" t="str">
            <v>Talaf \طلف</v>
          </cell>
        </row>
        <row r="2077">
          <cell r="L2077" t="str">
            <v>SY050102</v>
          </cell>
          <cell r="M2077" t="str">
            <v>C3044</v>
          </cell>
          <cell r="N2077" t="str">
            <v>Tumine\تومين</v>
          </cell>
        </row>
        <row r="2078">
          <cell r="L2078" t="str">
            <v>SY050103</v>
          </cell>
          <cell r="M2078" t="str">
            <v>C3098</v>
          </cell>
          <cell r="N2078" t="str">
            <v>Abu Ajwa\أبو عجوة</v>
          </cell>
        </row>
        <row r="2079">
          <cell r="L2079" t="str">
            <v>SY050103</v>
          </cell>
          <cell r="M2079" t="str">
            <v>C3072</v>
          </cell>
          <cell r="N2079" t="str">
            <v>Alala\الالا</v>
          </cell>
        </row>
        <row r="2080">
          <cell r="L2080" t="str">
            <v>SY050103</v>
          </cell>
          <cell r="M2080" t="str">
            <v>C3089</v>
          </cell>
          <cell r="N2080" t="str">
            <v>Anz\العنز</v>
          </cell>
        </row>
        <row r="2081">
          <cell r="L2081" t="str">
            <v>SY050103</v>
          </cell>
          <cell r="M2081" t="str">
            <v>C3091</v>
          </cell>
          <cell r="N2081" t="str">
            <v>Arfa\عرفه</v>
          </cell>
        </row>
        <row r="2082">
          <cell r="L2082" t="str">
            <v>SY050103</v>
          </cell>
          <cell r="M2082" t="str">
            <v>C3085</v>
          </cell>
          <cell r="N2082" t="str">
            <v>Aziziyeh\عزيزية</v>
          </cell>
        </row>
        <row r="2083">
          <cell r="L2083" t="str">
            <v>SY050103</v>
          </cell>
          <cell r="M2083" t="str">
            <v>C3084</v>
          </cell>
          <cell r="N2083" t="str">
            <v>Baroudiyeh\البارودية</v>
          </cell>
        </row>
        <row r="2084">
          <cell r="L2084" t="str">
            <v>SY050103</v>
          </cell>
          <cell r="M2084" t="str">
            <v>C3068</v>
          </cell>
          <cell r="N2084" t="str">
            <v>Bayud\بيوض</v>
          </cell>
        </row>
        <row r="2085">
          <cell r="L2085" t="str">
            <v>SY050103</v>
          </cell>
          <cell r="M2085" t="str">
            <v>C3070</v>
          </cell>
          <cell r="N2085" t="str">
            <v>Dalleh\دلة</v>
          </cell>
        </row>
        <row r="2086">
          <cell r="L2086" t="str">
            <v>SY050103</v>
          </cell>
          <cell r="M2086" t="str">
            <v>C3076</v>
          </cell>
          <cell r="N2086" t="str">
            <v>Duma\دوما</v>
          </cell>
        </row>
        <row r="2087">
          <cell r="L2087" t="str">
            <v>SY050103</v>
          </cell>
          <cell r="M2087" t="str">
            <v>C3092</v>
          </cell>
          <cell r="N2087" t="str">
            <v>Fayda\الفيضة</v>
          </cell>
        </row>
        <row r="2088">
          <cell r="L2088" t="str">
            <v>SY050103</v>
          </cell>
          <cell r="M2088" t="str">
            <v>C3096</v>
          </cell>
          <cell r="N2088" t="str">
            <v>Hamra\الحمراء</v>
          </cell>
        </row>
        <row r="2089">
          <cell r="L2089" t="str">
            <v>SY050103</v>
          </cell>
          <cell r="M2089" t="str">
            <v>C3090</v>
          </cell>
          <cell r="N2089" t="str">
            <v>Hawayes Un Jern\حوايس أم جرن</v>
          </cell>
        </row>
        <row r="2090">
          <cell r="L2090" t="str">
            <v>SY050103</v>
          </cell>
          <cell r="M2090" t="str">
            <v>C3097</v>
          </cell>
          <cell r="N2090" t="str">
            <v>Haymaniyeh - Heijaneh\الهيمانية_الهيجانة</v>
          </cell>
        </row>
        <row r="2091">
          <cell r="L2091" t="str">
            <v>SY050103</v>
          </cell>
          <cell r="M2091" t="str">
            <v>C3101</v>
          </cell>
          <cell r="N2091" t="str">
            <v>Hazm\حزم</v>
          </cell>
        </row>
        <row r="2092">
          <cell r="L2092" t="str">
            <v>SY050103</v>
          </cell>
          <cell r="M2092" t="str">
            <v>C6345</v>
          </cell>
          <cell r="N2092" t="str">
            <v>Hleibiyeh\الحليبية</v>
          </cell>
        </row>
        <row r="2093">
          <cell r="L2093" t="str">
            <v>SY050103</v>
          </cell>
          <cell r="M2093" t="str">
            <v>C3080</v>
          </cell>
          <cell r="N2093" t="str">
            <v>Janat Elsawarneh\جانات الصوارنة</v>
          </cell>
        </row>
        <row r="2094">
          <cell r="L2094" t="str">
            <v>SY050103</v>
          </cell>
          <cell r="M2094" t="str">
            <v>C3074</v>
          </cell>
          <cell r="N2094" t="str">
            <v>Jeb Elothman\جب العثمان</v>
          </cell>
        </row>
        <row r="2095">
          <cell r="L2095" t="str">
            <v>SY050103</v>
          </cell>
          <cell r="M2095" t="str">
            <v>C3083</v>
          </cell>
          <cell r="N2095" t="str">
            <v>Jeb Elsafa\جب الصفا</v>
          </cell>
        </row>
        <row r="2096">
          <cell r="L2096" t="str">
            <v>SY050103</v>
          </cell>
          <cell r="M2096" t="str">
            <v>C3100</v>
          </cell>
          <cell r="N2096" t="str">
            <v>Jneineh\جنينة</v>
          </cell>
        </row>
        <row r="2097">
          <cell r="L2097" t="str">
            <v>SY050103</v>
          </cell>
          <cell r="M2097" t="str">
            <v>C3088</v>
          </cell>
          <cell r="N2097" t="str">
            <v>Majduah - Northern Jadduah\المجدوعة_جدوعة شمالية</v>
          </cell>
        </row>
        <row r="2098">
          <cell r="L2098" t="str">
            <v>SY050103</v>
          </cell>
          <cell r="M2098" t="str">
            <v>C3108</v>
          </cell>
          <cell r="N2098" t="str">
            <v>Mlolah\ملولح</v>
          </cell>
        </row>
        <row r="2099">
          <cell r="L2099" t="str">
            <v>SY050103</v>
          </cell>
          <cell r="M2099" t="str">
            <v>C3106</v>
          </cell>
          <cell r="N2099" t="str">
            <v>Mweileh Elsirwana\مويلح الصوارنة</v>
          </cell>
        </row>
        <row r="2100">
          <cell r="L2100" t="str">
            <v>SY050103</v>
          </cell>
          <cell r="M2100" t="str">
            <v>C3107</v>
          </cell>
          <cell r="N2100" t="str">
            <v>Northern Maar\معرشمالي</v>
          </cell>
        </row>
        <row r="2101">
          <cell r="L2101" t="str">
            <v>SY050103</v>
          </cell>
          <cell r="M2101" t="str">
            <v>C3095</v>
          </cell>
          <cell r="N2101" t="str">
            <v>Qanater\القناطر</v>
          </cell>
        </row>
        <row r="2102">
          <cell r="L2102" t="str">
            <v>SY050103</v>
          </cell>
          <cell r="M2102" t="str">
            <v>C3104</v>
          </cell>
          <cell r="N2102" t="str">
            <v>Qasr Ali\قصر علي</v>
          </cell>
        </row>
        <row r="2103">
          <cell r="L2103" t="str">
            <v>SY050103</v>
          </cell>
          <cell r="M2103" t="str">
            <v>C3105</v>
          </cell>
          <cell r="N2103" t="str">
            <v>Qasr Bin Wardan\قصر بن وردان</v>
          </cell>
        </row>
        <row r="2104">
          <cell r="L2104" t="str">
            <v>SY050103</v>
          </cell>
          <cell r="M2104" t="str">
            <v>C3069</v>
          </cell>
          <cell r="N2104" t="str">
            <v>Rabda\ربدة</v>
          </cell>
        </row>
        <row r="2105">
          <cell r="L2105" t="str">
            <v>SY050103</v>
          </cell>
          <cell r="M2105" t="str">
            <v>C3067</v>
          </cell>
          <cell r="N2105" t="str">
            <v>Ras Al Ain\رأس العين</v>
          </cell>
        </row>
        <row r="2106">
          <cell r="L2106" t="str">
            <v>SY050103</v>
          </cell>
          <cell r="M2106" t="str">
            <v>C3071</v>
          </cell>
          <cell r="N2106" t="str">
            <v>Rasm Eldaheriyeh\رسم الضاهرية</v>
          </cell>
        </row>
        <row r="2107">
          <cell r="L2107" t="str">
            <v>SY050103</v>
          </cell>
          <cell r="M2107" t="str">
            <v>C3078</v>
          </cell>
          <cell r="N2107" t="str">
            <v>Rasm Elward\رسم الورد</v>
          </cell>
        </row>
        <row r="2108">
          <cell r="L2108" t="str">
            <v>SY050103</v>
          </cell>
          <cell r="M2108" t="str">
            <v>C3082</v>
          </cell>
          <cell r="N2108" t="str">
            <v>Rohaya \الرحية</v>
          </cell>
        </row>
        <row r="2109">
          <cell r="L2109" t="str">
            <v>SY050103</v>
          </cell>
          <cell r="M2109" t="str">
            <v>C3094</v>
          </cell>
          <cell r="N2109" t="str">
            <v>Shihet Elhamra\شيحة الحمراء</v>
          </cell>
        </row>
        <row r="2110">
          <cell r="L2110" t="str">
            <v>SY050103</v>
          </cell>
          <cell r="M2110" t="str">
            <v>C3099</v>
          </cell>
          <cell r="N2110" t="str">
            <v>Smaqiyeh Qabliyeh\السماقية القبلية</v>
          </cell>
        </row>
        <row r="2111">
          <cell r="L2111" t="str">
            <v>SY050103</v>
          </cell>
          <cell r="M2111" t="str">
            <v>C3102</v>
          </cell>
          <cell r="N2111" t="str">
            <v>Sruj\سروج</v>
          </cell>
        </row>
        <row r="2112">
          <cell r="L2112" t="str">
            <v>SY050103</v>
          </cell>
          <cell r="M2112" t="str">
            <v>C3093</v>
          </cell>
          <cell r="N2112" t="str">
            <v>Tarfawi\الطرفاوي</v>
          </cell>
        </row>
        <row r="2113">
          <cell r="L2113" t="str">
            <v>SY050103</v>
          </cell>
          <cell r="M2113" t="str">
            <v>C3073</v>
          </cell>
          <cell r="N2113" t="str">
            <v>Tharwa - Trut\ثروة_تروت</v>
          </cell>
        </row>
        <row r="2114">
          <cell r="L2114" t="str">
            <v>SY050103</v>
          </cell>
          <cell r="M2114" t="str">
            <v>C3087</v>
          </cell>
          <cell r="N2114" t="str">
            <v>Tleihat\طليحات</v>
          </cell>
        </row>
        <row r="2115">
          <cell r="L2115" t="str">
            <v>SY050103</v>
          </cell>
          <cell r="M2115" t="str">
            <v>C3086</v>
          </cell>
          <cell r="N2115" t="str">
            <v>Twal Dabaghin\طوال دباغين</v>
          </cell>
        </row>
        <row r="2116">
          <cell r="L2116" t="str">
            <v>SY050103</v>
          </cell>
          <cell r="M2116" t="str">
            <v>C3081</v>
          </cell>
          <cell r="N2116" t="str">
            <v>Um Treikiet Elqablieh\أم تريكية القبلية</v>
          </cell>
        </row>
        <row r="2117">
          <cell r="L2117" t="str">
            <v>SY050103</v>
          </cell>
          <cell r="M2117" t="str">
            <v>C3079</v>
          </cell>
          <cell r="N2117" t="str">
            <v>Um Zahmak\أم زهمك</v>
          </cell>
        </row>
        <row r="2118">
          <cell r="L2118" t="str">
            <v>SY050103</v>
          </cell>
          <cell r="M2118" t="str">
            <v>C3075</v>
          </cell>
          <cell r="N2118" t="str">
            <v>Zegbeh\الزغبة</v>
          </cell>
        </row>
        <row r="2119">
          <cell r="L2119" t="str">
            <v>SY050200</v>
          </cell>
          <cell r="M2119" t="str">
            <v>C3113</v>
          </cell>
          <cell r="N2119" t="str">
            <v>Abar Beit Seif\عبر بيت سيف</v>
          </cell>
        </row>
        <row r="2120">
          <cell r="L2120" t="str">
            <v>SY050200</v>
          </cell>
          <cell r="M2120" t="str">
            <v>C3109</v>
          </cell>
          <cell r="N2120" t="str">
            <v>Abu Kleefun\أبو كليفون</v>
          </cell>
        </row>
        <row r="2121">
          <cell r="L2121" t="str">
            <v>SY050200</v>
          </cell>
          <cell r="M2121" t="str">
            <v>C3134</v>
          </cell>
          <cell r="N2121" t="str">
            <v>Ammurin\عمورين</v>
          </cell>
        </row>
        <row r="2122">
          <cell r="L2122" t="str">
            <v>SY050200</v>
          </cell>
          <cell r="M2122" t="str">
            <v>C3114</v>
          </cell>
          <cell r="N2122" t="str">
            <v>As-Suqaylabiyah\السقيلبية</v>
          </cell>
        </row>
        <row r="2123">
          <cell r="L2123" t="str">
            <v>SY050200</v>
          </cell>
          <cell r="M2123" t="str">
            <v>C3118</v>
          </cell>
          <cell r="N2123" t="str">
            <v>Balluneh\بلونة</v>
          </cell>
        </row>
        <row r="2124">
          <cell r="L2124" t="str">
            <v>SY050200</v>
          </cell>
          <cell r="M2124" t="str">
            <v>C3121</v>
          </cell>
          <cell r="N2124" t="str">
            <v>Beij\بريج</v>
          </cell>
        </row>
        <row r="2125">
          <cell r="L2125" t="str">
            <v>SY050200</v>
          </cell>
          <cell r="M2125" t="str">
            <v>C3128</v>
          </cell>
          <cell r="N2125" t="str">
            <v>Eastern Khandaq\الخندق الشرقي</v>
          </cell>
        </row>
        <row r="2126">
          <cell r="L2126" t="str">
            <v>SY050200</v>
          </cell>
          <cell r="M2126" t="str">
            <v>C3123</v>
          </cell>
          <cell r="N2126" t="str">
            <v>Ein Elkorum\عين الكروم</v>
          </cell>
        </row>
        <row r="2127">
          <cell r="L2127" t="str">
            <v>SY050200</v>
          </cell>
          <cell r="M2127" t="str">
            <v>C3110</v>
          </cell>
          <cell r="N2127" t="str">
            <v>Ein Warideh\عين وريدة</v>
          </cell>
        </row>
        <row r="2128">
          <cell r="L2128" t="str">
            <v>SY050200</v>
          </cell>
          <cell r="M2128" t="str">
            <v>C3117</v>
          </cell>
          <cell r="N2128" t="str">
            <v>Ennab\عناب</v>
          </cell>
        </row>
        <row r="2129">
          <cell r="L2129" t="str">
            <v>SY050200</v>
          </cell>
          <cell r="M2129" t="str">
            <v>C3111</v>
          </cell>
          <cell r="N2129" t="str">
            <v>Hiyalin\حيالين</v>
          </cell>
        </row>
        <row r="2130">
          <cell r="L2130" t="str">
            <v>SY050200</v>
          </cell>
          <cell r="M2130" t="str">
            <v>C3122</v>
          </cell>
          <cell r="N2130" t="str">
            <v>Hurat  Ammurin\حورات عمورين</v>
          </cell>
        </row>
        <row r="2131">
          <cell r="L2131" t="str">
            <v>SY050200</v>
          </cell>
          <cell r="M2131" t="str">
            <v>C3120</v>
          </cell>
          <cell r="N2131" t="str">
            <v>Jarniyet Eltar\جرنية الطار</v>
          </cell>
        </row>
        <row r="2132">
          <cell r="L2132" t="str">
            <v>SY050200</v>
          </cell>
          <cell r="M2132" t="str">
            <v>C3132</v>
          </cell>
          <cell r="N2132" t="str">
            <v>Jras Castle\قلعة الجراص</v>
          </cell>
        </row>
        <row r="2133">
          <cell r="L2133" t="str">
            <v>SY050200</v>
          </cell>
          <cell r="M2133" t="str">
            <v>C3115</v>
          </cell>
          <cell r="N2133" t="str">
            <v>Khansaa - Shetheh\الخنساء_الشعثة</v>
          </cell>
        </row>
        <row r="2134">
          <cell r="L2134" t="str">
            <v>SY050200</v>
          </cell>
          <cell r="M2134" t="str">
            <v>C3133</v>
          </cell>
          <cell r="N2134" t="str">
            <v>Mashta Elshalahmeh\مشتى الشلاهمة</v>
          </cell>
        </row>
        <row r="2135">
          <cell r="L2135" t="str">
            <v>SY050200</v>
          </cell>
          <cell r="M2135" t="str">
            <v>C3131</v>
          </cell>
          <cell r="N2135" t="str">
            <v>Nabe Eltib\نبع الطيب</v>
          </cell>
        </row>
        <row r="2136">
          <cell r="L2136" t="str">
            <v>SY050200</v>
          </cell>
          <cell r="M2136" t="str">
            <v>C3127</v>
          </cell>
          <cell r="N2136" t="str">
            <v>Oweina\عوينة</v>
          </cell>
        </row>
        <row r="2137">
          <cell r="L2137" t="str">
            <v>SY050200</v>
          </cell>
          <cell r="M2137" t="str">
            <v>C3116</v>
          </cell>
          <cell r="N2137" t="str">
            <v>Salba\صلبا</v>
          </cell>
        </row>
        <row r="2138">
          <cell r="L2138" t="str">
            <v>SY050200</v>
          </cell>
          <cell r="M2138" t="str">
            <v>C3125</v>
          </cell>
          <cell r="N2138" t="str">
            <v>Saqiyet Nijm\ساقية نجم</v>
          </cell>
        </row>
        <row r="2139">
          <cell r="L2139" t="str">
            <v>SY050200</v>
          </cell>
          <cell r="M2139" t="str">
            <v>C3130</v>
          </cell>
          <cell r="N2139" t="str">
            <v>Shahta\الشحطة</v>
          </cell>
        </row>
        <row r="2140">
          <cell r="L2140" t="str">
            <v>SY050200</v>
          </cell>
          <cell r="M2140" t="str">
            <v>C3126</v>
          </cell>
          <cell r="N2140" t="str">
            <v>Shajar\الشجر</v>
          </cell>
        </row>
        <row r="2141">
          <cell r="L2141" t="str">
            <v>SY050200</v>
          </cell>
          <cell r="M2141" t="str">
            <v>C3124</v>
          </cell>
          <cell r="N2141" t="str">
            <v>Tahunet Elhalawa\طاحونة الحلاوة</v>
          </cell>
        </row>
        <row r="2142">
          <cell r="L2142" t="str">
            <v>SY050200</v>
          </cell>
          <cell r="M2142" t="str">
            <v>C3119</v>
          </cell>
          <cell r="N2142" t="str">
            <v>Tal Eltiten\تل التتن</v>
          </cell>
        </row>
        <row r="2143">
          <cell r="L2143" t="str">
            <v>SY050200</v>
          </cell>
          <cell r="M2143" t="str">
            <v>C3112</v>
          </cell>
          <cell r="N2143" t="str">
            <v>Tal Kombatri\تل كمبتري</v>
          </cell>
        </row>
        <row r="2144">
          <cell r="L2144" t="str">
            <v>SY050200</v>
          </cell>
          <cell r="M2144" t="str">
            <v>C3129</v>
          </cell>
          <cell r="N2144" t="str">
            <v>Western Khandaq\الخندق الغربي</v>
          </cell>
        </row>
        <row r="2145">
          <cell r="L2145" t="str">
            <v>SY050201</v>
          </cell>
          <cell r="M2145" t="str">
            <v>C3148</v>
          </cell>
          <cell r="N2145" t="str">
            <v>Abu Faraj\أبو فرج</v>
          </cell>
        </row>
        <row r="2146">
          <cell r="L2146" t="str">
            <v>SY050201</v>
          </cell>
          <cell r="M2146" t="str">
            <v>C3136</v>
          </cell>
          <cell r="N2146" t="str">
            <v>Abu Qbeis\أبو قبيس</v>
          </cell>
        </row>
        <row r="2147">
          <cell r="L2147" t="str">
            <v>SY050201</v>
          </cell>
          <cell r="M2147" t="str">
            <v>C3140</v>
          </cell>
          <cell r="N2147" t="str">
            <v>Asharneh\عشارنة</v>
          </cell>
        </row>
        <row r="2148">
          <cell r="L2148" t="str">
            <v>SY050201</v>
          </cell>
          <cell r="M2148" t="str">
            <v>C3135</v>
          </cell>
          <cell r="N2148" t="str">
            <v>Biret Eljabal\بيرة الجبل</v>
          </cell>
        </row>
        <row r="2149">
          <cell r="L2149" t="str">
            <v>SY050201</v>
          </cell>
          <cell r="M2149" t="str">
            <v>C3146</v>
          </cell>
          <cell r="N2149" t="str">
            <v>Ein Eljern\عين الجرن</v>
          </cell>
        </row>
        <row r="2150">
          <cell r="L2150" t="str">
            <v>SY050201</v>
          </cell>
          <cell r="M2150" t="str">
            <v>C3149</v>
          </cell>
          <cell r="N2150" t="str">
            <v>Hir Elmosil\حير المسيل</v>
          </cell>
        </row>
        <row r="2151">
          <cell r="L2151" t="str">
            <v>SY050201</v>
          </cell>
          <cell r="M2151" t="str">
            <v>C3137</v>
          </cell>
          <cell r="N2151" t="str">
            <v>Kanayes\الكنائس</v>
          </cell>
        </row>
        <row r="2152">
          <cell r="L2152" t="str">
            <v>SY050201</v>
          </cell>
          <cell r="M2152" t="str">
            <v>C3147</v>
          </cell>
          <cell r="N2152" t="str">
            <v>Khareb\الخرائب</v>
          </cell>
        </row>
        <row r="2153">
          <cell r="L2153" t="str">
            <v>SY050201</v>
          </cell>
          <cell r="M2153" t="str">
            <v>C3138</v>
          </cell>
          <cell r="N2153" t="str">
            <v>Latmana\اللطمة</v>
          </cell>
        </row>
        <row r="2154">
          <cell r="L2154" t="str">
            <v>SY050201</v>
          </cell>
          <cell r="M2154" t="str">
            <v>C3144</v>
          </cell>
          <cell r="N2154" t="str">
            <v>Mazhal\المزحل</v>
          </cell>
        </row>
        <row r="2155">
          <cell r="L2155" t="str">
            <v>SY050201</v>
          </cell>
          <cell r="M2155" t="str">
            <v>C3150</v>
          </cell>
          <cell r="N2155" t="str">
            <v>Nahr Elbared\نهر البارد</v>
          </cell>
        </row>
        <row r="2156">
          <cell r="L2156" t="str">
            <v>SY050201</v>
          </cell>
          <cell r="M2156" t="str">
            <v>C3141</v>
          </cell>
          <cell r="N2156" t="str">
            <v>Northern &amp; Western Hawayeq\الحوائق شمالي وجنوبي</v>
          </cell>
        </row>
        <row r="2157">
          <cell r="L2157" t="str">
            <v>SY050201</v>
          </cell>
          <cell r="M2157" t="str">
            <v>C3139</v>
          </cell>
          <cell r="N2157" t="str">
            <v>Rasm Eljern\رسم الجرن</v>
          </cell>
        </row>
        <row r="2158">
          <cell r="L2158" t="str">
            <v>SY050201</v>
          </cell>
          <cell r="M2158" t="str">
            <v>C3145</v>
          </cell>
          <cell r="N2158" t="str">
            <v>Tal Salhab\تل سلحب</v>
          </cell>
        </row>
        <row r="2159">
          <cell r="L2159" t="str">
            <v>SY050201</v>
          </cell>
          <cell r="M2159" t="str">
            <v>C3143</v>
          </cell>
          <cell r="N2159" t="str">
            <v>Tamaza\تمازة</v>
          </cell>
        </row>
        <row r="2160">
          <cell r="L2160" t="str">
            <v>SY050201</v>
          </cell>
          <cell r="M2160" t="str">
            <v>C3142</v>
          </cell>
          <cell r="N2160" t="str">
            <v>Tobeh\التوبة</v>
          </cell>
        </row>
        <row r="2161">
          <cell r="L2161" t="str">
            <v>SY050202</v>
          </cell>
          <cell r="M2161" t="str">
            <v>C3155</v>
          </cell>
          <cell r="N2161" t="str">
            <v>Ankawi\العنكاوي</v>
          </cell>
        </row>
        <row r="2162">
          <cell r="L2162" t="str">
            <v>SY050202</v>
          </cell>
          <cell r="M2162" t="str">
            <v>C3165</v>
          </cell>
          <cell r="N2162" t="str">
            <v>Bahsa\البحصة</v>
          </cell>
        </row>
        <row r="2163">
          <cell r="L2163" t="str">
            <v>SY050202</v>
          </cell>
          <cell r="M2163" t="str">
            <v>C3163</v>
          </cell>
          <cell r="N2163" t="str">
            <v>Barakeh\البركة</v>
          </cell>
        </row>
        <row r="2164">
          <cell r="L2164" t="str">
            <v>SY050202</v>
          </cell>
          <cell r="M2164" t="str">
            <v>C3156</v>
          </cell>
          <cell r="N2164" t="str">
            <v>Doqmaq\دقماق</v>
          </cell>
        </row>
        <row r="2165">
          <cell r="L2165" t="str">
            <v>SY050202</v>
          </cell>
          <cell r="M2165" t="str">
            <v>C3158</v>
          </cell>
          <cell r="N2165" t="str">
            <v>Dweir Elakrad\دوير الأكراد</v>
          </cell>
        </row>
        <row r="2166">
          <cell r="L2166" t="str">
            <v>SY050202</v>
          </cell>
          <cell r="M2166" t="str">
            <v>C3152</v>
          </cell>
          <cell r="N2166" t="str">
            <v>Ein Elhamam\عين الحمام</v>
          </cell>
        </row>
        <row r="2167">
          <cell r="L2167" t="str">
            <v>SY050202</v>
          </cell>
          <cell r="M2167" t="str">
            <v>C3172</v>
          </cell>
          <cell r="N2167" t="str">
            <v>For a\فورة</v>
          </cell>
        </row>
        <row r="2168">
          <cell r="L2168" t="str">
            <v>SY050202</v>
          </cell>
          <cell r="M2168" t="str">
            <v>C3162</v>
          </cell>
          <cell r="N2168" t="str">
            <v>Kherbet Elnaqus\خربة الناقوس</v>
          </cell>
        </row>
        <row r="2169">
          <cell r="L2169" t="str">
            <v>SY050202</v>
          </cell>
          <cell r="M2169" t="str">
            <v>C3154</v>
          </cell>
          <cell r="N2169" t="str">
            <v>Lower Amiqa\العمقية تحتا</v>
          </cell>
        </row>
        <row r="2170">
          <cell r="L2170" t="str">
            <v>SY050202</v>
          </cell>
          <cell r="M2170" t="str">
            <v>C3160</v>
          </cell>
          <cell r="N2170" t="str">
            <v>Mansura\المنصورة</v>
          </cell>
        </row>
        <row r="2171">
          <cell r="L2171" t="str">
            <v>SY050202</v>
          </cell>
          <cell r="M2171" t="str">
            <v>C3167</v>
          </cell>
          <cell r="N2171" t="str">
            <v>Qalidin\قليدين</v>
          </cell>
        </row>
        <row r="2172">
          <cell r="L2172" t="str">
            <v>SY050202</v>
          </cell>
          <cell r="M2172" t="str">
            <v>C3168</v>
          </cell>
          <cell r="N2172" t="str">
            <v>Qarqur\قرقور</v>
          </cell>
        </row>
        <row r="2173">
          <cell r="L2173" t="str">
            <v>SY050202</v>
          </cell>
          <cell r="M2173" t="str">
            <v>C3170</v>
          </cell>
          <cell r="N2173" t="str">
            <v>Qastun\قسطون</v>
          </cell>
        </row>
        <row r="2174">
          <cell r="L2174" t="str">
            <v>SY050202</v>
          </cell>
          <cell r="M2174" t="str">
            <v>C3159</v>
          </cell>
          <cell r="N2174" t="str">
            <v>Sarmaniya\سرمانية</v>
          </cell>
        </row>
        <row r="2175">
          <cell r="L2175" t="str">
            <v>SY050202</v>
          </cell>
          <cell r="M2175" t="str">
            <v>C3153</v>
          </cell>
          <cell r="N2175" t="str">
            <v>Sefsaf\الصفصافة</v>
          </cell>
        </row>
        <row r="2176">
          <cell r="L2176" t="str">
            <v>SY050202</v>
          </cell>
          <cell r="M2176" t="str">
            <v>C3151</v>
          </cell>
          <cell r="N2176" t="str">
            <v>Sindyana\السنديانة</v>
          </cell>
        </row>
        <row r="2177">
          <cell r="L2177" t="str">
            <v>SY050202</v>
          </cell>
          <cell r="M2177" t="str">
            <v>C3157</v>
          </cell>
          <cell r="N2177" t="str">
            <v>Tal Wassit\تل واسط</v>
          </cell>
        </row>
        <row r="2178">
          <cell r="L2178" t="str">
            <v>SY050202</v>
          </cell>
          <cell r="M2178" t="str">
            <v>C3161</v>
          </cell>
          <cell r="N2178" t="str">
            <v>Zayzun\زيزون</v>
          </cell>
        </row>
        <row r="2179">
          <cell r="L2179" t="str">
            <v>SY050202</v>
          </cell>
          <cell r="M2179" t="str">
            <v>C3166</v>
          </cell>
          <cell r="N2179" t="str">
            <v>Ziyara\الزيارة</v>
          </cell>
        </row>
        <row r="2180">
          <cell r="L2180" t="str">
            <v>SY050203</v>
          </cell>
          <cell r="M2180" t="str">
            <v>C3174</v>
          </cell>
          <cell r="N2180" t="str">
            <v>Ein Jorjin\عين جورين</v>
          </cell>
        </row>
        <row r="2181">
          <cell r="L2181" t="str">
            <v>SY050203</v>
          </cell>
          <cell r="M2181" t="str">
            <v>C3182</v>
          </cell>
          <cell r="N2181" t="str">
            <v>Frikeh\فريكة</v>
          </cell>
        </row>
        <row r="2182">
          <cell r="L2182" t="str">
            <v>SY050203</v>
          </cell>
          <cell r="M2182" t="str">
            <v>C3175</v>
          </cell>
          <cell r="N2182" t="str">
            <v>Haydariyeh - Estarka\الحيدرية_استركة</v>
          </cell>
        </row>
        <row r="2183">
          <cell r="L2183" t="str">
            <v>SY050203</v>
          </cell>
          <cell r="M2183" t="str">
            <v>C3176</v>
          </cell>
          <cell r="N2183" t="str">
            <v>Jeb Elghar\جب الغار</v>
          </cell>
        </row>
        <row r="2184">
          <cell r="L2184" t="str">
            <v>SY050203</v>
          </cell>
          <cell r="M2184" t="str">
            <v>C3178</v>
          </cell>
          <cell r="N2184" t="str">
            <v>Jorin\جورين</v>
          </cell>
        </row>
        <row r="2185">
          <cell r="L2185" t="str">
            <v>SY050203</v>
          </cell>
          <cell r="M2185" t="str">
            <v>C3180</v>
          </cell>
          <cell r="N2185" t="str">
            <v>Lower Shateha\شطحة التحتا</v>
          </cell>
        </row>
        <row r="2186">
          <cell r="L2186" t="str">
            <v>SY050203</v>
          </cell>
          <cell r="M2186" t="str">
            <v>C3181</v>
          </cell>
          <cell r="N2186" t="str">
            <v>Mirdash\مرداش</v>
          </cell>
        </row>
        <row r="2187">
          <cell r="L2187" t="str">
            <v>SY050203</v>
          </cell>
          <cell r="M2187" t="str">
            <v>C3185</v>
          </cell>
          <cell r="N2187" t="str">
            <v>Naur Jurin\ناعور جورين</v>
          </cell>
        </row>
        <row r="2188">
          <cell r="L2188" t="str">
            <v>SY050203</v>
          </cell>
          <cell r="M2188" t="str">
            <v>C3184</v>
          </cell>
          <cell r="N2188" t="str">
            <v>Nobol Elkhatib\نبل الخطيب</v>
          </cell>
        </row>
        <row r="2189">
          <cell r="L2189" t="str">
            <v>SY050203</v>
          </cell>
          <cell r="M2189" t="str">
            <v>C3183</v>
          </cell>
          <cell r="N2189" t="str">
            <v>Qatret Elrihan\قطرة الريحان</v>
          </cell>
        </row>
        <row r="2190">
          <cell r="L2190" t="str">
            <v>SY050204</v>
          </cell>
          <cell r="M2190" t="str">
            <v>C3189</v>
          </cell>
          <cell r="N2190" t="str">
            <v>Aziziyeh\العزيزية</v>
          </cell>
        </row>
        <row r="2191">
          <cell r="L2191" t="str">
            <v>SY050204</v>
          </cell>
          <cell r="M2191" t="str">
            <v>C3199</v>
          </cell>
          <cell r="N2191" t="str">
            <v>Bab Eltaqa\باب الطاقة</v>
          </cell>
        </row>
        <row r="2192">
          <cell r="L2192" t="str">
            <v>SY050204</v>
          </cell>
          <cell r="M2192" t="str">
            <v>C3201</v>
          </cell>
          <cell r="N2192" t="str">
            <v>Bared\البارد</v>
          </cell>
        </row>
        <row r="2193">
          <cell r="L2193" t="str">
            <v>SY050204</v>
          </cell>
          <cell r="M2193" t="str">
            <v>C3190</v>
          </cell>
          <cell r="N2193" t="str">
            <v>Deir Sunbul\دير سنبل</v>
          </cell>
        </row>
        <row r="2194">
          <cell r="L2194" t="str">
            <v>SY050204</v>
          </cell>
          <cell r="M2194" t="str">
            <v>C3194</v>
          </cell>
          <cell r="N2194" t="str">
            <v>Eastern Huweiz\الحويز الشمالي</v>
          </cell>
        </row>
        <row r="2195">
          <cell r="L2195" t="str">
            <v>SY050204</v>
          </cell>
          <cell r="M2195" t="str">
            <v>C3195</v>
          </cell>
          <cell r="N2195" t="str">
            <v>Hawash\الحواش</v>
          </cell>
        </row>
        <row r="2196">
          <cell r="L2196" t="str">
            <v>SY050204</v>
          </cell>
          <cell r="M2196" t="str">
            <v>C3187</v>
          </cell>
          <cell r="N2196" t="str">
            <v>Hmeirat\الحميرات</v>
          </cell>
        </row>
        <row r="2197">
          <cell r="L2197" t="str">
            <v>SY050204</v>
          </cell>
          <cell r="M2197" t="str">
            <v>C3198</v>
          </cell>
          <cell r="N2197" t="str">
            <v>Hurriyeh\الحرية</v>
          </cell>
        </row>
        <row r="2198">
          <cell r="L2198" t="str">
            <v>SY050204</v>
          </cell>
          <cell r="M2198" t="str">
            <v>C3193</v>
          </cell>
          <cell r="N2198" t="str">
            <v>Jamasa Odayat - Alshareeah\جماسة عديات_الشريعة</v>
          </cell>
        </row>
        <row r="2199">
          <cell r="L2199" t="str">
            <v>SY050204</v>
          </cell>
          <cell r="M2199" t="str">
            <v>C3202</v>
          </cell>
          <cell r="N2199" t="str">
            <v>Jid\الجيد</v>
          </cell>
        </row>
        <row r="2200">
          <cell r="L2200" t="str">
            <v>SY050204</v>
          </cell>
          <cell r="M2200" t="str">
            <v>C3209</v>
          </cell>
          <cell r="N2200" t="str">
            <v>Kafr Nabutha\كفر نبودة</v>
          </cell>
        </row>
        <row r="2201">
          <cell r="L2201" t="str">
            <v>SY050204</v>
          </cell>
          <cell r="M2201" t="str">
            <v>C3186</v>
          </cell>
          <cell r="N2201" t="str">
            <v>Karim\الكريم</v>
          </cell>
        </row>
        <row r="2202">
          <cell r="L2202" t="str">
            <v>SY050204</v>
          </cell>
          <cell r="M2202" t="str">
            <v>C3207</v>
          </cell>
          <cell r="N2202" t="str">
            <v>Madiq Castle\قلعة المضيق</v>
          </cell>
        </row>
        <row r="2203">
          <cell r="L2203" t="str">
            <v>SY050204</v>
          </cell>
          <cell r="M2203" t="str">
            <v>C3208</v>
          </cell>
          <cell r="N2203" t="str">
            <v>Qaber Fidda\قبر فضة</v>
          </cell>
        </row>
        <row r="2204">
          <cell r="L2204" t="str">
            <v>SY050204</v>
          </cell>
          <cell r="M2204" t="str">
            <v>C3203</v>
          </cell>
          <cell r="N2204" t="str">
            <v>Qahera\القاهرة</v>
          </cell>
        </row>
        <row r="2205">
          <cell r="L2205" t="str">
            <v>SY050204</v>
          </cell>
          <cell r="M2205" t="str">
            <v>C3206</v>
          </cell>
          <cell r="N2205" t="str">
            <v>Qirata\قيراطة</v>
          </cell>
        </row>
        <row r="2206">
          <cell r="L2206" t="str">
            <v>SY050204</v>
          </cell>
          <cell r="M2206" t="str">
            <v>C3205</v>
          </cell>
          <cell r="N2206" t="str">
            <v>Rasif\الرصيف</v>
          </cell>
        </row>
        <row r="2207">
          <cell r="L2207" t="str">
            <v>SY050204</v>
          </cell>
          <cell r="M2207" t="str">
            <v>C3204</v>
          </cell>
          <cell r="N2207" t="str">
            <v>Sehriyeh\صهرية</v>
          </cell>
        </row>
        <row r="2208">
          <cell r="L2208" t="str">
            <v>SY050204</v>
          </cell>
          <cell r="M2208" t="str">
            <v>C3191</v>
          </cell>
          <cell r="N2208" t="str">
            <v>Shahranaz\شهرناز</v>
          </cell>
        </row>
        <row r="2209">
          <cell r="L2209" t="str">
            <v>SY050204</v>
          </cell>
          <cell r="M2209" t="str">
            <v>C3197</v>
          </cell>
          <cell r="N2209" t="str">
            <v>Tal Hawash\تل هواش</v>
          </cell>
        </row>
        <row r="2210">
          <cell r="L2210" t="str">
            <v>SY050204</v>
          </cell>
          <cell r="M2210" t="str">
            <v>C3200</v>
          </cell>
          <cell r="N2210" t="str">
            <v>Tamanet Elghab\تمانعة الغاب</v>
          </cell>
        </row>
        <row r="2211">
          <cell r="L2211" t="str">
            <v>SY050204</v>
          </cell>
          <cell r="M2211" t="str">
            <v>C3188</v>
          </cell>
          <cell r="N2211" t="str">
            <v>Tweini\تويني</v>
          </cell>
        </row>
        <row r="2212">
          <cell r="L2212" t="str">
            <v>SY050204</v>
          </cell>
          <cell r="M2212" t="str">
            <v>C3196</v>
          </cell>
          <cell r="N2212" t="str">
            <v>Upper Hweijeh\حويجة فوقا</v>
          </cell>
        </row>
        <row r="2213">
          <cell r="L2213" t="str">
            <v>SY050300</v>
          </cell>
          <cell r="M2213" t="str">
            <v>C3243</v>
          </cell>
          <cell r="N2213" t="str">
            <v>Ali Kasun - Elsheikh Ali\علي كاسون_الشيخ علي</v>
          </cell>
        </row>
        <row r="2214">
          <cell r="L2214" t="str">
            <v>SY050300</v>
          </cell>
          <cell r="M2214" t="str">
            <v>C3244</v>
          </cell>
          <cell r="N2214" t="str">
            <v>As-Salamiyeh\السلمية</v>
          </cell>
        </row>
        <row r="2215">
          <cell r="L2215" t="str">
            <v>SY050300</v>
          </cell>
          <cell r="M2215" t="str">
            <v>C3231</v>
          </cell>
          <cell r="N2215" t="str">
            <v>Berdoneh\البردونة</v>
          </cell>
        </row>
        <row r="2216">
          <cell r="L2216" t="str">
            <v>SY050300</v>
          </cell>
          <cell r="M2216" t="str">
            <v>C3220</v>
          </cell>
          <cell r="N2216" t="str">
            <v>Buwayda\البويضة</v>
          </cell>
        </row>
        <row r="2217">
          <cell r="L2217" t="str">
            <v>SY050300</v>
          </cell>
          <cell r="M2217" t="str">
            <v>C3217</v>
          </cell>
          <cell r="N2217" t="str">
            <v>Danin\دنين</v>
          </cell>
        </row>
        <row r="2218">
          <cell r="L2218" t="str">
            <v>SY050300</v>
          </cell>
          <cell r="M2218" t="str">
            <v>C3218</v>
          </cell>
          <cell r="N2218" t="str">
            <v>Dneibeh\دنيبة</v>
          </cell>
        </row>
        <row r="2219">
          <cell r="L2219" t="str">
            <v>SY050300</v>
          </cell>
          <cell r="M2219" t="str">
            <v>C3210</v>
          </cell>
          <cell r="N2219" t="str">
            <v>Dweibeh\دويبة</v>
          </cell>
        </row>
        <row r="2220">
          <cell r="L2220" t="str">
            <v>SY050300</v>
          </cell>
          <cell r="M2220" t="str">
            <v>C3253</v>
          </cell>
          <cell r="N2220" t="str">
            <v>Fan Qabli\فان قبلي</v>
          </cell>
        </row>
        <row r="2221">
          <cell r="L2221" t="str">
            <v>SY050300</v>
          </cell>
          <cell r="M2221" t="str">
            <v>C3234</v>
          </cell>
          <cell r="N2221" t="str">
            <v>Ghawi\الغاوي</v>
          </cell>
        </row>
        <row r="2222">
          <cell r="L2222" t="str">
            <v>SY050300</v>
          </cell>
          <cell r="M2222" t="str">
            <v>C3248</v>
          </cell>
          <cell r="N2222" t="str">
            <v>Halban\حلبان</v>
          </cell>
        </row>
        <row r="2223">
          <cell r="L2223" t="str">
            <v>SY050300</v>
          </cell>
          <cell r="M2223" t="str">
            <v>C3225</v>
          </cell>
          <cell r="N2223" t="str">
            <v>Jamala\جمالة</v>
          </cell>
        </row>
        <row r="2224">
          <cell r="L2224" t="str">
            <v>SY050300</v>
          </cell>
          <cell r="M2224" t="str">
            <v>C3258</v>
          </cell>
          <cell r="N2224" t="str">
            <v>Kafat\كافات</v>
          </cell>
        </row>
        <row r="2225">
          <cell r="L2225" t="str">
            <v>SY050300</v>
          </cell>
          <cell r="M2225" t="str">
            <v>C3226</v>
          </cell>
          <cell r="N2225" t="str">
            <v>Karim\الكريم</v>
          </cell>
        </row>
        <row r="2226">
          <cell r="L2226" t="str">
            <v>SY050300</v>
          </cell>
          <cell r="M2226" t="str">
            <v>C3228</v>
          </cell>
          <cell r="N2226" t="str">
            <v>Khafiyeh\الخفية</v>
          </cell>
        </row>
        <row r="2227">
          <cell r="L2227" t="str">
            <v>SY050300</v>
          </cell>
          <cell r="M2227" t="str">
            <v>C3242</v>
          </cell>
          <cell r="N2227" t="str">
            <v>Khneifis\خنيفس</v>
          </cell>
        </row>
        <row r="2228">
          <cell r="L2228" t="str">
            <v>SY050300</v>
          </cell>
          <cell r="M2228" t="str">
            <v>C3256</v>
          </cell>
          <cell r="N2228" t="str">
            <v>Kitlun\كيتلون</v>
          </cell>
        </row>
        <row r="2229">
          <cell r="L2229" t="str">
            <v>SY050300</v>
          </cell>
          <cell r="M2229" t="str">
            <v>C3230</v>
          </cell>
          <cell r="N2229" t="str">
            <v>Malha\المالحة</v>
          </cell>
        </row>
        <row r="2230">
          <cell r="L2230" t="str">
            <v>SY050300</v>
          </cell>
          <cell r="M2230" t="str">
            <v>C3251</v>
          </cell>
          <cell r="N2230" t="str">
            <v>Marj Mattar\مرج مطر</v>
          </cell>
        </row>
        <row r="2231">
          <cell r="L2231" t="str">
            <v>SY050300</v>
          </cell>
          <cell r="M2231" t="str">
            <v>C3252</v>
          </cell>
          <cell r="N2231" t="str">
            <v>Middle Fan\فان وسطاني</v>
          </cell>
        </row>
        <row r="2232">
          <cell r="L2232" t="str">
            <v>SY050300</v>
          </cell>
          <cell r="M2232" t="str">
            <v>C3255</v>
          </cell>
          <cell r="N2232" t="str">
            <v>Nawa\نوى</v>
          </cell>
        </row>
        <row r="2233">
          <cell r="L2233" t="str">
            <v>SY050300</v>
          </cell>
          <cell r="M2233" t="str">
            <v>C3235</v>
          </cell>
          <cell r="N2233" t="str">
            <v>Oyur\العيور</v>
          </cell>
        </row>
        <row r="2234">
          <cell r="L2234" t="str">
            <v>SY050300</v>
          </cell>
          <cell r="M2234" t="str">
            <v>C3257</v>
          </cell>
          <cell r="N2234" t="str">
            <v>Qablahat\قبلهات</v>
          </cell>
        </row>
        <row r="2235">
          <cell r="L2235" t="str">
            <v>SY050300</v>
          </cell>
          <cell r="M2235" t="str">
            <v>C3254</v>
          </cell>
          <cell r="N2235" t="str">
            <v>Qubbet Elkordi\قبة الكردي</v>
          </cell>
        </row>
        <row r="2236">
          <cell r="L2236" t="str">
            <v>SY050300</v>
          </cell>
          <cell r="M2236" t="str">
            <v>C3240</v>
          </cell>
          <cell r="N2236" t="str">
            <v>Riba\الربا</v>
          </cell>
        </row>
        <row r="2237">
          <cell r="L2237" t="str">
            <v>SY050300</v>
          </cell>
          <cell r="M2237" t="str">
            <v>C3214</v>
          </cell>
          <cell r="N2237" t="str">
            <v>Sabil\السبيل</v>
          </cell>
        </row>
        <row r="2238">
          <cell r="L2238" t="str">
            <v>SY050300</v>
          </cell>
          <cell r="M2238" t="str">
            <v>C3238</v>
          </cell>
          <cell r="N2238" t="str">
            <v>Safawi\صفاوي</v>
          </cell>
        </row>
        <row r="2239">
          <cell r="L2239" t="str">
            <v>SY050300</v>
          </cell>
          <cell r="M2239" t="str">
            <v>C3227</v>
          </cell>
          <cell r="N2239" t="str">
            <v>Samneh\السمنة</v>
          </cell>
        </row>
        <row r="2240">
          <cell r="L2240" t="str">
            <v>SY050300</v>
          </cell>
          <cell r="M2240" t="str">
            <v>C3213</v>
          </cell>
          <cell r="N2240" t="str">
            <v>Sbaa\سباع</v>
          </cell>
        </row>
        <row r="2241">
          <cell r="L2241" t="str">
            <v>SY050300</v>
          </cell>
          <cell r="M2241" t="str">
            <v>C3247</v>
          </cell>
          <cell r="N2241" t="str">
            <v>Shakara\شكارة</v>
          </cell>
        </row>
        <row r="2242">
          <cell r="L2242" t="str">
            <v>SY050300</v>
          </cell>
          <cell r="M2242" t="str">
            <v>C3223</v>
          </cell>
          <cell r="N2242" t="str">
            <v>Sheikh Rih\الشيخ ريح</v>
          </cell>
        </row>
        <row r="2243">
          <cell r="L2243" t="str">
            <v>SY050300</v>
          </cell>
          <cell r="M2243" t="str">
            <v>C3219</v>
          </cell>
          <cell r="N2243" t="str">
            <v>Snideh\سنيدة</v>
          </cell>
        </row>
        <row r="2244">
          <cell r="L2244" t="str">
            <v>SY050300</v>
          </cell>
          <cell r="M2244" t="str">
            <v>C3221</v>
          </cell>
          <cell r="N2244" t="str">
            <v>Tal Ada\تل عدا</v>
          </cell>
        </row>
        <row r="2245">
          <cell r="L2245" t="str">
            <v>SY050300</v>
          </cell>
          <cell r="M2245" t="str">
            <v>C3212</v>
          </cell>
          <cell r="N2245" t="str">
            <v>Tal Dahab\تل ذهب</v>
          </cell>
        </row>
        <row r="2246">
          <cell r="L2246" t="str">
            <v>SY050300</v>
          </cell>
          <cell r="M2246" t="str">
            <v>C3249</v>
          </cell>
          <cell r="N2246" t="str">
            <v>Tal Hasan Basha\تل حسن باشا</v>
          </cell>
        </row>
        <row r="2247">
          <cell r="L2247" t="str">
            <v>SY050300</v>
          </cell>
          <cell r="M2247" t="str">
            <v>C3239</v>
          </cell>
          <cell r="N2247" t="str">
            <v>Tal Khazneh\تل خزنة</v>
          </cell>
        </row>
        <row r="2248">
          <cell r="L2248" t="str">
            <v>SY050300</v>
          </cell>
          <cell r="M2248" t="str">
            <v>C3216</v>
          </cell>
          <cell r="N2248" t="str">
            <v>Tal Sinan\تل سنان</v>
          </cell>
        </row>
        <row r="2249">
          <cell r="L2249" t="str">
            <v>SY050300</v>
          </cell>
          <cell r="M2249" t="str">
            <v>C3224</v>
          </cell>
          <cell r="N2249" t="str">
            <v>Taldara\تلدرة</v>
          </cell>
        </row>
        <row r="2250">
          <cell r="L2250" t="str">
            <v>SY050300</v>
          </cell>
          <cell r="M2250" t="str">
            <v>C3215</v>
          </cell>
          <cell r="N2250" t="str">
            <v>Thawra - Um Qalaq\الثورة_أم قلق</v>
          </cell>
        </row>
        <row r="2251">
          <cell r="L2251" t="str">
            <v>SY050300</v>
          </cell>
          <cell r="M2251" t="str">
            <v>C3236</v>
          </cell>
          <cell r="N2251" t="str">
            <v>Theil Elejel\ذيل العجل</v>
          </cell>
        </row>
        <row r="2252">
          <cell r="L2252" t="str">
            <v>SY050300</v>
          </cell>
          <cell r="M2252" t="str">
            <v>C3232</v>
          </cell>
          <cell r="N2252" t="str">
            <v>Tiba Elturki\طيبة التركي</v>
          </cell>
        </row>
        <row r="2253">
          <cell r="L2253" t="str">
            <v>SY050300</v>
          </cell>
          <cell r="M2253" t="str">
            <v>C3222</v>
          </cell>
          <cell r="N2253" t="str">
            <v>Tlul Elhomor\تلول الحمر</v>
          </cell>
        </row>
        <row r="2254">
          <cell r="L2254" t="str">
            <v>SY050300</v>
          </cell>
          <cell r="M2254" t="str">
            <v>C3245</v>
          </cell>
          <cell r="N2254" t="str">
            <v>Trad\طراد</v>
          </cell>
        </row>
        <row r="2255">
          <cell r="L2255" t="str">
            <v>SY050300</v>
          </cell>
          <cell r="M2255" t="str">
            <v>C3246</v>
          </cell>
          <cell r="N2255" t="str">
            <v>Tuba\الطوبا</v>
          </cell>
        </row>
        <row r="2256">
          <cell r="L2256" t="str">
            <v>SY050300</v>
          </cell>
          <cell r="M2256" t="str">
            <v>C3233</v>
          </cell>
          <cell r="N2256" t="str">
            <v>Um Elamad\أم العمد</v>
          </cell>
        </row>
        <row r="2257">
          <cell r="L2257" t="str">
            <v>SY050300</v>
          </cell>
          <cell r="M2257" t="str">
            <v>C3250</v>
          </cell>
          <cell r="N2257" t="str">
            <v>Um Tweineh\أم توينة</v>
          </cell>
        </row>
        <row r="2258">
          <cell r="L2258" t="str">
            <v>SY050300</v>
          </cell>
          <cell r="M2258" t="str">
            <v>C3211</v>
          </cell>
          <cell r="N2258" t="str">
            <v>Zaghrin - Elhawiyeh\زغرين_الهوية</v>
          </cell>
        </row>
        <row r="2259">
          <cell r="L2259" t="str">
            <v>SY050301</v>
          </cell>
          <cell r="M2259" t="str">
            <v>C3262</v>
          </cell>
          <cell r="N2259" t="str">
            <v>Abu Hanaya\أبو حنايا</v>
          </cell>
        </row>
        <row r="2260">
          <cell r="L2260" t="str">
            <v>SY050301</v>
          </cell>
          <cell r="M2260" t="str">
            <v>C3263</v>
          </cell>
          <cell r="N2260" t="str">
            <v>Abu Hbeilat\أبو حبيلات</v>
          </cell>
        </row>
        <row r="2261">
          <cell r="L2261" t="str">
            <v>SY050301</v>
          </cell>
          <cell r="M2261" t="str">
            <v>C3260</v>
          </cell>
          <cell r="N2261" t="str">
            <v>Akash\عكش</v>
          </cell>
        </row>
        <row r="2262">
          <cell r="L2262" t="str">
            <v>SY050301</v>
          </cell>
          <cell r="M2262" t="str">
            <v>C3264</v>
          </cell>
          <cell r="N2262" t="str">
            <v>Arshuneh\عرشونة</v>
          </cell>
        </row>
        <row r="2263">
          <cell r="L2263" t="str">
            <v>SY050301</v>
          </cell>
          <cell r="M2263" t="str">
            <v>C3261</v>
          </cell>
          <cell r="N2263" t="str">
            <v>Eastern Bari\بري شرقي</v>
          </cell>
        </row>
        <row r="2264">
          <cell r="L2264" t="str">
            <v>SY050301</v>
          </cell>
          <cell r="M2264" t="str">
            <v>C3270</v>
          </cell>
          <cell r="N2264" t="str">
            <v>Eastern Mafkar\مفكر شرقي</v>
          </cell>
        </row>
        <row r="2265">
          <cell r="L2265" t="str">
            <v>SY050301</v>
          </cell>
          <cell r="M2265" t="str">
            <v>C3271</v>
          </cell>
          <cell r="N2265" t="str">
            <v>Fritan\فريتان</v>
          </cell>
        </row>
        <row r="2266">
          <cell r="L2266" t="str">
            <v>SY050301</v>
          </cell>
          <cell r="M2266" t="str">
            <v>C3266</v>
          </cell>
          <cell r="N2266" t="str">
            <v>Hardana\الحردانة</v>
          </cell>
        </row>
        <row r="2267">
          <cell r="L2267" t="str">
            <v>SY050301</v>
          </cell>
          <cell r="M2267" t="str">
            <v>C3259</v>
          </cell>
          <cell r="N2267" t="str">
            <v>Khreijeh\الخريجة</v>
          </cell>
        </row>
        <row r="2268">
          <cell r="L2268" t="str">
            <v>SY050301</v>
          </cell>
          <cell r="M2268" t="str">
            <v>C3265</v>
          </cell>
          <cell r="N2268" t="str">
            <v>Tal Eltut\تل التوت</v>
          </cell>
        </row>
        <row r="2269">
          <cell r="L2269" t="str">
            <v>SY050301</v>
          </cell>
          <cell r="M2269" t="str">
            <v>C3267</v>
          </cell>
          <cell r="N2269" t="str">
            <v>Tal Jdeed\تل جديد</v>
          </cell>
        </row>
        <row r="2270">
          <cell r="L2270" t="str">
            <v>SY050301</v>
          </cell>
          <cell r="M2270" t="str">
            <v>C3269</v>
          </cell>
          <cell r="N2270" t="str">
            <v>Um Mil\أم ميل</v>
          </cell>
        </row>
        <row r="2271">
          <cell r="L2271" t="str">
            <v>SY050301</v>
          </cell>
          <cell r="M2271" t="str">
            <v>C3268</v>
          </cell>
          <cell r="N2271" t="str">
            <v>Western Brie\بري الغربي</v>
          </cell>
        </row>
        <row r="2272">
          <cell r="L2272" t="str">
            <v>SY050301</v>
          </cell>
          <cell r="M2272" t="str">
            <v>C3272</v>
          </cell>
          <cell r="N2272" t="str">
            <v>Western Mafkar\مفكر الغربي</v>
          </cell>
        </row>
        <row r="2273">
          <cell r="L2273" t="str">
            <v>SY050302</v>
          </cell>
          <cell r="M2273" t="str">
            <v>C3277</v>
          </cell>
          <cell r="N2273" t="str">
            <v>Abu Hreik\أبو حريق</v>
          </cell>
        </row>
        <row r="2274">
          <cell r="L2274" t="str">
            <v>SY050302</v>
          </cell>
          <cell r="M2274" t="str">
            <v>C3287</v>
          </cell>
          <cell r="N2274" t="str">
            <v>Abul Gor\أبو الغر</v>
          </cell>
        </row>
        <row r="2275">
          <cell r="L2275" t="str">
            <v>SY050302</v>
          </cell>
          <cell r="M2275" t="str">
            <v>C3279</v>
          </cell>
          <cell r="N2275" t="str">
            <v>Abul Kusour\أبو الكسور</v>
          </cell>
        </row>
        <row r="2276">
          <cell r="L2276" t="str">
            <v>SY050302</v>
          </cell>
          <cell r="M2276" t="str">
            <v>C3278</v>
          </cell>
          <cell r="N2276" t="str">
            <v>Amya\عمية</v>
          </cell>
        </row>
        <row r="2277">
          <cell r="L2277" t="str">
            <v>SY050302</v>
          </cell>
          <cell r="M2277" t="str">
            <v>C3290</v>
          </cell>
          <cell r="N2277" t="str">
            <v>Aniq Bajra\عنيق باجرة</v>
          </cell>
        </row>
        <row r="2278">
          <cell r="L2278" t="str">
            <v>SY050302</v>
          </cell>
          <cell r="M2278" t="str">
            <v>C3273</v>
          </cell>
          <cell r="N2278" t="str">
            <v>Asrieh\أسرية</v>
          </cell>
        </row>
        <row r="2279">
          <cell r="L2279" t="str">
            <v>SY050302</v>
          </cell>
          <cell r="M2279" t="str">
            <v>C3275</v>
          </cell>
          <cell r="N2279" t="str">
            <v>As-Saan\السعن</v>
          </cell>
        </row>
        <row r="2280">
          <cell r="L2280" t="str">
            <v>SY050302</v>
          </cell>
          <cell r="M2280" t="str">
            <v>C3282</v>
          </cell>
          <cell r="N2280" t="str">
            <v>Bgheidid\بغيديد</v>
          </cell>
        </row>
        <row r="2281">
          <cell r="L2281" t="str">
            <v>SY050302</v>
          </cell>
          <cell r="M2281" t="str">
            <v>C3292</v>
          </cell>
          <cell r="N2281" t="str">
            <v>Eastern Hart\هرط شرقي</v>
          </cell>
        </row>
        <row r="2282">
          <cell r="L2282" t="str">
            <v>SY050302</v>
          </cell>
          <cell r="M2282" t="str">
            <v>C3288</v>
          </cell>
          <cell r="N2282" t="str">
            <v>Eliyeh\علية</v>
          </cell>
        </row>
        <row r="2283">
          <cell r="L2283" t="str">
            <v>SY050302</v>
          </cell>
          <cell r="M2283" t="str">
            <v>C3276</v>
          </cell>
          <cell r="N2283" t="str">
            <v>Hasu Elablawi\حسو العلباوي</v>
          </cell>
        </row>
        <row r="2284">
          <cell r="L2284" t="str">
            <v>SY050302</v>
          </cell>
          <cell r="M2284" t="str">
            <v>C3280</v>
          </cell>
          <cell r="N2284" t="str">
            <v>Jakuziyeh\الجاكوسية</v>
          </cell>
        </row>
        <row r="2285">
          <cell r="L2285" t="str">
            <v>SY050302</v>
          </cell>
          <cell r="M2285" t="str">
            <v>C3286</v>
          </cell>
          <cell r="N2285" t="str">
            <v>Jeb Khsara\جب خسارة</v>
          </cell>
        </row>
        <row r="2286">
          <cell r="L2286" t="str">
            <v>SY050302</v>
          </cell>
          <cell r="M2286" t="str">
            <v>C3283</v>
          </cell>
          <cell r="N2286" t="str">
            <v>Ojet - Kabasin Elarab\عوجة_كباسين العرب</v>
          </cell>
        </row>
        <row r="2287">
          <cell r="L2287" t="str">
            <v>SY050302</v>
          </cell>
          <cell r="M2287" t="str">
            <v>C3284</v>
          </cell>
          <cell r="N2287" t="str">
            <v>Rahjan\رهجان</v>
          </cell>
        </row>
        <row r="2288">
          <cell r="L2288" t="str">
            <v>SY050302</v>
          </cell>
          <cell r="M2288" t="str">
            <v>C3285</v>
          </cell>
          <cell r="N2288" t="str">
            <v>Rasm Amun\رسم أمون</v>
          </cell>
        </row>
        <row r="2289">
          <cell r="L2289" t="str">
            <v>SY050302</v>
          </cell>
          <cell r="M2289" t="str">
            <v>C6346</v>
          </cell>
          <cell r="N2289" t="str">
            <v>Rasm Elahmar - Abu Hawadid\رسم الأحمر_أبو حواديد</v>
          </cell>
        </row>
        <row r="2290">
          <cell r="L2290" t="str">
            <v>SY050302</v>
          </cell>
          <cell r="M2290" t="str">
            <v>C3291</v>
          </cell>
          <cell r="N2290" t="str">
            <v>Sarha\سرحة</v>
          </cell>
        </row>
        <row r="2291">
          <cell r="L2291" t="str">
            <v>SY050302</v>
          </cell>
          <cell r="M2291" t="str">
            <v>C3281</v>
          </cell>
          <cell r="N2291" t="str">
            <v>Sheikh Hilal\الشيخ هلال</v>
          </cell>
        </row>
        <row r="2292">
          <cell r="L2292" t="str">
            <v>SY050302</v>
          </cell>
          <cell r="M2292" t="str">
            <v>C3289</v>
          </cell>
          <cell r="N2292" t="str">
            <v>Um Myal\أم ميال</v>
          </cell>
        </row>
        <row r="2293">
          <cell r="L2293" t="str">
            <v>SY050303</v>
          </cell>
          <cell r="M2293" t="str">
            <v>C3296</v>
          </cell>
          <cell r="N2293" t="str">
            <v>Abu Khanadeq\أبو خنادق</v>
          </cell>
        </row>
        <row r="2294">
          <cell r="L2294" t="str">
            <v>SY050303</v>
          </cell>
          <cell r="M2294" t="str">
            <v>C3300</v>
          </cell>
          <cell r="N2294" t="str">
            <v>Aqareb\عقارب</v>
          </cell>
        </row>
        <row r="2295">
          <cell r="L2295" t="str">
            <v>SY050303</v>
          </cell>
          <cell r="M2295" t="str">
            <v>C3310</v>
          </cell>
          <cell r="N2295" t="str">
            <v>Fweira\فويرة</v>
          </cell>
        </row>
        <row r="2296">
          <cell r="L2296" t="str">
            <v>SY050303</v>
          </cell>
          <cell r="M2296" t="str">
            <v>C3294</v>
          </cell>
          <cell r="N2296" t="str">
            <v>Jdideh\الجديدة</v>
          </cell>
        </row>
        <row r="2297">
          <cell r="L2297" t="str">
            <v>SY050303</v>
          </cell>
          <cell r="M2297" t="str">
            <v>C3298</v>
          </cell>
          <cell r="N2297" t="str">
            <v>Jeb Zreiq\جب زريق</v>
          </cell>
        </row>
        <row r="2298">
          <cell r="L2298" t="str">
            <v>SY050303</v>
          </cell>
          <cell r="M2298" t="str">
            <v>C3299</v>
          </cell>
          <cell r="N2298" t="str">
            <v>Jessine\جصين</v>
          </cell>
        </row>
        <row r="2299">
          <cell r="L2299" t="str">
            <v>SY050303</v>
          </cell>
          <cell r="M2299" t="str">
            <v>C3293</v>
          </cell>
          <cell r="N2299" t="str">
            <v>Khneifis Eldosa\خنيفس الدوسة</v>
          </cell>
        </row>
        <row r="2300">
          <cell r="L2300" t="str">
            <v>SY050303</v>
          </cell>
          <cell r="M2300" t="str">
            <v>C3308</v>
          </cell>
          <cell r="N2300" t="str">
            <v>Mabuja\مبعوجة</v>
          </cell>
        </row>
        <row r="2301">
          <cell r="L2301" t="str">
            <v>SY050303</v>
          </cell>
          <cell r="M2301" t="str">
            <v>C3309</v>
          </cell>
          <cell r="N2301" t="str">
            <v>Qanafeth\قنافذ</v>
          </cell>
        </row>
        <row r="2302">
          <cell r="L2302" t="str">
            <v>SY050303</v>
          </cell>
          <cell r="M2302" t="str">
            <v>C3307</v>
          </cell>
          <cell r="N2302" t="str">
            <v>Qbeibat\قبيبات</v>
          </cell>
        </row>
        <row r="2303">
          <cell r="L2303" t="str">
            <v>SY050303</v>
          </cell>
          <cell r="M2303" t="str">
            <v>C3297</v>
          </cell>
          <cell r="N2303" t="str">
            <v>Saboura\صبورة</v>
          </cell>
        </row>
        <row r="2304">
          <cell r="L2304" t="str">
            <v>SY050303</v>
          </cell>
          <cell r="M2304" t="str">
            <v>C3306</v>
          </cell>
          <cell r="N2304" t="str">
            <v>Salba\صلبا</v>
          </cell>
        </row>
        <row r="2305">
          <cell r="L2305" t="str">
            <v>SY050303</v>
          </cell>
          <cell r="M2305" t="str">
            <v>C3301</v>
          </cell>
          <cell r="N2305" t="str">
            <v>Samiriyeh\سميرية</v>
          </cell>
        </row>
        <row r="2306">
          <cell r="L2306" t="str">
            <v>SY050303</v>
          </cell>
          <cell r="M2306" t="str">
            <v>C3295</v>
          </cell>
          <cell r="N2306" t="str">
            <v>Shahba\شهبا</v>
          </cell>
        </row>
        <row r="2307">
          <cell r="L2307" t="str">
            <v>SY050303</v>
          </cell>
          <cell r="M2307" t="str">
            <v>C3303</v>
          </cell>
          <cell r="N2307" t="str">
            <v>Sheheib\الشهيب</v>
          </cell>
        </row>
        <row r="2308">
          <cell r="L2308" t="str">
            <v>SY050303</v>
          </cell>
          <cell r="M2308" t="str">
            <v>C3305</v>
          </cell>
          <cell r="N2308" t="str">
            <v>Tal Abdel Aziz \تل عبد العزيز</v>
          </cell>
        </row>
        <row r="2309">
          <cell r="L2309" t="str">
            <v>SY050303</v>
          </cell>
          <cell r="M2309" t="str">
            <v>C3304</v>
          </cell>
          <cell r="N2309" t="str">
            <v>Tal Agher\تل أغر</v>
          </cell>
        </row>
        <row r="2310">
          <cell r="L2310" t="str">
            <v>SY050303</v>
          </cell>
          <cell r="M2310" t="str">
            <v>C3302</v>
          </cell>
          <cell r="N2310" t="str">
            <v>Um Khreizeh\أم خريزة</v>
          </cell>
        </row>
        <row r="2311">
          <cell r="L2311" t="str">
            <v>SY050304</v>
          </cell>
          <cell r="M2311" t="str">
            <v>C3316</v>
          </cell>
          <cell r="N2311" t="str">
            <v>Abu Dali\أبو دالي</v>
          </cell>
        </row>
        <row r="2312">
          <cell r="L2312" t="str">
            <v>SY050304</v>
          </cell>
          <cell r="M2312" t="str">
            <v>C3323</v>
          </cell>
          <cell r="N2312" t="str">
            <v>Abu Hakfa\أبو حكفة</v>
          </cell>
        </row>
        <row r="2313">
          <cell r="L2313" t="str">
            <v>SY050304</v>
          </cell>
          <cell r="M2313" t="str">
            <v>C3311</v>
          </cell>
          <cell r="N2313" t="str">
            <v>Abul Fashafish\أبو الفشافيش</v>
          </cell>
        </row>
        <row r="2314">
          <cell r="L2314" t="str">
            <v>SY050304</v>
          </cell>
          <cell r="M2314" t="str">
            <v>C3329</v>
          </cell>
          <cell r="N2314" t="str">
            <v>Bustan Sbeih\بستان صبيح</v>
          </cell>
        </row>
        <row r="2315">
          <cell r="L2315" t="str">
            <v>SY050304</v>
          </cell>
          <cell r="M2315" t="str">
            <v>C3313</v>
          </cell>
          <cell r="N2315" t="str">
            <v>Dakileh\دكيلة</v>
          </cell>
        </row>
        <row r="2316">
          <cell r="L2316" t="str">
            <v>SY050304</v>
          </cell>
          <cell r="M2316" t="str">
            <v>C3319</v>
          </cell>
          <cell r="N2316" t="str">
            <v>Hamadi Elomr - Kawkab Elsweid\حمادي العمر_كوكب السويد</v>
          </cell>
        </row>
        <row r="2317">
          <cell r="L2317" t="str">
            <v>SY050304</v>
          </cell>
          <cell r="M2317" t="str">
            <v>C3325</v>
          </cell>
          <cell r="N2317" t="str">
            <v>Hanuteh\الحانوتة</v>
          </cell>
        </row>
        <row r="2318">
          <cell r="L2318" t="str">
            <v>SY050304</v>
          </cell>
          <cell r="M2318" t="str">
            <v>C3331</v>
          </cell>
          <cell r="N2318" t="str">
            <v>Hdaj\هداج</v>
          </cell>
        </row>
        <row r="2319">
          <cell r="L2319" t="str">
            <v>SY050304</v>
          </cell>
          <cell r="M2319" t="str">
            <v>C3321</v>
          </cell>
          <cell r="N2319" t="str">
            <v>Jani Elelbawi\جني العلباوي</v>
          </cell>
        </row>
        <row r="2320">
          <cell r="L2320" t="str">
            <v>SY050304</v>
          </cell>
          <cell r="M2320" t="str">
            <v>C3324</v>
          </cell>
          <cell r="N2320" t="str">
            <v>Jeb Abyad - Byud\جب الأبيض_بيوض</v>
          </cell>
        </row>
        <row r="2321">
          <cell r="L2321" t="str">
            <v>SY050304</v>
          </cell>
          <cell r="M2321" t="str">
            <v>C3318</v>
          </cell>
          <cell r="N2321" t="str">
            <v>Jeb Dkileh\جب دكيلة</v>
          </cell>
        </row>
        <row r="2322">
          <cell r="L2322" t="str">
            <v>SY050304</v>
          </cell>
          <cell r="M2322" t="str">
            <v>C3326</v>
          </cell>
          <cell r="N2322" t="str">
            <v>Jruh\جروح</v>
          </cell>
        </row>
        <row r="2323">
          <cell r="L2323" t="str">
            <v>SY050304</v>
          </cell>
          <cell r="M2323" t="str">
            <v>C3312</v>
          </cell>
          <cell r="N2323" t="str">
            <v>Makhbuta\المخبوطة</v>
          </cell>
        </row>
        <row r="2324">
          <cell r="L2324" t="str">
            <v>SY050304</v>
          </cell>
          <cell r="M2324" t="str">
            <v>C3333</v>
          </cell>
          <cell r="N2324" t="str">
            <v>Masud\مسعود</v>
          </cell>
        </row>
        <row r="2325">
          <cell r="L2325" t="str">
            <v>SY050304</v>
          </cell>
          <cell r="M2325" t="str">
            <v>C3332</v>
          </cell>
          <cell r="N2325" t="str">
            <v>Msheirfeh\مشيرفة</v>
          </cell>
        </row>
        <row r="2326">
          <cell r="L2326" t="str">
            <v>SY050304</v>
          </cell>
          <cell r="M2326" t="str">
            <v>C3330</v>
          </cell>
          <cell r="N2326" t="str">
            <v>Neimiyeh\النعيمية</v>
          </cell>
        </row>
        <row r="2327">
          <cell r="L2327" t="str">
            <v>SY050304</v>
          </cell>
          <cell r="M2327" t="str">
            <v>C3334</v>
          </cell>
          <cell r="N2327" t="str">
            <v>Northern Mkeimin\مكيمن شمالي</v>
          </cell>
        </row>
        <row r="2328">
          <cell r="L2328" t="str">
            <v>SY050304</v>
          </cell>
          <cell r="M2328" t="str">
            <v>C3315</v>
          </cell>
          <cell r="N2328" t="str">
            <v>Oqeirbat\عقيربات</v>
          </cell>
        </row>
        <row r="2329">
          <cell r="L2329" t="str">
            <v>SY050304</v>
          </cell>
          <cell r="M2329" t="str">
            <v>C3322</v>
          </cell>
          <cell r="N2329" t="str">
            <v>Qastal\القسطل</v>
          </cell>
        </row>
        <row r="2330">
          <cell r="L2330" t="str">
            <v>SY050304</v>
          </cell>
          <cell r="M2330" t="str">
            <v>C3317</v>
          </cell>
          <cell r="N2330" t="str">
            <v>Rasm Elabed\رسم العبد</v>
          </cell>
        </row>
        <row r="2331">
          <cell r="L2331" t="str">
            <v>SY050304</v>
          </cell>
          <cell r="M2331" t="str">
            <v>C6347</v>
          </cell>
          <cell r="N2331" t="str">
            <v>Rasm Elbardaqana\رسم البردقانة</v>
          </cell>
        </row>
        <row r="2332">
          <cell r="L2332" t="str">
            <v>SY050304</v>
          </cell>
          <cell r="M2332" t="str">
            <v>C3314</v>
          </cell>
          <cell r="N2332" t="str">
            <v>Rweideh\الرويضة</v>
          </cell>
        </row>
        <row r="2333">
          <cell r="L2333" t="str">
            <v>SY050304</v>
          </cell>
          <cell r="M2333" t="str">
            <v>C3327</v>
          </cell>
          <cell r="N2333" t="str">
            <v>Suha\سوحا</v>
          </cell>
        </row>
        <row r="2334">
          <cell r="L2334" t="str">
            <v>SY050304</v>
          </cell>
          <cell r="M2334" t="str">
            <v>C3328</v>
          </cell>
          <cell r="N2334" t="str">
            <v>Tabara Elhamra\تبارة الحمراء</v>
          </cell>
        </row>
        <row r="2335">
          <cell r="L2335" t="str">
            <v>SY050304</v>
          </cell>
          <cell r="M2335" t="str">
            <v>C3320</v>
          </cell>
          <cell r="N2335" t="str">
            <v>Tehmaz\طهماز</v>
          </cell>
        </row>
        <row r="2336">
          <cell r="L2336" t="str">
            <v>SY050400</v>
          </cell>
          <cell r="M2336" t="str">
            <v>C3350</v>
          </cell>
          <cell r="N2336" t="str">
            <v>Anbura\عنبورة</v>
          </cell>
        </row>
        <row r="2337">
          <cell r="L2337" t="str">
            <v>SY050400</v>
          </cell>
          <cell r="M2337" t="str">
            <v>C3349</v>
          </cell>
          <cell r="N2337" t="str">
            <v>Bayada  \البياضية</v>
          </cell>
        </row>
        <row r="2338">
          <cell r="L2338" t="str">
            <v>SY050400</v>
          </cell>
          <cell r="M2338" t="str">
            <v>C3348</v>
          </cell>
          <cell r="N2338" t="str">
            <v>Beida\البيضة</v>
          </cell>
        </row>
        <row r="2339">
          <cell r="L2339" t="str">
            <v>SY050400</v>
          </cell>
          <cell r="M2339" t="str">
            <v>C3357</v>
          </cell>
          <cell r="N2339" t="str">
            <v>Biqraqa\بقراقة</v>
          </cell>
        </row>
        <row r="2340">
          <cell r="L2340" t="str">
            <v>SY050400</v>
          </cell>
          <cell r="M2340" t="str">
            <v>C3359</v>
          </cell>
          <cell r="N2340" t="str">
            <v>Bostan\البستان</v>
          </cell>
        </row>
        <row r="2341">
          <cell r="L2341" t="str">
            <v>SY050400</v>
          </cell>
          <cell r="M2341" t="str">
            <v>C3358</v>
          </cell>
          <cell r="N2341" t="str">
            <v>Bqasqas\بقصقص</v>
          </cell>
        </row>
        <row r="2342">
          <cell r="L2342" t="str">
            <v>SY050400</v>
          </cell>
          <cell r="M2342" t="str">
            <v>C3346</v>
          </cell>
          <cell r="N2342" t="str">
            <v>Deir Elsalib\دير الصليب</v>
          </cell>
        </row>
        <row r="2343">
          <cell r="L2343" t="str">
            <v>SY050400</v>
          </cell>
          <cell r="M2343" t="str">
            <v>C3336</v>
          </cell>
          <cell r="N2343" t="str">
            <v>Deir Mama\دير ماما</v>
          </cell>
        </row>
        <row r="2344">
          <cell r="L2344" t="str">
            <v>SY050400</v>
          </cell>
          <cell r="M2344" t="str">
            <v>C3363</v>
          </cell>
          <cell r="N2344" t="str">
            <v>Findara\فندارة</v>
          </cell>
        </row>
        <row r="2345">
          <cell r="L2345" t="str">
            <v>SY050400</v>
          </cell>
          <cell r="M2345" t="str">
            <v>C3335</v>
          </cell>
          <cell r="N2345" t="str">
            <v>Hayluneh\الحيلونة</v>
          </cell>
        </row>
        <row r="2346">
          <cell r="L2346" t="str">
            <v>SY050400</v>
          </cell>
          <cell r="M2346" t="str">
            <v>C3340</v>
          </cell>
          <cell r="N2346" t="str">
            <v>Hiyalin\حيالين</v>
          </cell>
        </row>
        <row r="2347">
          <cell r="L2347" t="str">
            <v>SY050400</v>
          </cell>
          <cell r="M2347" t="str">
            <v>C3337</v>
          </cell>
          <cell r="N2347" t="str">
            <v>Hreif\الحريف</v>
          </cell>
        </row>
        <row r="2348">
          <cell r="L2348" t="str">
            <v>SY050400</v>
          </cell>
          <cell r="M2348" t="str">
            <v>C3344</v>
          </cell>
          <cell r="N2348" t="str">
            <v>Jobet Kalakh\جوبة كلخ</v>
          </cell>
        </row>
        <row r="2349">
          <cell r="L2349" t="str">
            <v>SY050400</v>
          </cell>
          <cell r="M2349" t="str">
            <v>C3365</v>
          </cell>
          <cell r="N2349" t="str">
            <v>Kafr Aqid\كفر عقيد</v>
          </cell>
        </row>
        <row r="2350">
          <cell r="L2350" t="str">
            <v>SY050400</v>
          </cell>
          <cell r="M2350" t="str">
            <v>C3345</v>
          </cell>
          <cell r="N2350" t="str">
            <v>Laqbba\اللقبة</v>
          </cell>
        </row>
        <row r="2351">
          <cell r="L2351" t="str">
            <v>SY050400</v>
          </cell>
          <cell r="M2351" t="str">
            <v>C3364</v>
          </cell>
          <cell r="N2351" t="str">
            <v>Mashta Deir Mama\مشتى دير ماما</v>
          </cell>
        </row>
        <row r="2352">
          <cell r="L2352" t="str">
            <v>SY050400</v>
          </cell>
          <cell r="M2352" t="str">
            <v>C3367</v>
          </cell>
          <cell r="N2352" t="str">
            <v>Masyaf\مصياف</v>
          </cell>
        </row>
        <row r="2353">
          <cell r="L2353" t="str">
            <v>SY050400</v>
          </cell>
          <cell r="M2353" t="str">
            <v>C3353</v>
          </cell>
          <cell r="N2353" t="str">
            <v>Nahda\النهضة</v>
          </cell>
        </row>
        <row r="2354">
          <cell r="L2354" t="str">
            <v>SY050400</v>
          </cell>
          <cell r="M2354" t="str">
            <v>C3361</v>
          </cell>
          <cell r="N2354" t="str">
            <v>Qabu Shamsiyeh\قبو شمسية</v>
          </cell>
        </row>
        <row r="2355">
          <cell r="L2355" t="str">
            <v>SY050400</v>
          </cell>
          <cell r="M2355" t="str">
            <v>C3362</v>
          </cell>
          <cell r="N2355" t="str">
            <v>Qasr Deir Hwit\قصر دير حويت</v>
          </cell>
        </row>
        <row r="2356">
          <cell r="L2356" t="str">
            <v>SY050400</v>
          </cell>
          <cell r="M2356" t="str">
            <v>C3368</v>
          </cell>
          <cell r="N2356" t="str">
            <v>Qayrun\قيرون</v>
          </cell>
        </row>
        <row r="2357">
          <cell r="L2357" t="str">
            <v>SY050400</v>
          </cell>
          <cell r="M2357" t="str">
            <v>C3366</v>
          </cell>
          <cell r="N2357" t="str">
            <v>Qurtman - Qurret Dokar\قرطمان_قرة دوكار</v>
          </cell>
        </row>
        <row r="2358">
          <cell r="L2358" t="str">
            <v>SY050400</v>
          </cell>
          <cell r="M2358" t="str">
            <v>C3343</v>
          </cell>
          <cell r="N2358" t="str">
            <v>Rabu\ربعو</v>
          </cell>
        </row>
        <row r="2359">
          <cell r="L2359" t="str">
            <v>SY050400</v>
          </cell>
          <cell r="M2359" t="str">
            <v>C3360</v>
          </cell>
          <cell r="N2359" t="str">
            <v>Rasafa\الرصافة</v>
          </cell>
        </row>
        <row r="2360">
          <cell r="L2360" t="str">
            <v>SY050400</v>
          </cell>
          <cell r="M2360" t="str">
            <v>C3355</v>
          </cell>
          <cell r="N2360" t="str">
            <v>Shiha\الشيحة</v>
          </cell>
        </row>
        <row r="2361">
          <cell r="L2361" t="str">
            <v>SY050400</v>
          </cell>
          <cell r="M2361" t="str">
            <v>C3347</v>
          </cell>
          <cell r="N2361" t="str">
            <v>Sigata\سيغاتا</v>
          </cell>
        </row>
        <row r="2362">
          <cell r="L2362" t="str">
            <v>SY050400</v>
          </cell>
          <cell r="M2362" t="str">
            <v>C3341</v>
          </cell>
          <cell r="N2362" t="str">
            <v>Sweida\السويدة</v>
          </cell>
        </row>
        <row r="2363">
          <cell r="L2363" t="str">
            <v>SY050400</v>
          </cell>
          <cell r="M2363" t="str">
            <v>C3338</v>
          </cell>
          <cell r="N2363" t="str">
            <v>Tal Aafar\تل أعفر</v>
          </cell>
        </row>
        <row r="2364">
          <cell r="L2364" t="str">
            <v>SY050400</v>
          </cell>
          <cell r="M2364" t="str">
            <v>C3339</v>
          </cell>
          <cell r="N2364" t="str">
            <v>Tayr Jamlah\طير جملة</v>
          </cell>
        </row>
        <row r="2365">
          <cell r="L2365" t="str">
            <v>SY050400</v>
          </cell>
          <cell r="M2365" t="str">
            <v>C3342</v>
          </cell>
          <cell r="N2365" t="str">
            <v>Teir Jebeh\طير جبة</v>
          </cell>
        </row>
        <row r="2366">
          <cell r="L2366" t="str">
            <v>SY050400</v>
          </cell>
          <cell r="M2366" t="str">
            <v>C3356</v>
          </cell>
          <cell r="N2366" t="str">
            <v>Zameliyeh\الزاملية</v>
          </cell>
        </row>
        <row r="2367">
          <cell r="L2367" t="str">
            <v>SY050400</v>
          </cell>
          <cell r="M2367" t="str">
            <v>C3351</v>
          </cell>
          <cell r="N2367" t="str">
            <v>Zeineh\الزينة</v>
          </cell>
        </row>
        <row r="2368">
          <cell r="L2368" t="str">
            <v>SY050401</v>
          </cell>
          <cell r="M2368" t="str">
            <v>C3370</v>
          </cell>
          <cell r="N2368" t="str">
            <v>Alamiyeh\العالمية</v>
          </cell>
        </row>
        <row r="2369">
          <cell r="L2369" t="str">
            <v>SY050401</v>
          </cell>
          <cell r="M2369" t="str">
            <v>C3374</v>
          </cell>
          <cell r="N2369" t="str">
            <v>Aslieh\أصيلة</v>
          </cell>
        </row>
        <row r="2370">
          <cell r="L2370" t="str">
            <v>SY050401</v>
          </cell>
          <cell r="M2370" t="str">
            <v>C3373</v>
          </cell>
          <cell r="N2370" t="str">
            <v>Deir Shmil\دير شميل</v>
          </cell>
        </row>
        <row r="2371">
          <cell r="L2371" t="str">
            <v>SY050401</v>
          </cell>
          <cell r="M2371" t="str">
            <v>C3375</v>
          </cell>
          <cell r="N2371" t="str">
            <v>Dimo\ديمو</v>
          </cell>
        </row>
        <row r="2372">
          <cell r="L2372" t="str">
            <v>SY050401</v>
          </cell>
          <cell r="M2372" t="str">
            <v>C3380</v>
          </cell>
          <cell r="N2372" t="str">
            <v>Hanjur\حنجور</v>
          </cell>
        </row>
        <row r="2373">
          <cell r="L2373" t="str">
            <v>SY050401</v>
          </cell>
          <cell r="M2373" t="str">
            <v>C3369</v>
          </cell>
          <cell r="N2373" t="str">
            <v>Hazana\الهزانة</v>
          </cell>
        </row>
        <row r="2374">
          <cell r="L2374" t="str">
            <v>SY050401</v>
          </cell>
          <cell r="M2374" t="str">
            <v>C3371</v>
          </cell>
          <cell r="N2374" t="str">
            <v>Jeb Ramleh\جب رملة</v>
          </cell>
        </row>
        <row r="2375">
          <cell r="L2375" t="str">
            <v>SY050401</v>
          </cell>
          <cell r="M2375" t="str">
            <v>C3452</v>
          </cell>
          <cell r="N2375" t="str">
            <v>Jreijes\جريجس</v>
          </cell>
        </row>
        <row r="2376">
          <cell r="L2376" t="str">
            <v>SY050401</v>
          </cell>
          <cell r="M2376" t="str">
            <v>C3382</v>
          </cell>
          <cell r="N2376" t="str">
            <v>Kanfo\كنفو</v>
          </cell>
        </row>
        <row r="2377">
          <cell r="L2377" t="str">
            <v>SY050401</v>
          </cell>
          <cell r="M2377" t="str">
            <v>C3379</v>
          </cell>
          <cell r="N2377" t="str">
            <v>Khan Jleimdun\خان جليمدون</v>
          </cell>
        </row>
        <row r="2378">
          <cell r="L2378" t="str">
            <v>SY050401</v>
          </cell>
          <cell r="M2378" t="str">
            <v>C3384</v>
          </cell>
          <cell r="N2378" t="str">
            <v>Ma'arrin\معرين</v>
          </cell>
        </row>
        <row r="2379">
          <cell r="L2379" t="str">
            <v>SY050401</v>
          </cell>
          <cell r="M2379" t="str">
            <v>C3385</v>
          </cell>
          <cell r="N2379" t="str">
            <v>Mahruseh\محروسة</v>
          </cell>
        </row>
        <row r="2380">
          <cell r="L2380" t="str">
            <v>SY050401</v>
          </cell>
          <cell r="M2380" t="str">
            <v>C3383</v>
          </cell>
          <cell r="N2380" t="str">
            <v>Mushashin\موشاشين</v>
          </cell>
        </row>
        <row r="2381">
          <cell r="L2381" t="str">
            <v>SY050401</v>
          </cell>
          <cell r="M2381" t="str">
            <v>C3376</v>
          </cell>
          <cell r="N2381" t="str">
            <v>Oqeirba \عقيربة</v>
          </cell>
        </row>
        <row r="2382">
          <cell r="L2382" t="str">
            <v>SY050401</v>
          </cell>
          <cell r="M2382" t="str">
            <v>C3378</v>
          </cell>
          <cell r="N2382" t="str">
            <v>Qrayat\القريات</v>
          </cell>
        </row>
        <row r="2383">
          <cell r="L2383" t="str">
            <v>SY050401</v>
          </cell>
          <cell r="M2383" t="str">
            <v>C3381</v>
          </cell>
          <cell r="N2383" t="str">
            <v>Sarmiyeh\الصارمية</v>
          </cell>
        </row>
        <row r="2384">
          <cell r="L2384" t="str">
            <v>SY050401</v>
          </cell>
          <cell r="M2384" t="str">
            <v>C3372</v>
          </cell>
          <cell r="N2384" t="str">
            <v>Sulukiyeh\سلوكية</v>
          </cell>
        </row>
        <row r="2385">
          <cell r="L2385" t="str">
            <v>SY050401</v>
          </cell>
          <cell r="M2385" t="str">
            <v>C3377</v>
          </cell>
          <cell r="N2385" t="str">
            <v>Zawi - Zawyeh\الزاوي_الزاوية</v>
          </cell>
        </row>
        <row r="2386">
          <cell r="L2386" t="str">
            <v>SY050402</v>
          </cell>
          <cell r="M2386" t="str">
            <v>C3390</v>
          </cell>
          <cell r="N2386" t="str">
            <v>Akakir\عكاكير</v>
          </cell>
        </row>
        <row r="2387">
          <cell r="L2387" t="str">
            <v>SY050402</v>
          </cell>
          <cell r="M2387" t="str">
            <v>C3394</v>
          </cell>
          <cell r="N2387" t="str">
            <v>Ashrafiya - Kanazir\الأشرفية_خنازير</v>
          </cell>
        </row>
        <row r="2388">
          <cell r="L2388" t="str">
            <v>SY050402</v>
          </cell>
          <cell r="M2388" t="str">
            <v>C3391</v>
          </cell>
          <cell r="N2388" t="str">
            <v>Barin\بعرين</v>
          </cell>
        </row>
        <row r="2389">
          <cell r="L2389" t="str">
            <v>SY050402</v>
          </cell>
          <cell r="M2389" t="str">
            <v>C3388</v>
          </cell>
          <cell r="N2389" t="str">
            <v>Beshnine\بشنين</v>
          </cell>
        </row>
        <row r="2390">
          <cell r="L2390" t="str">
            <v>SY050402</v>
          </cell>
          <cell r="M2390" t="str">
            <v>C3400</v>
          </cell>
          <cell r="N2390" t="str">
            <v>Hawir Elturkman\حوير التركمان</v>
          </cell>
        </row>
        <row r="2391">
          <cell r="L2391" t="str">
            <v>SY050402</v>
          </cell>
          <cell r="M2391" t="str">
            <v>C3398</v>
          </cell>
          <cell r="N2391" t="str">
            <v>Kafr Kamra\كفر كمرة</v>
          </cell>
        </row>
        <row r="2392">
          <cell r="L2392" t="str">
            <v>SY050402</v>
          </cell>
          <cell r="M2392" t="str">
            <v>C3386</v>
          </cell>
          <cell r="N2392" t="str">
            <v>Kherbet Nisaf\خربة نيصاف</v>
          </cell>
        </row>
        <row r="2393">
          <cell r="L2393" t="str">
            <v>SY050402</v>
          </cell>
          <cell r="M2393" t="str">
            <v>C3396</v>
          </cell>
          <cell r="N2393" t="str">
            <v>Mreimin\مريمين</v>
          </cell>
        </row>
        <row r="2394">
          <cell r="L2394" t="str">
            <v>SY050402</v>
          </cell>
          <cell r="M2394" t="str">
            <v>C3397</v>
          </cell>
          <cell r="N2394" t="str">
            <v>Nisaf\نيصاف</v>
          </cell>
        </row>
        <row r="2395">
          <cell r="L2395" t="str">
            <v>SY050402</v>
          </cell>
          <cell r="M2395" t="str">
            <v>C3392</v>
          </cell>
          <cell r="N2395" t="str">
            <v>Oj\عوج</v>
          </cell>
        </row>
        <row r="2396">
          <cell r="L2396" t="str">
            <v>SY050402</v>
          </cell>
          <cell r="M2396" t="str">
            <v>C3395</v>
          </cell>
          <cell r="N2396" t="str">
            <v>Qarmas\قرمص</v>
          </cell>
        </row>
        <row r="2397">
          <cell r="L2397" t="str">
            <v>SY050402</v>
          </cell>
          <cell r="M2397" t="str">
            <v>C3399</v>
          </cell>
          <cell r="N2397" t="str">
            <v>Qasraya\قصرايا</v>
          </cell>
        </row>
        <row r="2398">
          <cell r="L2398" t="str">
            <v>SY050402</v>
          </cell>
          <cell r="M2398" t="str">
            <v>C3387</v>
          </cell>
          <cell r="N2398" t="str">
            <v>Tauneh\التاعونة</v>
          </cell>
        </row>
        <row r="2399">
          <cell r="L2399" t="str">
            <v>SY050402</v>
          </cell>
          <cell r="M2399" t="str">
            <v>C3389</v>
          </cell>
          <cell r="N2399" t="str">
            <v>Zor Barin\زور بعرين</v>
          </cell>
        </row>
        <row r="2400">
          <cell r="L2400" t="str">
            <v>SY050403</v>
          </cell>
          <cell r="M2400" t="str">
            <v>C3404</v>
          </cell>
          <cell r="N2400" t="str">
            <v>Aqdokar\أق دوكار</v>
          </cell>
        </row>
        <row r="2401">
          <cell r="L2401" t="str">
            <v>SY050403</v>
          </cell>
          <cell r="M2401" t="str">
            <v>C3402</v>
          </cell>
          <cell r="N2401" t="str">
            <v>Asheq Omar\عاشق عمر</v>
          </cell>
        </row>
        <row r="2402">
          <cell r="L2402" t="str">
            <v>SY050403</v>
          </cell>
          <cell r="M2402" t="str">
            <v>C3406</v>
          </cell>
          <cell r="N2402" t="str">
            <v>Baamra\بعمرة</v>
          </cell>
        </row>
        <row r="2403">
          <cell r="L2403" t="str">
            <v>SY050403</v>
          </cell>
          <cell r="M2403" t="str">
            <v>C3407</v>
          </cell>
          <cell r="N2403" t="str">
            <v>Barshime\برشين</v>
          </cell>
        </row>
        <row r="2404">
          <cell r="L2404" t="str">
            <v>SY050403</v>
          </cell>
          <cell r="M2404" t="str">
            <v>C3411</v>
          </cell>
          <cell r="N2404" t="str">
            <v>Beit Nater\بيت ناطر</v>
          </cell>
        </row>
        <row r="2405">
          <cell r="L2405" t="str">
            <v>SY050403</v>
          </cell>
          <cell r="M2405" t="str">
            <v>C3413</v>
          </cell>
          <cell r="N2405" t="str">
            <v>Dleibeh\الدليبة</v>
          </cell>
        </row>
        <row r="2406">
          <cell r="L2406" t="str">
            <v>SY050403</v>
          </cell>
          <cell r="M2406" t="str">
            <v>C3405</v>
          </cell>
          <cell r="N2406" t="str">
            <v>Ein Elshams\عين الشمس</v>
          </cell>
        </row>
        <row r="2407">
          <cell r="L2407" t="str">
            <v>SY050403</v>
          </cell>
          <cell r="M2407" t="str">
            <v>C3403</v>
          </cell>
          <cell r="N2407" t="str">
            <v>Ein Halaqim\عين حلاقيم</v>
          </cell>
        </row>
        <row r="2408">
          <cell r="L2408" t="str">
            <v>SY050403</v>
          </cell>
          <cell r="M2408" t="str">
            <v>C3416</v>
          </cell>
          <cell r="N2408" t="str">
            <v>Elayan Castle\قلعة عليان</v>
          </cell>
        </row>
        <row r="2409">
          <cell r="L2409" t="str">
            <v>SY050403</v>
          </cell>
          <cell r="M2409" t="str">
            <v>C3412</v>
          </cell>
          <cell r="N2409" t="str">
            <v>Harmal\حرمل</v>
          </cell>
        </row>
        <row r="2410">
          <cell r="L2410" t="str">
            <v>SY050403</v>
          </cell>
          <cell r="M2410" t="str">
            <v>C3414</v>
          </cell>
          <cell r="N2410" t="str">
            <v>Hikr Beit Atiq\حكر بيت عتق</v>
          </cell>
        </row>
        <row r="2411">
          <cell r="L2411" t="str">
            <v>SY050403</v>
          </cell>
          <cell r="M2411" t="str">
            <v>C3415</v>
          </cell>
          <cell r="N2411" t="str">
            <v>Kahf Elhabash\كهف الحبش</v>
          </cell>
        </row>
        <row r="2412">
          <cell r="L2412" t="str">
            <v>SY050403</v>
          </cell>
          <cell r="M2412" t="str">
            <v>C3409</v>
          </cell>
          <cell r="N2412" t="str">
            <v>Kherbet Hzur\خربة حزور</v>
          </cell>
        </row>
        <row r="2413">
          <cell r="L2413" t="str">
            <v>SY050403</v>
          </cell>
          <cell r="M2413" t="str">
            <v>C3410</v>
          </cell>
          <cell r="N2413" t="str">
            <v>Majwi\المجوي</v>
          </cell>
        </row>
        <row r="2414">
          <cell r="L2414" t="str">
            <v>SY050403</v>
          </cell>
          <cell r="M2414" t="str">
            <v>C3408</v>
          </cell>
          <cell r="N2414" t="str">
            <v>Mashrafa\المشرفة</v>
          </cell>
        </row>
        <row r="2415">
          <cell r="L2415" t="str">
            <v>SY050403</v>
          </cell>
          <cell r="M2415" t="str">
            <v>C3401</v>
          </cell>
          <cell r="N2415" t="str">
            <v>Tin Elsabil\تين السبيل</v>
          </cell>
        </row>
        <row r="2416">
          <cell r="L2416" t="str">
            <v>SY050404</v>
          </cell>
          <cell r="M2416" t="str">
            <v>C3428</v>
          </cell>
          <cell r="N2416" t="str">
            <v>Ameriyeh\العامرية</v>
          </cell>
        </row>
        <row r="2417">
          <cell r="L2417" t="str">
            <v>SY050404</v>
          </cell>
          <cell r="M2417" t="str">
            <v>C3419</v>
          </cell>
          <cell r="N2417" t="str">
            <v>Bashawi\بشاوي</v>
          </cell>
        </row>
        <row r="2418">
          <cell r="L2418" t="str">
            <v>SY050404</v>
          </cell>
          <cell r="M2418" t="str">
            <v>C3431</v>
          </cell>
          <cell r="N2418" t="str">
            <v>Beit Raqta\بيت رقطة</v>
          </cell>
        </row>
        <row r="2419">
          <cell r="L2419" t="str">
            <v>SY050404</v>
          </cell>
          <cell r="M2419" t="str">
            <v>C3433</v>
          </cell>
          <cell r="N2419" t="str">
            <v>Biret Eljerd\بيرة الجرد</v>
          </cell>
        </row>
        <row r="2420">
          <cell r="L2420" t="str">
            <v>SY050404</v>
          </cell>
          <cell r="M2420" t="str">
            <v>C3421</v>
          </cell>
          <cell r="N2420" t="str">
            <v>Breizeh\بريزة</v>
          </cell>
        </row>
        <row r="2421">
          <cell r="L2421" t="str">
            <v>SY050404</v>
          </cell>
          <cell r="M2421" t="str">
            <v>C3427</v>
          </cell>
          <cell r="N2421" t="str">
            <v>Dweir Elmashayekh\دوير المشايخ</v>
          </cell>
        </row>
        <row r="2422">
          <cell r="L2422" t="str">
            <v>SY050404</v>
          </cell>
          <cell r="M2422" t="str">
            <v>C3417</v>
          </cell>
          <cell r="N2422" t="str">
            <v>Ein El-Bayda\عين البيضا</v>
          </cell>
        </row>
        <row r="2423">
          <cell r="L2423" t="str">
            <v>SY050404</v>
          </cell>
          <cell r="M2423" t="str">
            <v>C3424</v>
          </cell>
          <cell r="N2423" t="str">
            <v>Ein Elkaram\عين الكرم</v>
          </cell>
        </row>
        <row r="2424">
          <cell r="L2424" t="str">
            <v>SY050404</v>
          </cell>
          <cell r="M2424" t="str">
            <v>C3430</v>
          </cell>
          <cell r="N2424" t="str">
            <v>Ein Farraj\عين فراج</v>
          </cell>
        </row>
        <row r="2425">
          <cell r="L2425" t="str">
            <v>SY050404</v>
          </cell>
          <cell r="M2425" t="str">
            <v>C3429</v>
          </cell>
          <cell r="N2425" t="str">
            <v>Jbita\جبيتا</v>
          </cell>
        </row>
        <row r="2426">
          <cell r="L2426" t="str">
            <v>SY050404</v>
          </cell>
          <cell r="M2426" t="str">
            <v>C3435</v>
          </cell>
          <cell r="N2426" t="str">
            <v>Kafr Laha\كفر لاها</v>
          </cell>
        </row>
        <row r="2427">
          <cell r="L2427" t="str">
            <v>SY050404</v>
          </cell>
          <cell r="M2427" t="str">
            <v>C3425</v>
          </cell>
          <cell r="N2427" t="str">
            <v>Kameliyeh\الكاملية</v>
          </cell>
        </row>
        <row r="2428">
          <cell r="L2428" t="str">
            <v>SY050404</v>
          </cell>
          <cell r="M2428" t="str">
            <v>C3418</v>
          </cell>
          <cell r="N2428" t="str">
            <v>Marha\المرحة</v>
          </cell>
        </row>
        <row r="2429">
          <cell r="L2429" t="str">
            <v>SY050404</v>
          </cell>
          <cell r="M2429" t="str">
            <v>C3422</v>
          </cell>
          <cell r="N2429" t="str">
            <v>Meisreh\المعيصرة</v>
          </cell>
        </row>
        <row r="2430">
          <cell r="L2430" t="str">
            <v>SY050404</v>
          </cell>
          <cell r="M2430" t="str">
            <v>C3437</v>
          </cell>
          <cell r="N2430" t="str">
            <v>Naqir\نقير</v>
          </cell>
        </row>
        <row r="2431">
          <cell r="L2431" t="str">
            <v>SY050404</v>
          </cell>
          <cell r="M2431" t="str">
            <v>C3436</v>
          </cell>
          <cell r="N2431" t="str">
            <v>Qossiyeh\قصية</v>
          </cell>
        </row>
        <row r="2432">
          <cell r="L2432" t="str">
            <v>SY050404</v>
          </cell>
          <cell r="M2432" t="str">
            <v>C3432</v>
          </cell>
          <cell r="N2432" t="str">
            <v>Sindyana\السنديانة</v>
          </cell>
        </row>
        <row r="2433">
          <cell r="L2433" t="str">
            <v>SY050404</v>
          </cell>
          <cell r="M2433" t="str">
            <v>C3420</v>
          </cell>
          <cell r="N2433" t="str">
            <v>Tamarqiyeh\الطمارقية</v>
          </cell>
        </row>
        <row r="2434">
          <cell r="L2434" t="str">
            <v>SY050404</v>
          </cell>
          <cell r="M2434" t="str">
            <v>C3434</v>
          </cell>
          <cell r="N2434" t="str">
            <v>Wadi El-oyoun\وادي العيون</v>
          </cell>
        </row>
        <row r="2435">
          <cell r="L2435" t="str">
            <v>SY050404</v>
          </cell>
          <cell r="M2435" t="str">
            <v>C3426</v>
          </cell>
          <cell r="N2435" t="str">
            <v>Zaytuneh\الزيتونة</v>
          </cell>
        </row>
        <row r="2436">
          <cell r="L2436" t="str">
            <v>SY050500</v>
          </cell>
          <cell r="M2436" t="str">
            <v>C3450</v>
          </cell>
          <cell r="N2436" t="str">
            <v>Abu Obaidah Al Jarrah\أبو عبيدة الجراح</v>
          </cell>
        </row>
        <row r="2437">
          <cell r="L2437" t="str">
            <v>SY050500</v>
          </cell>
          <cell r="M2437" t="str">
            <v>C3442</v>
          </cell>
          <cell r="N2437" t="str">
            <v>Abu Rbeis\أبو ربيص</v>
          </cell>
        </row>
        <row r="2438">
          <cell r="L2438" t="str">
            <v>SY050500</v>
          </cell>
          <cell r="M2438" t="str">
            <v>C3453</v>
          </cell>
          <cell r="N2438" t="str">
            <v>Halfaya\حلفايا</v>
          </cell>
        </row>
        <row r="2439">
          <cell r="L2439" t="str">
            <v>SY050500</v>
          </cell>
          <cell r="M2439" t="str">
            <v>C3448</v>
          </cell>
          <cell r="N2439" t="str">
            <v>Huwat\الهوات</v>
          </cell>
        </row>
        <row r="2440">
          <cell r="L2440" t="str">
            <v>SY050500</v>
          </cell>
          <cell r="M2440" t="str">
            <v>C3454</v>
          </cell>
          <cell r="N2440" t="str">
            <v>Jdideh\الجديدة</v>
          </cell>
        </row>
        <row r="2441">
          <cell r="L2441" t="str">
            <v>SY050500</v>
          </cell>
          <cell r="M2441" t="str">
            <v>C3455</v>
          </cell>
          <cell r="N2441" t="str">
            <v>Kafr Hud\كفر هود</v>
          </cell>
        </row>
        <row r="2442">
          <cell r="L2442" t="str">
            <v>SY050500</v>
          </cell>
          <cell r="M2442" t="str">
            <v>C3441</v>
          </cell>
          <cell r="N2442" t="str">
            <v>Kherbet Subin\خربة سوبين</v>
          </cell>
        </row>
        <row r="2443">
          <cell r="L2443" t="str">
            <v>SY050500</v>
          </cell>
          <cell r="M2443" t="str">
            <v>C3451</v>
          </cell>
          <cell r="N2443" t="str">
            <v>Khneizir\خنيزير</v>
          </cell>
        </row>
        <row r="2444">
          <cell r="L2444" t="str">
            <v>SY050500</v>
          </cell>
          <cell r="M2444" t="str">
            <v>C3456</v>
          </cell>
          <cell r="N2444" t="str">
            <v>Maarzaf\معرزاف</v>
          </cell>
        </row>
        <row r="2445">
          <cell r="L2445" t="str">
            <v>SY050500</v>
          </cell>
          <cell r="M2445" t="str">
            <v>C3444</v>
          </cell>
          <cell r="N2445" t="str">
            <v>Majdal\المجدل</v>
          </cell>
        </row>
        <row r="2446">
          <cell r="L2446" t="str">
            <v>SY050500</v>
          </cell>
          <cell r="M2446" t="str">
            <v>C3457</v>
          </cell>
          <cell r="N2446" t="str">
            <v>Muhradah\محردة</v>
          </cell>
        </row>
        <row r="2447">
          <cell r="L2447" t="str">
            <v>SY050500</v>
          </cell>
          <cell r="M2447" t="str">
            <v>C3443</v>
          </cell>
          <cell r="N2447" t="str">
            <v>Sher\شير</v>
          </cell>
        </row>
        <row r="2448">
          <cell r="L2448" t="str">
            <v>SY050500</v>
          </cell>
          <cell r="M2448" t="str">
            <v>C3438</v>
          </cell>
          <cell r="N2448" t="str">
            <v>Shezer\شيزر</v>
          </cell>
        </row>
        <row r="2449">
          <cell r="L2449" t="str">
            <v>SY050500</v>
          </cell>
          <cell r="M2449" t="str">
            <v>C3440</v>
          </cell>
          <cell r="N2449" t="str">
            <v>Sifsafiyeh\صفصافية</v>
          </cell>
        </row>
        <row r="2450">
          <cell r="L2450" t="str">
            <v>SY050500</v>
          </cell>
          <cell r="M2450" t="str">
            <v>C3445</v>
          </cell>
          <cell r="N2450" t="str">
            <v>Tal Milh\تل ملح</v>
          </cell>
        </row>
        <row r="2451">
          <cell r="L2451" t="str">
            <v>SY050500</v>
          </cell>
          <cell r="M2451" t="str">
            <v>C3439</v>
          </cell>
          <cell r="N2451" t="str">
            <v>Tal Sekkin\تل سكين</v>
          </cell>
        </row>
        <row r="2452">
          <cell r="L2452" t="str">
            <v>SY050500</v>
          </cell>
          <cell r="M2452" t="str">
            <v>C3447</v>
          </cell>
          <cell r="N2452" t="str">
            <v>Treismeh\تريمسة</v>
          </cell>
        </row>
        <row r="2453">
          <cell r="L2453" t="str">
            <v>SY050500</v>
          </cell>
          <cell r="M2453" t="str">
            <v>C3446</v>
          </cell>
          <cell r="N2453" t="str">
            <v>Zalaqit\زلاقيات</v>
          </cell>
        </row>
        <row r="2454">
          <cell r="L2454" t="str">
            <v>SY050500</v>
          </cell>
          <cell r="M2454" t="str">
            <v>C3449</v>
          </cell>
          <cell r="N2454" t="str">
            <v>Zor Elqaada \زور القعادة</v>
          </cell>
        </row>
        <row r="2455">
          <cell r="L2455" t="str">
            <v>SY050501</v>
          </cell>
          <cell r="M2455" t="str">
            <v>C3462</v>
          </cell>
          <cell r="N2455" t="str">
            <v>Arbaine\الأربعين</v>
          </cell>
        </row>
        <row r="2456">
          <cell r="L2456" t="str">
            <v>SY050501</v>
          </cell>
          <cell r="M2456" t="str">
            <v>C3459</v>
          </cell>
          <cell r="N2456" t="str">
            <v>Hamamiyat\حماميات</v>
          </cell>
        </row>
        <row r="2457">
          <cell r="L2457" t="str">
            <v>SY050501</v>
          </cell>
          <cell r="M2457" t="str">
            <v>C3463</v>
          </cell>
          <cell r="N2457" t="str">
            <v>Kafr Zeita\كفر زيتا</v>
          </cell>
        </row>
        <row r="2458">
          <cell r="L2458" t="str">
            <v>SY050501</v>
          </cell>
          <cell r="M2458" t="str">
            <v>C3458</v>
          </cell>
          <cell r="N2458" t="str">
            <v>Latmana\اللطامنة</v>
          </cell>
        </row>
        <row r="2459">
          <cell r="L2459" t="str">
            <v>SY050501</v>
          </cell>
          <cell r="M2459" t="str">
            <v>C3464</v>
          </cell>
          <cell r="N2459" t="str">
            <v>Latmin\لطمين</v>
          </cell>
        </row>
        <row r="2460">
          <cell r="L2460" t="str">
            <v>SY050501</v>
          </cell>
          <cell r="M2460" t="str">
            <v>C3460</v>
          </cell>
          <cell r="N2460" t="str">
            <v>Sayad\صياد</v>
          </cell>
        </row>
        <row r="2461">
          <cell r="L2461" t="str">
            <v>SY050501</v>
          </cell>
          <cell r="M2461" t="str">
            <v>C3461</v>
          </cell>
          <cell r="N2461" t="str">
            <v>Zakat\الزكاة</v>
          </cell>
        </row>
        <row r="2462">
          <cell r="L2462" t="str">
            <v>SY050502</v>
          </cell>
          <cell r="M2462" t="str">
            <v>C3468</v>
          </cell>
          <cell r="N2462" t="str">
            <v>Jalma\الجلمة</v>
          </cell>
        </row>
        <row r="2463">
          <cell r="L2463" t="str">
            <v>SY050502</v>
          </cell>
          <cell r="M2463" t="str">
            <v>C3466</v>
          </cell>
          <cell r="N2463" t="str">
            <v>Jbine\جبين</v>
          </cell>
        </row>
        <row r="2464">
          <cell r="L2464" t="str">
            <v>SY050502</v>
          </cell>
          <cell r="M2464" t="str">
            <v>C3469</v>
          </cell>
          <cell r="N2464" t="str">
            <v>Karnaz\كرناز</v>
          </cell>
        </row>
        <row r="2465">
          <cell r="L2465" t="str">
            <v>SY050502</v>
          </cell>
          <cell r="M2465" t="str">
            <v>C3465</v>
          </cell>
          <cell r="N2465" t="str">
            <v>Maghir\المغير</v>
          </cell>
        </row>
        <row r="2466">
          <cell r="L2466" t="str">
            <v>SY050502</v>
          </cell>
          <cell r="M2466" t="str">
            <v>C3467</v>
          </cell>
          <cell r="N2466" t="str">
            <v>Sheikh Hadid\شيخ حديد</v>
          </cell>
        </row>
        <row r="2467">
          <cell r="L2467" t="str">
            <v>SY060000</v>
          </cell>
          <cell r="M2467" t="str">
            <v>C3473</v>
          </cell>
          <cell r="N2467" t="str">
            <v>Baksa\بكسا</v>
          </cell>
        </row>
        <row r="2468">
          <cell r="L2468" t="str">
            <v>SY060000</v>
          </cell>
          <cell r="M2468" t="str">
            <v>C3474</v>
          </cell>
          <cell r="N2468" t="str">
            <v>Burj Elqasab\برج القصب</v>
          </cell>
        </row>
        <row r="2469">
          <cell r="L2469" t="str">
            <v>SY060000</v>
          </cell>
          <cell r="M2469" t="str">
            <v>C3477</v>
          </cell>
          <cell r="N2469" t="str">
            <v>Janata\جناتا</v>
          </cell>
        </row>
        <row r="2470">
          <cell r="L2470" t="str">
            <v>SY060000</v>
          </cell>
          <cell r="M2470" t="str">
            <v>C3483</v>
          </cell>
          <cell r="N2470" t="str">
            <v>Karsana\كرسانا</v>
          </cell>
        </row>
        <row r="2471">
          <cell r="L2471" t="str">
            <v>SY060000</v>
          </cell>
          <cell r="M2471" t="str">
            <v>C3480</v>
          </cell>
          <cell r="N2471" t="str">
            <v>Lattakia\اللاذقية</v>
          </cell>
        </row>
        <row r="2472">
          <cell r="L2472" t="str">
            <v>SY060000</v>
          </cell>
          <cell r="M2472" t="str">
            <v>C3472</v>
          </cell>
          <cell r="N2472" t="str">
            <v>Maghrit\المغريط</v>
          </cell>
        </row>
        <row r="2473">
          <cell r="L2473" t="str">
            <v>SY060000</v>
          </cell>
          <cell r="M2473" t="str">
            <v>C3482</v>
          </cell>
          <cell r="N2473" t="str">
            <v>Msheirfet Elsamuk\مشيرفة الساموك</v>
          </cell>
        </row>
        <row r="2474">
          <cell r="L2474" t="str">
            <v>SY060000</v>
          </cell>
          <cell r="M2474" t="str">
            <v>C3471</v>
          </cell>
          <cell r="N2474" t="str">
            <v>Qanjara\القنجرة</v>
          </cell>
        </row>
        <row r="2475">
          <cell r="L2475" t="str">
            <v>SY060000</v>
          </cell>
          <cell r="M2475" t="str">
            <v>C3478</v>
          </cell>
          <cell r="N2475" t="str">
            <v>Rodo\روضو</v>
          </cell>
        </row>
        <row r="2476">
          <cell r="L2476" t="str">
            <v>SY060000</v>
          </cell>
          <cell r="M2476" t="str">
            <v>C3476</v>
          </cell>
          <cell r="N2476" t="str">
            <v>Shamiyeh / Lattakia\شاميه /اللاذقية/</v>
          </cell>
        </row>
        <row r="2477">
          <cell r="L2477" t="str">
            <v>SY060000</v>
          </cell>
          <cell r="M2477" t="str">
            <v>C3475</v>
          </cell>
          <cell r="N2477" t="str">
            <v>Sinjwan\سنجوان</v>
          </cell>
        </row>
        <row r="2478">
          <cell r="L2478" t="str">
            <v>SY060000</v>
          </cell>
          <cell r="M2478" t="str">
            <v>C3479</v>
          </cell>
          <cell r="N2478" t="str">
            <v>Squbin\سقوبين</v>
          </cell>
        </row>
        <row r="2479">
          <cell r="L2479" t="str">
            <v>SY060000</v>
          </cell>
          <cell r="M2479" t="str">
            <v>C3470</v>
          </cell>
          <cell r="N2479" t="str">
            <v>Stamarkho\ستمرخو</v>
          </cell>
        </row>
        <row r="2480">
          <cell r="L2480" t="str">
            <v>SY060001</v>
          </cell>
          <cell r="M2480" t="str">
            <v>C3494</v>
          </cell>
          <cell r="N2480" t="str">
            <v>Amruniyeh\العمرونية</v>
          </cell>
        </row>
        <row r="2481">
          <cell r="L2481" t="str">
            <v>SY060001</v>
          </cell>
          <cell r="M2481" t="str">
            <v>C3487</v>
          </cell>
          <cell r="N2481" t="str">
            <v>Bahlawaniyeh\البهلولية</v>
          </cell>
        </row>
        <row r="2482">
          <cell r="L2482" t="str">
            <v>SY060001</v>
          </cell>
          <cell r="M2482" t="str">
            <v>C3492</v>
          </cell>
          <cell r="N2482" t="str">
            <v>Barabsho\برابشبو</v>
          </cell>
        </row>
        <row r="2483">
          <cell r="L2483" t="str">
            <v>SY060001</v>
          </cell>
          <cell r="M2483" t="str">
            <v>C3493</v>
          </cell>
          <cell r="N2483" t="str">
            <v>Bdamyun\بدميون</v>
          </cell>
        </row>
        <row r="2484">
          <cell r="L2484" t="str">
            <v>SY060001</v>
          </cell>
          <cell r="M2484" t="str">
            <v>C3484</v>
          </cell>
          <cell r="N2484" t="str">
            <v>Ein Ellaban\عين اللبن</v>
          </cell>
        </row>
        <row r="2485">
          <cell r="L2485" t="str">
            <v>SY060001</v>
          </cell>
          <cell r="M2485" t="str">
            <v>C3496</v>
          </cell>
          <cell r="N2485" t="str">
            <v>Fadra\فدره</v>
          </cell>
        </row>
        <row r="2486">
          <cell r="L2486" t="str">
            <v>SY060001</v>
          </cell>
          <cell r="M2486" t="str">
            <v>C3485</v>
          </cell>
          <cell r="N2486" t="str">
            <v>Jabiyun\جبريون</v>
          </cell>
        </row>
        <row r="2487">
          <cell r="L2487" t="str">
            <v>SY060001</v>
          </cell>
          <cell r="M2487" t="str">
            <v>C3491</v>
          </cell>
          <cell r="N2487" t="str">
            <v>Jandariyeh \الجنديرية جندرية</v>
          </cell>
        </row>
        <row r="2488">
          <cell r="L2488" t="str">
            <v>SY060001</v>
          </cell>
          <cell r="M2488" t="str">
            <v>C3495</v>
          </cell>
          <cell r="N2488" t="str">
            <v>Karkit\الكركيت</v>
          </cell>
        </row>
        <row r="2489">
          <cell r="L2489" t="str">
            <v>SY060001</v>
          </cell>
          <cell r="M2489" t="str">
            <v>C3497</v>
          </cell>
          <cell r="N2489" t="str">
            <v>Qabarsiyeh\قبارصية</v>
          </cell>
        </row>
        <row r="2490">
          <cell r="L2490" t="str">
            <v>SY060001</v>
          </cell>
          <cell r="M2490" t="str">
            <v>C3489</v>
          </cell>
          <cell r="N2490" t="str">
            <v>Qarama  \القرامه</v>
          </cell>
        </row>
        <row r="2491">
          <cell r="L2491" t="str">
            <v>SY060001</v>
          </cell>
          <cell r="M2491" t="str">
            <v>C3490</v>
          </cell>
          <cell r="N2491" t="str">
            <v>Rweiset Qasis\رويسة قسيس</v>
          </cell>
        </row>
        <row r="2492">
          <cell r="L2492" t="str">
            <v>SY060001</v>
          </cell>
          <cell r="M2492" t="str">
            <v>C3488</v>
          </cell>
          <cell r="N2492" t="str">
            <v>Safkum\السفكون</v>
          </cell>
        </row>
        <row r="2493">
          <cell r="L2493" t="str">
            <v>SY060001</v>
          </cell>
          <cell r="M2493" t="str">
            <v>C3486</v>
          </cell>
          <cell r="N2493" t="str">
            <v>Zobar\الزوبار</v>
          </cell>
        </row>
        <row r="2494">
          <cell r="L2494" t="str">
            <v>SY060002</v>
          </cell>
          <cell r="M2494" t="str">
            <v>C3512</v>
          </cell>
          <cell r="N2494" t="str">
            <v>Alia - Qaruja\عالية_قروجة</v>
          </cell>
        </row>
        <row r="2495">
          <cell r="L2495" t="str">
            <v>SY060002</v>
          </cell>
          <cell r="M2495" t="str">
            <v>C3508</v>
          </cell>
          <cell r="N2495" t="str">
            <v>Baydaa - Agja Bayer\البيضاء_أغجة باير</v>
          </cell>
        </row>
        <row r="2496">
          <cell r="L2496" t="str">
            <v>SY060002</v>
          </cell>
          <cell r="M2496" t="str">
            <v>C3499</v>
          </cell>
          <cell r="N2496" t="str">
            <v>Deir Hanna / Lattakia\دير حنا / اللاذقية</v>
          </cell>
        </row>
        <row r="2497">
          <cell r="L2497" t="str">
            <v>SY060002</v>
          </cell>
          <cell r="M2497" t="str">
            <v>C3513</v>
          </cell>
          <cell r="N2497" t="str">
            <v>Dorra - Qoqaj\الدرة_قولجق</v>
          </cell>
        </row>
        <row r="2498">
          <cell r="L2498" t="str">
            <v>SY060002</v>
          </cell>
          <cell r="M2498" t="str">
            <v>C3514</v>
          </cell>
          <cell r="N2498" t="str">
            <v>Ein Issa - Ein Bnar\عين عيسى_عين بنار</v>
          </cell>
        </row>
        <row r="2499">
          <cell r="L2499" t="str">
            <v>SY060002</v>
          </cell>
          <cell r="M2499" t="str">
            <v>C3500</v>
          </cell>
          <cell r="N2499" t="str">
            <v>Ghamam\غمام</v>
          </cell>
        </row>
        <row r="2500">
          <cell r="L2500" t="str">
            <v>SY060002</v>
          </cell>
          <cell r="M2500" t="str">
            <v>C3516</v>
          </cell>
          <cell r="N2500" t="str">
            <v>Hamra Qazaljura\الحمراء قزلجورة</v>
          </cell>
        </row>
        <row r="2501">
          <cell r="L2501" t="str">
            <v>SY060002</v>
          </cell>
          <cell r="M2501" t="str">
            <v>C3510</v>
          </cell>
          <cell r="N2501" t="str">
            <v>Hilwet - Sharn\حلوة_شرن</v>
          </cell>
        </row>
        <row r="2502">
          <cell r="L2502" t="str">
            <v>SY060002</v>
          </cell>
          <cell r="M2502" t="str">
            <v>C3504</v>
          </cell>
          <cell r="N2502" t="str">
            <v>Joret Elmaa\جورة الماء</v>
          </cell>
        </row>
        <row r="2503">
          <cell r="L2503" t="str">
            <v>SY060002</v>
          </cell>
          <cell r="M2503" t="str">
            <v>C3502</v>
          </cell>
          <cell r="N2503" t="str">
            <v>Khadraa - Kokag\الخضراء_كوكطاغ</v>
          </cell>
        </row>
        <row r="2504">
          <cell r="L2504" t="str">
            <v>SY060002</v>
          </cell>
          <cell r="M2504" t="str">
            <v>C3518</v>
          </cell>
          <cell r="N2504" t="str">
            <v>Lower Kbir\كبير تحتاني</v>
          </cell>
        </row>
        <row r="2505">
          <cell r="L2505" t="str">
            <v>SY060002</v>
          </cell>
          <cell r="M2505" t="str">
            <v>C3517</v>
          </cell>
          <cell r="N2505" t="str">
            <v>Matleh - Zweik\المطلة_الزويك</v>
          </cell>
        </row>
        <row r="2506">
          <cell r="L2506" t="str">
            <v>SY060002</v>
          </cell>
          <cell r="M2506" t="str">
            <v>C3506</v>
          </cell>
          <cell r="N2506" t="str">
            <v>Qasab \القصب</v>
          </cell>
        </row>
        <row r="2507">
          <cell r="L2507" t="str">
            <v>SY060002</v>
          </cell>
          <cell r="M2507" t="str">
            <v>C3498</v>
          </cell>
          <cell r="N2507" t="str">
            <v>Rabee'a\ربيعة</v>
          </cell>
        </row>
        <row r="2508">
          <cell r="L2508" t="str">
            <v>SY060002</v>
          </cell>
          <cell r="M2508" t="str">
            <v>C3505</v>
          </cell>
          <cell r="N2508" t="str">
            <v>Rihanet Mseibine\ريحانة مصيبين</v>
          </cell>
        </row>
        <row r="2509">
          <cell r="L2509" t="str">
            <v>SY060002</v>
          </cell>
          <cell r="M2509" t="str">
            <v>C3507</v>
          </cell>
          <cell r="N2509" t="str">
            <v>Rim Dagmashliyeh\الريم دغمشلية</v>
          </cell>
        </row>
        <row r="2510">
          <cell r="L2510" t="str">
            <v>SY060002</v>
          </cell>
          <cell r="M2510" t="str">
            <v>C3515</v>
          </cell>
          <cell r="N2510" t="str">
            <v>Sabahiyeh - Kandasiyeh\الصباحية_الكنديسة</v>
          </cell>
        </row>
        <row r="2511">
          <cell r="L2511" t="str">
            <v>SY060002</v>
          </cell>
          <cell r="M2511" t="str">
            <v>C3501</v>
          </cell>
          <cell r="N2511" t="str">
            <v>Samira - Sallur\السامرة_سللور</v>
          </cell>
        </row>
        <row r="2512">
          <cell r="L2512" t="str">
            <v>SY060002</v>
          </cell>
          <cell r="M2512" t="str">
            <v>C3509</v>
          </cell>
          <cell r="N2512" t="str">
            <v>Sawda - Qorret Jagez\السودة_قرة جاغز</v>
          </cell>
        </row>
        <row r="2513">
          <cell r="L2513" t="str">
            <v>SY060002</v>
          </cell>
          <cell r="M2513" t="str">
            <v>C3503</v>
          </cell>
          <cell r="N2513" t="str">
            <v>Shahrura - Shamruran\شحرورة_شمروران</v>
          </cell>
        </row>
        <row r="2514">
          <cell r="L2514" t="str">
            <v>SY060002</v>
          </cell>
          <cell r="M2514" t="str">
            <v>C3511</v>
          </cell>
          <cell r="N2514" t="str">
            <v>Sukariyeh\سكرية</v>
          </cell>
        </row>
        <row r="2515">
          <cell r="L2515" t="str">
            <v>SY060003</v>
          </cell>
          <cell r="M2515" t="str">
            <v>C3520</v>
          </cell>
          <cell r="N2515" t="str">
            <v>Burj Islam\برج إسلام</v>
          </cell>
        </row>
        <row r="2516">
          <cell r="L2516" t="str">
            <v>SY060003</v>
          </cell>
          <cell r="M2516" t="str">
            <v>C3519</v>
          </cell>
          <cell r="N2516" t="str">
            <v>Ein El-Bayda\عين البيضة</v>
          </cell>
        </row>
        <row r="2517">
          <cell r="L2517" t="str">
            <v>SY060003</v>
          </cell>
          <cell r="M2517" t="str">
            <v>C3530</v>
          </cell>
          <cell r="N2517" t="str">
            <v>Joziyeh\الجوزية</v>
          </cell>
        </row>
        <row r="2518">
          <cell r="L2518" t="str">
            <v>SY060003</v>
          </cell>
          <cell r="M2518" t="str">
            <v>C3531</v>
          </cell>
          <cell r="N2518" t="str">
            <v>Kherbet Eljoziyeh\خربة الجوزية</v>
          </cell>
        </row>
        <row r="2519">
          <cell r="L2519" t="str">
            <v>SY060003</v>
          </cell>
          <cell r="M2519" t="str">
            <v>C3526</v>
          </cell>
          <cell r="N2519" t="str">
            <v>Kneisat\الكنيسات</v>
          </cell>
        </row>
        <row r="2520">
          <cell r="L2520" t="str">
            <v>SY060003</v>
          </cell>
          <cell r="M2520" t="str">
            <v>C3535</v>
          </cell>
          <cell r="N2520" t="str">
            <v>Makhus\ماخوس</v>
          </cell>
        </row>
        <row r="2521">
          <cell r="L2521" t="str">
            <v>SY060003</v>
          </cell>
          <cell r="M2521" t="str">
            <v>C3536</v>
          </cell>
          <cell r="N2521" t="str">
            <v>Mashqita\مشقيتا</v>
          </cell>
        </row>
        <row r="2522">
          <cell r="L2522" t="str">
            <v>SY060003</v>
          </cell>
          <cell r="M2522" t="str">
            <v>C3529</v>
          </cell>
          <cell r="N2522" t="str">
            <v>Qaderiyeh - Berna\القادرية_برنة</v>
          </cell>
        </row>
        <row r="2523">
          <cell r="L2523" t="str">
            <v>SY060003</v>
          </cell>
          <cell r="M2523" t="str">
            <v>C3534</v>
          </cell>
          <cell r="N2523" t="str">
            <v>Qasmin\قسمين</v>
          </cell>
        </row>
        <row r="2524">
          <cell r="L2524" t="str">
            <v>SY060003</v>
          </cell>
          <cell r="M2524" t="str">
            <v>C3524</v>
          </cell>
          <cell r="N2524" t="str">
            <v>Qluf\القلوف</v>
          </cell>
        </row>
        <row r="2525">
          <cell r="L2525" t="str">
            <v>SY060003</v>
          </cell>
          <cell r="M2525" t="str">
            <v>C3525</v>
          </cell>
          <cell r="N2525" t="str">
            <v>RweisetQasmin\رويسة قسمين</v>
          </cell>
        </row>
        <row r="2526">
          <cell r="L2526" t="str">
            <v>SY060003</v>
          </cell>
          <cell r="M2526" t="str">
            <v>C3532</v>
          </cell>
          <cell r="N2526" t="str">
            <v>Salib Elturkman\صليب التركمان</v>
          </cell>
        </row>
        <row r="2527">
          <cell r="L2527" t="str">
            <v>SY060003</v>
          </cell>
          <cell r="M2527" t="str">
            <v>C3521</v>
          </cell>
          <cell r="N2527" t="str">
            <v>Sarkasiyeh\السرسكية</v>
          </cell>
        </row>
        <row r="2528">
          <cell r="L2528" t="str">
            <v>SY060003</v>
          </cell>
          <cell r="M2528" t="str">
            <v>C3527</v>
          </cell>
          <cell r="N2528" t="str">
            <v>Sefsaf\الصفصاف</v>
          </cell>
        </row>
        <row r="2529">
          <cell r="L2529" t="str">
            <v>SY060003</v>
          </cell>
          <cell r="M2529" t="str">
            <v>C3523</v>
          </cell>
          <cell r="N2529" t="str">
            <v>Shabtaliyeh\الشبطلية</v>
          </cell>
        </row>
        <row r="2530">
          <cell r="L2530" t="str">
            <v>SY060003</v>
          </cell>
          <cell r="M2530" t="str">
            <v>C3533</v>
          </cell>
          <cell r="N2530" t="str">
            <v>Sulas\سولاس</v>
          </cell>
        </row>
        <row r="2531">
          <cell r="L2531" t="str">
            <v>SY060003</v>
          </cell>
          <cell r="M2531" t="str">
            <v>C3522</v>
          </cell>
          <cell r="N2531" t="str">
            <v>Turbeh\التربة</v>
          </cell>
        </row>
        <row r="2532">
          <cell r="L2532" t="str">
            <v>SY060003</v>
          </cell>
          <cell r="M2532" t="str">
            <v>C3528</v>
          </cell>
          <cell r="N2532" t="str">
            <v>Zagharo\زغارو</v>
          </cell>
        </row>
        <row r="2533">
          <cell r="L2533" t="str">
            <v>SY060004</v>
          </cell>
          <cell r="M2533" t="str">
            <v>C3537</v>
          </cell>
          <cell r="N2533" t="str">
            <v>Badrosiyeh\البدروسية</v>
          </cell>
        </row>
        <row r="2534">
          <cell r="L2534" t="str">
            <v>SY060004</v>
          </cell>
          <cell r="M2534" t="str">
            <v>C3543</v>
          </cell>
          <cell r="N2534" t="str">
            <v>Ballura - Ballurab\بللورة_بللوران</v>
          </cell>
        </row>
        <row r="2535">
          <cell r="L2535" t="str">
            <v>SY060004</v>
          </cell>
          <cell r="M2535" t="str">
            <v>C3545</v>
          </cell>
          <cell r="N2535" t="str">
            <v>Beit Ewan\بيت عوان</v>
          </cell>
        </row>
        <row r="2536">
          <cell r="L2536" t="str">
            <v>SY060004</v>
          </cell>
          <cell r="M2536" t="str">
            <v>C3553</v>
          </cell>
          <cell r="N2536" t="str">
            <v>Dafleh - Qorret Tata\الدفلة_قره طاطا</v>
          </cell>
        </row>
        <row r="2537">
          <cell r="L2537" t="str">
            <v>SY060004</v>
          </cell>
          <cell r="M2537" t="str">
            <v>C3548</v>
          </cell>
          <cell r="N2537" t="str">
            <v>Damat\الضامات</v>
          </cell>
        </row>
        <row r="2538">
          <cell r="L2538" t="str">
            <v>SY060004</v>
          </cell>
          <cell r="M2538" t="str">
            <v>C3550</v>
          </cell>
          <cell r="N2538" t="str">
            <v>Falah - Qorret Falah\الفلاح_قره فلاح</v>
          </cell>
        </row>
        <row r="2539">
          <cell r="L2539" t="str">
            <v>SY060004</v>
          </cell>
          <cell r="M2539" t="str">
            <v>C3554</v>
          </cell>
          <cell r="N2539" t="str">
            <v>Ghassaniyeh - Kashish\الغسانية_كشيش</v>
          </cell>
        </row>
        <row r="2540">
          <cell r="L2540" t="str">
            <v>SY060004</v>
          </cell>
          <cell r="M2540" t="str">
            <v>C3551</v>
          </cell>
          <cell r="N2540" t="str">
            <v>Harajiyeh - Qorret Jalya\الحراجية_قرة جالية</v>
          </cell>
        </row>
        <row r="2541">
          <cell r="L2541" t="str">
            <v>SY060004</v>
          </cell>
          <cell r="M2541" t="str">
            <v>C3549</v>
          </cell>
          <cell r="N2541" t="str">
            <v>Issawiyeh - Issa Bakli\العيسوية_عيسى بكلي</v>
          </cell>
        </row>
        <row r="2542">
          <cell r="L2542" t="str">
            <v>SY060004</v>
          </cell>
          <cell r="M2542" t="str">
            <v>C3538</v>
          </cell>
          <cell r="N2542" t="str">
            <v>Mazra'a\المزرعة</v>
          </cell>
        </row>
        <row r="2543">
          <cell r="L2543" t="str">
            <v>SY060004</v>
          </cell>
          <cell r="M2543" t="str">
            <v>C3555</v>
          </cell>
          <cell r="N2543" t="str">
            <v>Qastal Maaf\قسطل معاف</v>
          </cell>
        </row>
        <row r="2544">
          <cell r="L2544" t="str">
            <v>SY060004</v>
          </cell>
          <cell r="M2544" t="str">
            <v>C3542</v>
          </cell>
          <cell r="N2544" t="str">
            <v>Rayyana - Shamerliyeh\الريانة_الشامرلية</v>
          </cell>
        </row>
        <row r="2545">
          <cell r="L2545" t="str">
            <v>SY060004</v>
          </cell>
          <cell r="M2545" t="str">
            <v>C3546</v>
          </cell>
          <cell r="N2545" t="str">
            <v>Saraya\السرايا</v>
          </cell>
        </row>
        <row r="2546">
          <cell r="L2546" t="str">
            <v>SY060004</v>
          </cell>
          <cell r="M2546" t="str">
            <v>C3539</v>
          </cell>
          <cell r="N2546" t="str">
            <v>Sheikh Hassan - Faqi Hassan\الشيخ حسن_فاقي حسن</v>
          </cell>
        </row>
        <row r="2547">
          <cell r="L2547" t="str">
            <v>SY060004</v>
          </cell>
          <cell r="M2547" t="str">
            <v>C3540</v>
          </cell>
          <cell r="N2547" t="str">
            <v>Siwaniyeh - Qabatash\الصوانية_قباطاش</v>
          </cell>
        </row>
        <row r="2548">
          <cell r="L2548" t="str">
            <v>SY060004</v>
          </cell>
          <cell r="M2548" t="str">
            <v>C3544</v>
          </cell>
          <cell r="N2548" t="str">
            <v>Um Eltoyur - Taranja\أم الطيور_طرنجة</v>
          </cell>
        </row>
        <row r="2549">
          <cell r="L2549" t="str">
            <v>SY060004</v>
          </cell>
          <cell r="M2549" t="str">
            <v>C3547</v>
          </cell>
          <cell r="N2549" t="str">
            <v>Zaghrin\زغرين</v>
          </cell>
        </row>
        <row r="2550">
          <cell r="L2550" t="str">
            <v>SY060004</v>
          </cell>
          <cell r="M2550" t="str">
            <v>C3541</v>
          </cell>
          <cell r="N2550" t="str">
            <v>Zanzaf\زنزف</v>
          </cell>
        </row>
        <row r="2551">
          <cell r="L2551" t="str">
            <v>SY060004</v>
          </cell>
          <cell r="M2551" t="str">
            <v>C3552</v>
          </cell>
          <cell r="N2551" t="str">
            <v>Zaytuneh - Zaytunjek\زيتونة_زيتونجوك</v>
          </cell>
        </row>
        <row r="2552">
          <cell r="L2552" t="str">
            <v>SY060005</v>
          </cell>
          <cell r="M2552" t="str">
            <v>C3557</v>
          </cell>
          <cell r="N2552" t="str">
            <v>Kasab\كسب</v>
          </cell>
        </row>
        <row r="2553">
          <cell r="L2553" t="str">
            <v>SY060005</v>
          </cell>
          <cell r="M2553" t="str">
            <v>C3556</v>
          </cell>
          <cell r="N2553" t="str">
            <v>Mashrafet Bigjenfaz\المشرفة_بغجنفاز</v>
          </cell>
        </row>
        <row r="2554">
          <cell r="L2554" t="str">
            <v>SY060006</v>
          </cell>
          <cell r="M2554" t="str">
            <v>C3558</v>
          </cell>
          <cell r="N2554" t="str">
            <v>Basa\البصه</v>
          </cell>
        </row>
        <row r="2555">
          <cell r="L2555" t="str">
            <v>SY060006</v>
          </cell>
          <cell r="M2555" t="str">
            <v>C3560</v>
          </cell>
          <cell r="N2555" t="str">
            <v>Daba\دبا</v>
          </cell>
        </row>
        <row r="2556">
          <cell r="L2556" t="str">
            <v>SY060006</v>
          </cell>
          <cell r="M2556" t="str">
            <v>C3568</v>
          </cell>
          <cell r="N2556" t="str">
            <v>Fedyo\فديو</v>
          </cell>
        </row>
        <row r="2557">
          <cell r="L2557" t="str">
            <v>SY060006</v>
          </cell>
          <cell r="M2557" t="str">
            <v>C3567</v>
          </cell>
          <cell r="N2557" t="str">
            <v>Hanadi\هنادي</v>
          </cell>
        </row>
        <row r="2558">
          <cell r="L2558" t="str">
            <v>SY060006</v>
          </cell>
          <cell r="M2558" t="str">
            <v>C3559</v>
          </cell>
          <cell r="N2558" t="str">
            <v>Khlaleh\خلاله</v>
          </cell>
        </row>
        <row r="2559">
          <cell r="L2559" t="str">
            <v>SY060006</v>
          </cell>
          <cell r="M2559" t="str">
            <v>C3566</v>
          </cell>
          <cell r="N2559" t="str">
            <v>Mazar Elqateriyeh\مزار القطرية</v>
          </cell>
        </row>
        <row r="2560">
          <cell r="L2560" t="str">
            <v>SY060006</v>
          </cell>
          <cell r="M2560" t="str">
            <v>C3564</v>
          </cell>
          <cell r="N2560" t="str">
            <v>Qatariyeh\القطرية</v>
          </cell>
        </row>
        <row r="2561">
          <cell r="L2561" t="str">
            <v>SY060006</v>
          </cell>
          <cell r="M2561" t="str">
            <v>C6348</v>
          </cell>
          <cell r="N2561" t="str">
            <v>Shalfatiyeh\الشلفاطية</v>
          </cell>
        </row>
        <row r="2562">
          <cell r="L2562" t="str">
            <v>SY060006</v>
          </cell>
          <cell r="M2562" t="str">
            <v>C3562</v>
          </cell>
          <cell r="N2562" t="str">
            <v>Shamiyet Elmahalba\شاميه المهالبة</v>
          </cell>
        </row>
        <row r="2563">
          <cell r="L2563" t="str">
            <v>SY060006</v>
          </cell>
          <cell r="M2563" t="str">
            <v>C3481</v>
          </cell>
          <cell r="N2563" t="str">
            <v>Sheikh Elhamah\شيخ الحمى</v>
          </cell>
        </row>
        <row r="2564">
          <cell r="L2564" t="str">
            <v>SY060006</v>
          </cell>
          <cell r="M2564" t="str">
            <v>C3563</v>
          </cell>
          <cell r="N2564" t="str">
            <v>Shir\الشير</v>
          </cell>
        </row>
        <row r="2565">
          <cell r="L2565" t="str">
            <v>SY060006</v>
          </cell>
          <cell r="M2565" t="str">
            <v>C3561</v>
          </cell>
          <cell r="N2565" t="str">
            <v>Snobar\الصنوبر</v>
          </cell>
        </row>
        <row r="2566">
          <cell r="L2566" t="str">
            <v>SY060006</v>
          </cell>
          <cell r="M2566" t="str">
            <v>C3565</v>
          </cell>
          <cell r="N2566" t="str">
            <v>Stakhris\ستخريس</v>
          </cell>
        </row>
        <row r="2567">
          <cell r="L2567" t="str">
            <v>SY060200</v>
          </cell>
          <cell r="M2567" t="str">
            <v>C3579</v>
          </cell>
          <cell r="N2567" t="str">
            <v>Ashrafiya\الأشرفية</v>
          </cell>
        </row>
        <row r="2568">
          <cell r="L2568" t="str">
            <v>SY060200</v>
          </cell>
          <cell r="M2568" t="str">
            <v>C3586</v>
          </cell>
          <cell r="N2568" t="str">
            <v>Batra \بطرة</v>
          </cell>
        </row>
        <row r="2569">
          <cell r="L2569" t="str">
            <v>SY060200</v>
          </cell>
          <cell r="M2569" t="str">
            <v>C3587</v>
          </cell>
          <cell r="N2569" t="str">
            <v>Berjal\البرجال</v>
          </cell>
        </row>
        <row r="2570">
          <cell r="L2570" t="str">
            <v>SY060200</v>
          </cell>
          <cell r="M2570" t="str">
            <v>C3570</v>
          </cell>
          <cell r="N2570" t="str">
            <v>Bisaysin\بسيسين</v>
          </cell>
        </row>
        <row r="2571">
          <cell r="L2571" t="str">
            <v>SY060200</v>
          </cell>
          <cell r="M2571" t="str">
            <v>C3575</v>
          </cell>
          <cell r="N2571" t="str">
            <v>Bustan Elbasha\بستان الباشا</v>
          </cell>
        </row>
        <row r="2572">
          <cell r="L2572" t="str">
            <v>SY060200</v>
          </cell>
          <cell r="M2572" t="str">
            <v>C3569</v>
          </cell>
          <cell r="N2572" t="str">
            <v>Darghamo\درغامو</v>
          </cell>
        </row>
        <row r="2573">
          <cell r="L2573" t="str">
            <v>SY060200</v>
          </cell>
          <cell r="M2573" t="str">
            <v>C3590</v>
          </cell>
          <cell r="N2573" t="str">
            <v>Ghaniri\غنيري</v>
          </cell>
        </row>
        <row r="2574">
          <cell r="L2574" t="str">
            <v>SY060200</v>
          </cell>
          <cell r="M2574" t="str">
            <v>C3588</v>
          </cell>
          <cell r="N2574" t="str">
            <v>Hmeimim\حميميم</v>
          </cell>
        </row>
        <row r="2575">
          <cell r="L2575" t="str">
            <v>SY060200</v>
          </cell>
          <cell r="M2575" t="str">
            <v>C3578</v>
          </cell>
          <cell r="N2575" t="str">
            <v>Huweiz\الحويز</v>
          </cell>
        </row>
        <row r="2576">
          <cell r="L2576" t="str">
            <v>SY060200</v>
          </cell>
          <cell r="M2576" t="str">
            <v>C3576</v>
          </cell>
          <cell r="N2576" t="str">
            <v>Idiyeh\العيدية</v>
          </cell>
        </row>
        <row r="2577">
          <cell r="L2577" t="str">
            <v>SY060200</v>
          </cell>
          <cell r="M2577" t="str">
            <v>C3585</v>
          </cell>
          <cell r="N2577" t="str">
            <v>Jablah\جبلة</v>
          </cell>
        </row>
        <row r="2578">
          <cell r="L2578" t="str">
            <v>SY060200</v>
          </cell>
          <cell r="M2578" t="str">
            <v>C3589</v>
          </cell>
          <cell r="N2578" t="str">
            <v>Kafr Dabil\كفر دبيل</v>
          </cell>
        </row>
        <row r="2579">
          <cell r="L2579" t="str">
            <v>SY060200</v>
          </cell>
          <cell r="M2579" t="str">
            <v>C3580</v>
          </cell>
          <cell r="N2579" t="str">
            <v>Lower Bkhadramo\بخضرمو التحتا</v>
          </cell>
        </row>
        <row r="2580">
          <cell r="L2580" t="str">
            <v>SY060200</v>
          </cell>
          <cell r="M2580" t="str">
            <v>C3577</v>
          </cell>
          <cell r="N2580" t="str">
            <v>Matrakiyeh\المتركية</v>
          </cell>
        </row>
        <row r="2581">
          <cell r="L2581" t="str">
            <v>SY060200</v>
          </cell>
          <cell r="M2581" t="str">
            <v>C3584</v>
          </cell>
          <cell r="N2581" t="str">
            <v>Meisreh\المعيصرة</v>
          </cell>
        </row>
        <row r="2582">
          <cell r="L2582" t="str">
            <v>SY060200</v>
          </cell>
          <cell r="M2582" t="str">
            <v>C3572</v>
          </cell>
          <cell r="N2582" t="str">
            <v>Qabu\القبو</v>
          </cell>
        </row>
        <row r="2583">
          <cell r="L2583" t="str">
            <v>SY060200</v>
          </cell>
          <cell r="M2583" t="str">
            <v>C3573</v>
          </cell>
          <cell r="N2583" t="str">
            <v>Ras El Ein - Jiwar Elbaqar\رأس العين_جوار البقر</v>
          </cell>
        </row>
        <row r="2584">
          <cell r="L2584" t="str">
            <v>SY060200</v>
          </cell>
          <cell r="M2584" t="str">
            <v>C3581</v>
          </cell>
          <cell r="N2584" t="str">
            <v>Rweiset Elhijl\رويسة الحجل</v>
          </cell>
        </row>
        <row r="2585">
          <cell r="L2585" t="str">
            <v>SY060200</v>
          </cell>
          <cell r="M2585" t="str">
            <v>C3583</v>
          </cell>
          <cell r="N2585" t="str">
            <v>Sharashir\الشراشير</v>
          </cell>
        </row>
        <row r="2586">
          <cell r="L2586" t="str">
            <v>SY060200</v>
          </cell>
          <cell r="M2586" t="str">
            <v>C3582</v>
          </cell>
          <cell r="N2586" t="str">
            <v>Syano\سيانو</v>
          </cell>
        </row>
        <row r="2587">
          <cell r="L2587" t="str">
            <v>SY060200</v>
          </cell>
          <cell r="M2587" t="str">
            <v>C3574</v>
          </cell>
          <cell r="N2587" t="str">
            <v>Zheirat\الزهيرات</v>
          </cell>
        </row>
        <row r="2588">
          <cell r="L2588" t="str">
            <v>SY060201</v>
          </cell>
          <cell r="M2588" t="str">
            <v>C3606</v>
          </cell>
          <cell r="N2588" t="str">
            <v>Bani Qahtan Castle\قلعة بني قحطان</v>
          </cell>
        </row>
        <row r="2589">
          <cell r="L2589" t="str">
            <v>SY060201</v>
          </cell>
          <cell r="M2589" t="str">
            <v>C3600</v>
          </cell>
          <cell r="N2589" t="str">
            <v>Battara\بطارة</v>
          </cell>
        </row>
        <row r="2590">
          <cell r="L2590" t="str">
            <v>SY060201</v>
          </cell>
          <cell r="M2590" t="str">
            <v>C3592</v>
          </cell>
          <cell r="N2590" t="str">
            <v>Beit Elfay\بيت الفي</v>
          </cell>
        </row>
        <row r="2591">
          <cell r="L2591" t="str">
            <v>SY060201</v>
          </cell>
          <cell r="M2591" t="str">
            <v>C3598</v>
          </cell>
          <cell r="N2591" t="str">
            <v>Bteryas\بترياس</v>
          </cell>
        </row>
        <row r="2592">
          <cell r="L2592" t="str">
            <v>SY060201</v>
          </cell>
          <cell r="M2592" t="str">
            <v>C3603</v>
          </cell>
          <cell r="N2592" t="str">
            <v>Ein Elsharqiyeh\عين الشرقية</v>
          </cell>
        </row>
        <row r="2593">
          <cell r="L2593" t="str">
            <v>SY060201</v>
          </cell>
          <cell r="M2593" t="str">
            <v>C3591</v>
          </cell>
          <cell r="N2593" t="str">
            <v>Fteih\الفتيح</v>
          </cell>
        </row>
        <row r="2594">
          <cell r="L2594" t="str">
            <v>SY060201</v>
          </cell>
          <cell r="M2594" t="str">
            <v>C3594</v>
          </cell>
          <cell r="N2594" t="str">
            <v>Herf Mtur\حرف متور</v>
          </cell>
        </row>
        <row r="2595">
          <cell r="L2595" t="str">
            <v>SY060201</v>
          </cell>
          <cell r="M2595" t="str">
            <v>C3597</v>
          </cell>
          <cell r="N2595" t="str">
            <v>Huran Elbudy\حوران البودي</v>
          </cell>
        </row>
        <row r="2596">
          <cell r="L2596" t="str">
            <v>SY060201</v>
          </cell>
          <cell r="M2596" t="str">
            <v>C3602</v>
          </cell>
          <cell r="N2596" t="str">
            <v>Job Yashut\جوب ياشوط</v>
          </cell>
        </row>
        <row r="2597">
          <cell r="L2597" t="str">
            <v>SY060201</v>
          </cell>
          <cell r="M2597" t="str">
            <v>C3607</v>
          </cell>
          <cell r="N2597" t="str">
            <v>Karm Elzayadiyeh\كرم الزيادية</v>
          </cell>
        </row>
        <row r="2598">
          <cell r="L2598" t="str">
            <v>SY060201</v>
          </cell>
          <cell r="M2598" t="str">
            <v>C3595</v>
          </cell>
          <cell r="N2598" t="str">
            <v>Maradsiyeh\المرداسية</v>
          </cell>
        </row>
        <row r="2599">
          <cell r="L2599" t="str">
            <v>SY060201</v>
          </cell>
          <cell r="M2599" t="str">
            <v>C3608</v>
          </cell>
          <cell r="N2599" t="str">
            <v>Mattur\متور</v>
          </cell>
        </row>
        <row r="2600">
          <cell r="L2600" t="str">
            <v>SY060201</v>
          </cell>
          <cell r="M2600" t="str">
            <v>C3593</v>
          </cell>
          <cell r="N2600" t="str">
            <v>Qalaye\القلايع</v>
          </cell>
        </row>
        <row r="2601">
          <cell r="L2601" t="str">
            <v>SY060201</v>
          </cell>
          <cell r="M2601" t="str">
            <v>C3604</v>
          </cell>
          <cell r="N2601" t="str">
            <v>Qassabin\قصابين</v>
          </cell>
        </row>
        <row r="2602">
          <cell r="L2602" t="str">
            <v>SY060201</v>
          </cell>
          <cell r="M2602" t="str">
            <v>C3605</v>
          </cell>
          <cell r="N2602" t="str">
            <v>Qorn Helliyeh\قرن حليه</v>
          </cell>
        </row>
        <row r="2603">
          <cell r="L2603" t="str">
            <v>SY060201</v>
          </cell>
          <cell r="M2603" t="str">
            <v>C3596</v>
          </cell>
          <cell r="N2603" t="str">
            <v>Rihanet Matur\ريحانة متور</v>
          </cell>
        </row>
        <row r="2604">
          <cell r="L2604" t="str">
            <v>SY060201</v>
          </cell>
          <cell r="M2604" t="str">
            <v>C3601</v>
          </cell>
          <cell r="N2604" t="str">
            <v>Zama\زاما</v>
          </cell>
        </row>
        <row r="2605">
          <cell r="L2605" t="str">
            <v>SY060201</v>
          </cell>
          <cell r="M2605" t="str">
            <v>C3599</v>
          </cell>
          <cell r="N2605" t="str">
            <v>Ziyadiyeh\الزيادية</v>
          </cell>
        </row>
        <row r="2606">
          <cell r="L2606" t="str">
            <v>SY060202</v>
          </cell>
          <cell r="M2606" t="str">
            <v>C3632</v>
          </cell>
          <cell r="N2606" t="str">
            <v>Baabda\بعبده</v>
          </cell>
        </row>
        <row r="2607">
          <cell r="L2607" t="str">
            <v>SY060202</v>
          </cell>
          <cell r="M2607" t="str">
            <v>C3614</v>
          </cell>
          <cell r="N2607" t="str">
            <v>Baraem Breen\البراعم بريعين</v>
          </cell>
        </row>
        <row r="2608">
          <cell r="L2608" t="str">
            <v>SY060202</v>
          </cell>
          <cell r="M2608" t="str">
            <v>C3630</v>
          </cell>
          <cell r="N2608" t="str">
            <v>Barazin\البرازين</v>
          </cell>
        </row>
        <row r="2609">
          <cell r="L2609" t="str">
            <v>SY060202</v>
          </cell>
          <cell r="M2609" t="str">
            <v>C3612</v>
          </cell>
          <cell r="N2609" t="str">
            <v>Barqa\برقة</v>
          </cell>
        </row>
        <row r="2610">
          <cell r="L2610" t="str">
            <v>SY060202</v>
          </cell>
          <cell r="M2610" t="str">
            <v>C3634</v>
          </cell>
          <cell r="N2610" t="str">
            <v>Basatwir\بسطوير</v>
          </cell>
        </row>
        <row r="2611">
          <cell r="L2611" t="str">
            <v>SY060202</v>
          </cell>
          <cell r="M2611" t="str">
            <v>C3627</v>
          </cell>
          <cell r="N2611" t="str">
            <v>Beit Elalluni\بيت العلوني</v>
          </cell>
        </row>
        <row r="2612">
          <cell r="L2612" t="str">
            <v>SY060202</v>
          </cell>
          <cell r="M2612" t="str">
            <v>C3621</v>
          </cell>
          <cell r="N2612" t="str">
            <v>Beshraghi\بشراغي</v>
          </cell>
        </row>
        <row r="2613">
          <cell r="L2613" t="str">
            <v>SY060202</v>
          </cell>
          <cell r="M2613" t="str">
            <v>C3635</v>
          </cell>
          <cell r="N2613" t="str">
            <v>Betshah\بطشاح</v>
          </cell>
        </row>
        <row r="2614">
          <cell r="L2614" t="str">
            <v>SY060202</v>
          </cell>
          <cell r="M2614" t="str">
            <v>C3615</v>
          </cell>
          <cell r="N2614" t="str">
            <v>Bitmana\بتمانا</v>
          </cell>
        </row>
        <row r="2615">
          <cell r="L2615" t="str">
            <v>SY060202</v>
          </cell>
          <cell r="M2615" t="str">
            <v>C3620</v>
          </cell>
          <cell r="N2615" t="str">
            <v>Bsendiana\بسنديانة</v>
          </cell>
        </row>
        <row r="2616">
          <cell r="L2616" t="str">
            <v>SY060202</v>
          </cell>
          <cell r="M2616" t="str">
            <v>C3623</v>
          </cell>
          <cell r="N2616" t="str">
            <v>Bsoter\بسوطر</v>
          </cell>
        </row>
        <row r="2617">
          <cell r="L2617" t="str">
            <v>SY060202</v>
          </cell>
          <cell r="M2617" t="str">
            <v>C3628</v>
          </cell>
          <cell r="N2617" t="str">
            <v>Darmineh\درمينه</v>
          </cell>
        </row>
        <row r="2618">
          <cell r="L2618" t="str">
            <v>SY060202</v>
          </cell>
          <cell r="M2618" t="str">
            <v>C3619</v>
          </cell>
          <cell r="N2618" t="str">
            <v>Dweir Baabda\دوير بعبده</v>
          </cell>
        </row>
        <row r="2619">
          <cell r="L2619" t="str">
            <v>SY060202</v>
          </cell>
          <cell r="M2619" t="str">
            <v>C3610</v>
          </cell>
          <cell r="N2619" t="str">
            <v>Dweir Bsindyana\دوير بسنديانة</v>
          </cell>
        </row>
        <row r="2620">
          <cell r="L2620" t="str">
            <v>SY060202</v>
          </cell>
          <cell r="M2620" t="str">
            <v>C3609</v>
          </cell>
          <cell r="N2620" t="str">
            <v>Hamam El Qarahleh\حمام القراحلة</v>
          </cell>
        </row>
        <row r="2621">
          <cell r="L2621" t="str">
            <v>SY060202</v>
          </cell>
          <cell r="M2621" t="str">
            <v>C3611</v>
          </cell>
          <cell r="N2621" t="str">
            <v>Jibul\جيبول</v>
          </cell>
        </row>
        <row r="2622">
          <cell r="L2622" t="str">
            <v>SY060202</v>
          </cell>
          <cell r="M2622" t="str">
            <v>C3629</v>
          </cell>
          <cell r="N2622" t="str">
            <v>Karama Kankaru\الكرامة كنكارو</v>
          </cell>
        </row>
        <row r="2623">
          <cell r="L2623" t="str">
            <v>SY060202</v>
          </cell>
          <cell r="M2623" t="str">
            <v>C3617</v>
          </cell>
          <cell r="N2623" t="str">
            <v>Kharayeb Salem\خرايب سالم</v>
          </cell>
        </row>
        <row r="2624">
          <cell r="L2624" t="str">
            <v>SY060202</v>
          </cell>
          <cell r="M2624" t="str">
            <v>C3626</v>
          </cell>
          <cell r="N2624" t="str">
            <v>Mansura - Zwiyeh\المنصورة_الزوية</v>
          </cell>
        </row>
        <row r="2625">
          <cell r="L2625" t="str">
            <v>SY060202</v>
          </cell>
          <cell r="M2625" t="str">
            <v>C3622</v>
          </cell>
          <cell r="N2625" t="str">
            <v>Oqaiba\العقيبة</v>
          </cell>
        </row>
        <row r="2626">
          <cell r="L2626" t="str">
            <v>SY060202</v>
          </cell>
          <cell r="M2626" t="str">
            <v>C3613</v>
          </cell>
          <cell r="N2626" t="str">
            <v>Orayqib\العريقيب</v>
          </cell>
        </row>
        <row r="2627">
          <cell r="L2627" t="str">
            <v>SY060202</v>
          </cell>
          <cell r="M2627" t="str">
            <v>C3636</v>
          </cell>
          <cell r="N2627" t="str">
            <v>Qarfis\قرفيص</v>
          </cell>
        </row>
        <row r="2628">
          <cell r="L2628" t="str">
            <v>SY060202</v>
          </cell>
          <cell r="M2628" t="str">
            <v>C3625</v>
          </cell>
          <cell r="N2628" t="str">
            <v>Qteilbiyyeh\القطيلبية</v>
          </cell>
        </row>
        <row r="2629">
          <cell r="L2629" t="str">
            <v>SY060202</v>
          </cell>
          <cell r="M2629" t="str">
            <v>C3616</v>
          </cell>
          <cell r="N2629" t="str">
            <v>Rabwa / Harbuq\الربوة / حربوق</v>
          </cell>
        </row>
        <row r="2630">
          <cell r="L2630" t="str">
            <v>SY060202</v>
          </cell>
          <cell r="M2630" t="str">
            <v>C3624</v>
          </cell>
          <cell r="N2630" t="str">
            <v>Sabiyun\سربيون</v>
          </cell>
        </row>
        <row r="2631">
          <cell r="L2631" t="str">
            <v>SY060202</v>
          </cell>
          <cell r="M2631" t="str">
            <v>C3631</v>
          </cell>
          <cell r="N2631" t="str">
            <v>Sakhaba\السخابة</v>
          </cell>
        </row>
        <row r="2632">
          <cell r="L2632" t="str">
            <v>SY060202</v>
          </cell>
          <cell r="M2632" t="str">
            <v>C3618</v>
          </cell>
          <cell r="N2632" t="str">
            <v>Tal Hweiri\تل حويري</v>
          </cell>
        </row>
        <row r="2633">
          <cell r="L2633" t="str">
            <v>SY060202</v>
          </cell>
          <cell r="M2633" t="str">
            <v>C3633</v>
          </cell>
          <cell r="N2633" t="str">
            <v>Zahraa / Sanqunes\الزهراء / سنقونس</v>
          </cell>
        </row>
        <row r="2634">
          <cell r="L2634" t="str">
            <v>SY060203</v>
          </cell>
          <cell r="M2634" t="str">
            <v>C3645</v>
          </cell>
          <cell r="N2634" t="str">
            <v>Armati\عرمتي</v>
          </cell>
        </row>
        <row r="2635">
          <cell r="L2635" t="str">
            <v>SY060203</v>
          </cell>
          <cell r="M2635" t="str">
            <v>C3646</v>
          </cell>
          <cell r="N2635" t="str">
            <v>Baqariya\بقرية</v>
          </cell>
        </row>
        <row r="2636">
          <cell r="L2636" t="str">
            <v>SY060203</v>
          </cell>
          <cell r="M2636" t="str">
            <v>C3641</v>
          </cell>
          <cell r="N2636" t="str">
            <v>Bashkuh\بشكوح</v>
          </cell>
        </row>
        <row r="2637">
          <cell r="L2637" t="str">
            <v>SY060203</v>
          </cell>
          <cell r="M2637" t="str">
            <v>C3642</v>
          </cell>
          <cell r="N2637" t="str">
            <v>Bishrah\البشراح</v>
          </cell>
        </row>
        <row r="2638">
          <cell r="L2638" t="str">
            <v>SY060203</v>
          </cell>
          <cell r="M2638" t="str">
            <v>C3638</v>
          </cell>
          <cell r="N2638" t="str">
            <v>Budy\البودي</v>
          </cell>
        </row>
        <row r="2639">
          <cell r="L2639" t="str">
            <v>SY060203</v>
          </cell>
          <cell r="M2639" t="str">
            <v>C3644</v>
          </cell>
          <cell r="N2639" t="str">
            <v>Deirotan / Jableh\ديروتان / جبلة</v>
          </cell>
        </row>
        <row r="2640">
          <cell r="L2640" t="str">
            <v>SY060203</v>
          </cell>
          <cell r="M2640" t="str">
            <v>C3643</v>
          </cell>
          <cell r="N2640" t="str">
            <v>Deiruneh Jableh\ديرونة جبلة</v>
          </cell>
        </row>
        <row r="2641">
          <cell r="L2641" t="str">
            <v>SY060203</v>
          </cell>
          <cell r="M2641" t="str">
            <v>C3647</v>
          </cell>
          <cell r="N2641" t="str">
            <v>Ein Shaqaq\عين شقاق</v>
          </cell>
        </row>
        <row r="2642">
          <cell r="L2642" t="str">
            <v>SY060203</v>
          </cell>
          <cell r="M2642" t="str">
            <v>C3637</v>
          </cell>
          <cell r="N2642" t="str">
            <v>Nuzha - Betghramo\النزهة / بتغرامو</v>
          </cell>
        </row>
        <row r="2643">
          <cell r="L2643" t="str">
            <v>SY060203</v>
          </cell>
          <cell r="M2643" t="str">
            <v>C3640</v>
          </cell>
          <cell r="N2643" t="str">
            <v>Rawda Benjaro\الروضة بنجارو</v>
          </cell>
        </row>
        <row r="2644">
          <cell r="L2644" t="str">
            <v>SY060203</v>
          </cell>
          <cell r="M2644" t="str">
            <v>C3639</v>
          </cell>
          <cell r="N2644" t="str">
            <v>Thawra Kherbet Almaradsiyeh\الثورة خربة المرداسية</v>
          </cell>
        </row>
        <row r="2645">
          <cell r="L2645" t="str">
            <v>SY060204</v>
          </cell>
          <cell r="M2645" t="str">
            <v>C3655</v>
          </cell>
          <cell r="N2645" t="str">
            <v>Batmush\بطموش</v>
          </cell>
        </row>
        <row r="2646">
          <cell r="L2646" t="str">
            <v>SY060204</v>
          </cell>
          <cell r="M2646" t="str">
            <v>C3654</v>
          </cell>
          <cell r="N2646" t="str">
            <v>Beit Ana\بيت عانا</v>
          </cell>
        </row>
        <row r="2647">
          <cell r="L2647" t="str">
            <v>SY060204</v>
          </cell>
          <cell r="M2647" t="str">
            <v>C3651</v>
          </cell>
          <cell r="N2647" t="str">
            <v>Dalyeh\دالية</v>
          </cell>
        </row>
        <row r="2648">
          <cell r="L2648" t="str">
            <v>SY060204</v>
          </cell>
          <cell r="M2648" t="str">
            <v>C3648</v>
          </cell>
          <cell r="N2648" t="str">
            <v>Ein Ghannam\عين غنام</v>
          </cell>
        </row>
        <row r="2649">
          <cell r="L2649" t="str">
            <v>SY060204</v>
          </cell>
          <cell r="M2649" t="str">
            <v>C3649</v>
          </cell>
          <cell r="N2649" t="str">
            <v>Herf Elsari\حرف الساري</v>
          </cell>
        </row>
        <row r="2650">
          <cell r="L2650" t="str">
            <v>SY060204</v>
          </cell>
          <cell r="M2650" t="str">
            <v>C3657</v>
          </cell>
          <cell r="N2650" t="str">
            <v>Maarin\معرين</v>
          </cell>
        </row>
        <row r="2651">
          <cell r="L2651" t="str">
            <v>SY060204</v>
          </cell>
          <cell r="M2651" t="str">
            <v>C3656</v>
          </cell>
          <cell r="N2651" t="str">
            <v>Msheirfeh\المشيرفة</v>
          </cell>
        </row>
        <row r="2652">
          <cell r="L2652" t="str">
            <v>SY060204</v>
          </cell>
          <cell r="M2652" t="str">
            <v>C3653</v>
          </cell>
          <cell r="N2652" t="str">
            <v>Qseibeh\القصيبة</v>
          </cell>
        </row>
        <row r="2653">
          <cell r="L2653" t="str">
            <v>SY060204</v>
          </cell>
          <cell r="M2653" t="str">
            <v>C3650</v>
          </cell>
          <cell r="N2653" t="str">
            <v>Salmiyeh\سلميه</v>
          </cell>
        </row>
        <row r="2654">
          <cell r="L2654" t="str">
            <v>SY060204</v>
          </cell>
          <cell r="M2654" t="str">
            <v>C3652</v>
          </cell>
          <cell r="N2654" t="str">
            <v>Talaziq\التلازيق</v>
          </cell>
        </row>
        <row r="2655">
          <cell r="L2655" t="str">
            <v>SY060204</v>
          </cell>
          <cell r="M2655" t="str">
            <v>C3658</v>
          </cell>
          <cell r="N2655" t="str">
            <v>Wadi Elqale\وادي القلع</v>
          </cell>
        </row>
        <row r="2656">
          <cell r="L2656" t="str">
            <v>SY060205</v>
          </cell>
          <cell r="M2656" t="str">
            <v>C3667</v>
          </cell>
          <cell r="N2656" t="str">
            <v>Beit Yshut - Ein Qayta\بيت ياشوط_عين قيطة</v>
          </cell>
        </row>
        <row r="2657">
          <cell r="L2657" t="str">
            <v>SY060205</v>
          </cell>
          <cell r="M2657" t="str">
            <v>C3666</v>
          </cell>
          <cell r="N2657" t="str">
            <v>Bismalekh\بسمالخ</v>
          </cell>
        </row>
        <row r="2658">
          <cell r="L2658" t="str">
            <v>SY060205</v>
          </cell>
          <cell r="M2658" t="str">
            <v>C3665</v>
          </cell>
          <cell r="N2658" t="str">
            <v>Bsheili\بشيلي</v>
          </cell>
        </row>
        <row r="2659">
          <cell r="L2659" t="str">
            <v>SY060205</v>
          </cell>
          <cell r="M2659" t="str">
            <v>C3661</v>
          </cell>
          <cell r="N2659" t="str">
            <v>Ein Qetaa\عين قطعة</v>
          </cell>
        </row>
        <row r="2660">
          <cell r="L2660" t="str">
            <v>SY060205</v>
          </cell>
          <cell r="M2660" t="str">
            <v>C3663</v>
          </cell>
          <cell r="N2660" t="str">
            <v>Ein Salem\عين سالم</v>
          </cell>
        </row>
        <row r="2661">
          <cell r="L2661" t="str">
            <v>SY060205</v>
          </cell>
          <cell r="M2661" t="str">
            <v>C3660</v>
          </cell>
          <cell r="N2661" t="str">
            <v>Halabko\حلبكو</v>
          </cell>
        </row>
        <row r="2662">
          <cell r="L2662" t="str">
            <v>SY060205</v>
          </cell>
          <cell r="M2662" t="str">
            <v>C3664</v>
          </cell>
          <cell r="N2662" t="str">
            <v>Helleh Ara\حله عارا</v>
          </cell>
        </row>
        <row r="2663">
          <cell r="L2663" t="str">
            <v>SY060205</v>
          </cell>
          <cell r="M2663" t="str">
            <v>C3659</v>
          </cell>
          <cell r="N2663" t="str">
            <v>Jofin\جوفين</v>
          </cell>
        </row>
        <row r="2664">
          <cell r="L2664" t="str">
            <v>SY060205</v>
          </cell>
          <cell r="M2664" t="str">
            <v>C6349</v>
          </cell>
          <cell r="N2664" t="str">
            <v>Krum\الكروم</v>
          </cell>
        </row>
        <row r="2665">
          <cell r="L2665" t="str">
            <v>SY060205</v>
          </cell>
          <cell r="M2665" t="str">
            <v>C3662</v>
          </cell>
          <cell r="N2665" t="str">
            <v>Mneizleh\المنيزلة</v>
          </cell>
        </row>
        <row r="2666">
          <cell r="L2666" t="str">
            <v>SY060300</v>
          </cell>
          <cell r="M2666" t="str">
            <v>C3671</v>
          </cell>
          <cell r="N2666" t="str">
            <v>Al-Haffa\الحفة</v>
          </cell>
        </row>
        <row r="2667">
          <cell r="L2667" t="str">
            <v>SY060300</v>
          </cell>
          <cell r="M2667" t="str">
            <v>C3673</v>
          </cell>
          <cell r="N2667" t="str">
            <v>Babna\بابنا</v>
          </cell>
        </row>
        <row r="2668">
          <cell r="L2668" t="str">
            <v>SY060300</v>
          </cell>
          <cell r="M2668" t="str">
            <v>C6350</v>
          </cell>
          <cell r="N2668" t="str">
            <v>Doha\الدوحة</v>
          </cell>
        </row>
        <row r="2669">
          <cell r="L2669" t="str">
            <v>SY060300</v>
          </cell>
          <cell r="M2669" t="str">
            <v>C3682</v>
          </cell>
          <cell r="N2669" t="str">
            <v>Granada\غرناطة</v>
          </cell>
        </row>
        <row r="2670">
          <cell r="L2670" t="str">
            <v>SY060300</v>
          </cell>
          <cell r="M2670" t="str">
            <v>C3668</v>
          </cell>
          <cell r="N2670" t="str">
            <v>Hameidiyyeh\الحميدية</v>
          </cell>
        </row>
        <row r="2671">
          <cell r="L2671" t="str">
            <v>SY060300</v>
          </cell>
          <cell r="M2671" t="str">
            <v>C3677</v>
          </cell>
          <cell r="N2671" t="str">
            <v>Hara\الحارة</v>
          </cell>
        </row>
        <row r="2672">
          <cell r="L2672" t="str">
            <v>SY060300</v>
          </cell>
          <cell r="M2672" t="str">
            <v>C3674</v>
          </cell>
          <cell r="N2672" t="str">
            <v>Kherbet Hishun\خربة هيشون</v>
          </cell>
        </row>
        <row r="2673">
          <cell r="L2673" t="str">
            <v>SY060300</v>
          </cell>
          <cell r="M2673" t="str">
            <v>C3683</v>
          </cell>
          <cell r="N2673" t="str">
            <v>Manjila\منجيلا</v>
          </cell>
        </row>
        <row r="2674">
          <cell r="L2674" t="str">
            <v>SY060300</v>
          </cell>
          <cell r="M2674" t="str">
            <v>C3687</v>
          </cell>
          <cell r="N2674" t="str">
            <v>Milsun / Shir Elqalaq\ميسلون / شير القاق</v>
          </cell>
        </row>
        <row r="2675">
          <cell r="L2675" t="str">
            <v>SY060300</v>
          </cell>
          <cell r="M2675" t="str">
            <v>C6352</v>
          </cell>
          <cell r="N2675" t="str">
            <v>Mokhtariyeh\المختارية</v>
          </cell>
        </row>
        <row r="2676">
          <cell r="L2676" t="str">
            <v>SY060300</v>
          </cell>
          <cell r="M2676" t="str">
            <v>C3680</v>
          </cell>
          <cell r="N2676" t="str">
            <v>Othriya\العذرية</v>
          </cell>
        </row>
        <row r="2677">
          <cell r="L2677" t="str">
            <v>SY060300</v>
          </cell>
          <cell r="M2677" t="str">
            <v>C3669</v>
          </cell>
          <cell r="N2677" t="str">
            <v>Qadessiyeh - Jankil\القادسية_جنكيل</v>
          </cell>
        </row>
        <row r="2678">
          <cell r="L2678" t="str">
            <v>SY060300</v>
          </cell>
          <cell r="M2678" t="str">
            <v>C3685</v>
          </cell>
          <cell r="N2678" t="str">
            <v>Qeshbeh\قشبة</v>
          </cell>
        </row>
        <row r="2679">
          <cell r="L2679" t="str">
            <v>SY060300</v>
          </cell>
          <cell r="M2679" t="str">
            <v>C3686</v>
          </cell>
          <cell r="N2679" t="str">
            <v>Qreimani\قريماني</v>
          </cell>
        </row>
        <row r="2680">
          <cell r="L2680" t="str">
            <v>SY060300</v>
          </cell>
          <cell r="M2680" t="str">
            <v>C6351</v>
          </cell>
          <cell r="N2680" t="str">
            <v>Rabyeh / Bikas\الرابية / بكاس</v>
          </cell>
        </row>
        <row r="2681">
          <cell r="L2681" t="str">
            <v>SY060300</v>
          </cell>
          <cell r="M2681" t="str">
            <v>C3678</v>
          </cell>
          <cell r="N2681" t="str">
            <v>Raqiq\رقيق</v>
          </cell>
        </row>
        <row r="2682">
          <cell r="L2682" t="str">
            <v>SY060300</v>
          </cell>
          <cell r="M2682" t="str">
            <v>C3676</v>
          </cell>
          <cell r="N2682" t="str">
            <v>Rasyun Elheffeh\رسيون الحفة</v>
          </cell>
        </row>
        <row r="2683">
          <cell r="L2683" t="str">
            <v>SY060300</v>
          </cell>
          <cell r="M2683" t="str">
            <v>C3679</v>
          </cell>
          <cell r="N2683" t="str">
            <v>Samandil\صمنديل</v>
          </cell>
        </row>
        <row r="2684">
          <cell r="L2684" t="str">
            <v>SY060300</v>
          </cell>
          <cell r="M2684" t="str">
            <v>C3670</v>
          </cell>
          <cell r="N2684" t="str">
            <v>Samiya\السامية</v>
          </cell>
        </row>
        <row r="2685">
          <cell r="L2685" t="str">
            <v>SY060300</v>
          </cell>
          <cell r="M2685" t="str">
            <v>C3675</v>
          </cell>
          <cell r="N2685" t="str">
            <v>Sharifa\شريفا</v>
          </cell>
        </row>
        <row r="2686">
          <cell r="L2686" t="str">
            <v>SY060300</v>
          </cell>
          <cell r="M2686" t="str">
            <v>C3681</v>
          </cell>
          <cell r="N2686" t="str">
            <v>Tishrine / Dafil\تشرين / دفيل</v>
          </cell>
        </row>
        <row r="2687">
          <cell r="L2687" t="str">
            <v>SY060300</v>
          </cell>
          <cell r="M2687" t="str">
            <v>C3684</v>
          </cell>
          <cell r="N2687" t="str">
            <v>Watyel Karameh\وطي الرامة</v>
          </cell>
        </row>
        <row r="2688">
          <cell r="L2688" t="str">
            <v>SY060300</v>
          </cell>
          <cell r="M2688" t="str">
            <v>C3672</v>
          </cell>
          <cell r="N2688" t="str">
            <v>Zanqufa\زنقوفة</v>
          </cell>
        </row>
        <row r="2689">
          <cell r="L2689" t="str">
            <v>SY060301</v>
          </cell>
          <cell r="M2689" t="str">
            <v>C3701</v>
          </cell>
          <cell r="N2689" t="str">
            <v>Aramo\عرامو</v>
          </cell>
        </row>
        <row r="2690">
          <cell r="L2690" t="str">
            <v>SY060301</v>
          </cell>
          <cell r="M2690" t="str">
            <v>C3705</v>
          </cell>
          <cell r="N2690" t="str">
            <v>Bab Abdallah\باب عبد الله</v>
          </cell>
        </row>
        <row r="2691">
          <cell r="L2691" t="str">
            <v>SY060301</v>
          </cell>
          <cell r="M2691" t="str">
            <v>C3699</v>
          </cell>
          <cell r="N2691" t="str">
            <v>Bab Janna\باب جنه</v>
          </cell>
        </row>
        <row r="2692">
          <cell r="L2692" t="str">
            <v>SY060301</v>
          </cell>
          <cell r="M2692" t="str">
            <v>C3694</v>
          </cell>
          <cell r="N2692" t="str">
            <v>Balata\البلاطة</v>
          </cell>
        </row>
        <row r="2693">
          <cell r="L2693" t="str">
            <v>SY060301</v>
          </cell>
          <cell r="M2693" t="str">
            <v>C3696</v>
          </cell>
          <cell r="N2693" t="str">
            <v>Balluta\بلوطة</v>
          </cell>
        </row>
        <row r="2694">
          <cell r="L2694" t="str">
            <v>SY060301</v>
          </cell>
          <cell r="M2694" t="str">
            <v>C3690</v>
          </cell>
          <cell r="N2694" t="str">
            <v>Baruda\بارودة</v>
          </cell>
        </row>
        <row r="2695">
          <cell r="L2695" t="str">
            <v>SY060301</v>
          </cell>
          <cell r="M2695" t="str">
            <v>C3702</v>
          </cell>
          <cell r="N2695" t="str">
            <v>Birein\بيرين</v>
          </cell>
        </row>
        <row r="2696">
          <cell r="L2696" t="str">
            <v>SY060301</v>
          </cell>
          <cell r="M2696" t="str">
            <v>C3688</v>
          </cell>
          <cell r="N2696" t="str">
            <v>Bishamana\بشمانا</v>
          </cell>
        </row>
        <row r="2697">
          <cell r="L2697" t="str">
            <v>SY060301</v>
          </cell>
          <cell r="M2697" t="str">
            <v>C3692</v>
          </cell>
          <cell r="N2697" t="str">
            <v>Daryus\دريوس</v>
          </cell>
        </row>
        <row r="2698">
          <cell r="L2698" t="str">
            <v>SY060301</v>
          </cell>
          <cell r="M2698" t="str">
            <v>C3691</v>
          </cell>
          <cell r="N2698" t="str">
            <v>Deir Tuma\ديرتوما</v>
          </cell>
        </row>
        <row r="2699">
          <cell r="L2699" t="str">
            <v>SY060301</v>
          </cell>
          <cell r="M2699" t="str">
            <v>C3693</v>
          </cell>
          <cell r="N2699" t="str">
            <v>Durin\دورين</v>
          </cell>
        </row>
        <row r="2700">
          <cell r="L2700" t="str">
            <v>SY060301</v>
          </cell>
          <cell r="M2700" t="str">
            <v>C3703</v>
          </cell>
          <cell r="N2700" t="str">
            <v>Ein Elwadi Tantash\عين الوادي طنطاش</v>
          </cell>
        </row>
        <row r="2701">
          <cell r="L2701" t="str">
            <v>SY060301</v>
          </cell>
          <cell r="M2701" t="str">
            <v>C6353</v>
          </cell>
          <cell r="N2701" t="str">
            <v>Heryadi\الهريادي</v>
          </cell>
        </row>
        <row r="2702">
          <cell r="L2702" t="str">
            <v>SY060301</v>
          </cell>
          <cell r="M2702" t="str">
            <v>C3710</v>
          </cell>
          <cell r="N2702" t="str">
            <v>Kafr Dalba\كفر دلبة</v>
          </cell>
        </row>
        <row r="2703">
          <cell r="L2703" t="str">
            <v>SY060301</v>
          </cell>
          <cell r="M2703" t="str">
            <v>C3706</v>
          </cell>
          <cell r="N2703" t="str">
            <v>Karafish\كرافيش</v>
          </cell>
        </row>
        <row r="2704">
          <cell r="L2704" t="str">
            <v>SY060301</v>
          </cell>
          <cell r="M2704" t="str">
            <v>C3708</v>
          </cell>
          <cell r="N2704" t="str">
            <v>Majdal Saleh\مجدل صالح</v>
          </cell>
        </row>
        <row r="2705">
          <cell r="L2705" t="str">
            <v>SY060301</v>
          </cell>
          <cell r="M2705" t="str">
            <v>C3709</v>
          </cell>
          <cell r="N2705" t="str">
            <v>Marj Khokho\مرج خوخو</v>
          </cell>
        </row>
        <row r="2706">
          <cell r="L2706" t="str">
            <v>SY060301</v>
          </cell>
          <cell r="M2706" t="str">
            <v>C3707</v>
          </cell>
          <cell r="N2706" t="str">
            <v>Maruniyeh Dali / Brim\مارونية دالي / بريم</v>
          </cell>
        </row>
        <row r="2707">
          <cell r="L2707" t="str">
            <v>SY060301</v>
          </cell>
          <cell r="M2707" t="str">
            <v>C3695</v>
          </cell>
          <cell r="N2707" t="str">
            <v>Mrih\المريح</v>
          </cell>
        </row>
        <row r="2708">
          <cell r="L2708" t="str">
            <v>SY060301</v>
          </cell>
          <cell r="M2708" t="str">
            <v>C3697</v>
          </cell>
          <cell r="N2708" t="str">
            <v>Obein\أوبين</v>
          </cell>
        </row>
        <row r="2709">
          <cell r="L2709" t="str">
            <v>SY060301</v>
          </cell>
          <cell r="M2709" t="str">
            <v>C3700</v>
          </cell>
          <cell r="N2709" t="str">
            <v>Salanfa\صلنفة</v>
          </cell>
        </row>
        <row r="2710">
          <cell r="L2710" t="str">
            <v>SY060301</v>
          </cell>
          <cell r="M2710" t="str">
            <v>C3704</v>
          </cell>
          <cell r="N2710" t="str">
            <v>Salma\سلمى</v>
          </cell>
        </row>
        <row r="2711">
          <cell r="L2711" t="str">
            <v>SY060301</v>
          </cell>
          <cell r="M2711" t="str">
            <v>C3689</v>
          </cell>
          <cell r="N2711" t="str">
            <v>Shoh Baltaah\الشوح بلتعة</v>
          </cell>
        </row>
        <row r="2712">
          <cell r="L2712" t="str">
            <v>SY060301</v>
          </cell>
          <cell r="M2712" t="str">
            <v>C3698</v>
          </cell>
          <cell r="N2712" t="str">
            <v>Tertyah\ترتياح</v>
          </cell>
        </row>
        <row r="2713">
          <cell r="L2713" t="str">
            <v>SY060302</v>
          </cell>
          <cell r="M2713" t="str">
            <v>C3716</v>
          </cell>
          <cell r="N2713" t="str">
            <v>Basta\بستا</v>
          </cell>
        </row>
        <row r="2714">
          <cell r="L2714" t="str">
            <v>SY060302</v>
          </cell>
          <cell r="M2714" t="str">
            <v>C3712</v>
          </cell>
          <cell r="N2714" t="str">
            <v>Bayader Eldurra\بيادر الدرة</v>
          </cell>
        </row>
        <row r="2715">
          <cell r="L2715" t="str">
            <v>SY060302</v>
          </cell>
          <cell r="M2715" t="str">
            <v>C3711</v>
          </cell>
          <cell r="N2715" t="str">
            <v>Ein Et-teeneh\عين التينة</v>
          </cell>
        </row>
        <row r="2716">
          <cell r="L2716" t="str">
            <v>SY060302</v>
          </cell>
          <cell r="M2716" t="str">
            <v>C3718</v>
          </cell>
          <cell r="N2716" t="str">
            <v>Hbeit\حبيت</v>
          </cell>
        </row>
        <row r="2717">
          <cell r="L2717" t="str">
            <v>SY060302</v>
          </cell>
          <cell r="M2717" t="str">
            <v>C3714</v>
          </cell>
          <cell r="N2717" t="str">
            <v>Jablaya\جبلايا</v>
          </cell>
        </row>
        <row r="2718">
          <cell r="L2718" t="str">
            <v>SY060302</v>
          </cell>
          <cell r="M2718" t="str">
            <v>C3715</v>
          </cell>
          <cell r="N2718" t="str">
            <v>Jdideh\الجديدة</v>
          </cell>
        </row>
        <row r="2719">
          <cell r="L2719" t="str">
            <v>SY060302</v>
          </cell>
          <cell r="M2719" t="str">
            <v>C3721</v>
          </cell>
          <cell r="N2719" t="str">
            <v>Kars\كرس</v>
          </cell>
        </row>
        <row r="2720">
          <cell r="L2720" t="str">
            <v>SY060302</v>
          </cell>
          <cell r="M2720" t="str">
            <v>C3717</v>
          </cell>
          <cell r="N2720" t="str">
            <v>Khaldiyet Khdello\خالدية خدللو</v>
          </cell>
        </row>
        <row r="2721">
          <cell r="L2721" t="str">
            <v>SY060302</v>
          </cell>
          <cell r="M2721" t="str">
            <v>C3720</v>
          </cell>
          <cell r="N2721" t="str">
            <v>Livin\ليفين</v>
          </cell>
        </row>
        <row r="2722">
          <cell r="L2722" t="str">
            <v>SY060302</v>
          </cell>
          <cell r="M2722" t="str">
            <v>C3719</v>
          </cell>
          <cell r="N2722" t="str">
            <v>Nabe Elkhandaq\نبع الخندق</v>
          </cell>
        </row>
        <row r="2723">
          <cell r="L2723" t="str">
            <v>SY060303</v>
          </cell>
          <cell r="M2723" t="str">
            <v>C3740</v>
          </cell>
          <cell r="N2723" t="str">
            <v>Aku\عكو</v>
          </cell>
        </row>
        <row r="2724">
          <cell r="L2724" t="str">
            <v>SY060303</v>
          </cell>
          <cell r="M2724" t="str">
            <v>C3742</v>
          </cell>
          <cell r="N2724" t="str">
            <v>Ara\آره</v>
          </cell>
        </row>
        <row r="2725">
          <cell r="L2725" t="str">
            <v>SY060303</v>
          </cell>
          <cell r="M2725" t="str">
            <v>C3741</v>
          </cell>
          <cell r="N2725" t="str">
            <v>Arafit\عرافيت</v>
          </cell>
        </row>
        <row r="2726">
          <cell r="L2726" t="str">
            <v>SY060303</v>
          </cell>
          <cell r="M2726" t="str">
            <v>C3724</v>
          </cell>
          <cell r="N2726" t="str">
            <v>Ard Elwata\أرض الوطى</v>
          </cell>
        </row>
        <row r="2727">
          <cell r="L2727" t="str">
            <v>SY060303</v>
          </cell>
          <cell r="M2727" t="str">
            <v>C3726</v>
          </cell>
          <cell r="N2727" t="str">
            <v>Bashura\باشورة</v>
          </cell>
        </row>
        <row r="2728">
          <cell r="L2728" t="str">
            <v>SY060303</v>
          </cell>
          <cell r="M2728" t="str">
            <v>C3735</v>
          </cell>
          <cell r="N2728" t="str">
            <v>Beit Shkuhi\بيت الشكوحي</v>
          </cell>
        </row>
        <row r="2729">
          <cell r="L2729" t="str">
            <v>SY060303</v>
          </cell>
          <cell r="M2729" t="str">
            <v>C3723</v>
          </cell>
          <cell r="N2729" t="str">
            <v>Bmashrafa\بمشرفة</v>
          </cell>
        </row>
        <row r="2730">
          <cell r="L2730" t="str">
            <v>SY060303</v>
          </cell>
          <cell r="M2730" t="str">
            <v>C3739</v>
          </cell>
          <cell r="N2730" t="str">
            <v>Bruma\بروما</v>
          </cell>
        </row>
        <row r="2731">
          <cell r="L2731" t="str">
            <v>SY060303</v>
          </cell>
          <cell r="M2731" t="str">
            <v>C3725</v>
          </cell>
          <cell r="N2731" t="str">
            <v>Deiruneh Elakrad\ديرونه الأكراد</v>
          </cell>
        </row>
        <row r="2732">
          <cell r="L2732" t="str">
            <v>SY060303</v>
          </cell>
          <cell r="M2732" t="str">
            <v>C3727</v>
          </cell>
          <cell r="N2732" t="str">
            <v>Dweirkeh\دويركه</v>
          </cell>
        </row>
        <row r="2733">
          <cell r="L2733" t="str">
            <v>SY060303</v>
          </cell>
          <cell r="M2733" t="str">
            <v>C3737</v>
          </cell>
          <cell r="N2733" t="str">
            <v>Eido\عيدو</v>
          </cell>
        </row>
        <row r="2734">
          <cell r="L2734" t="str">
            <v>SY060303</v>
          </cell>
          <cell r="M2734" t="str">
            <v>C3734</v>
          </cell>
          <cell r="N2734" t="str">
            <v>Ein Elashra\عين العشرة</v>
          </cell>
        </row>
        <row r="2735">
          <cell r="L2735" t="str">
            <v>SY060303</v>
          </cell>
          <cell r="M2735" t="str">
            <v>C3728</v>
          </cell>
          <cell r="N2735" t="str">
            <v>Ein Elhur\عين الحور</v>
          </cell>
        </row>
        <row r="2736">
          <cell r="L2736" t="str">
            <v>SY060303</v>
          </cell>
          <cell r="M2736" t="str">
            <v>C3736</v>
          </cell>
          <cell r="N2736" t="str">
            <v>Ein Elqantara\عين القنطرة</v>
          </cell>
        </row>
        <row r="2737">
          <cell r="L2737" t="str">
            <v>SY060303</v>
          </cell>
          <cell r="M2737" t="str">
            <v>C3754</v>
          </cell>
          <cell r="N2737" t="str">
            <v>Ghnimiyeh\غنيميه</v>
          </cell>
        </row>
        <row r="2738">
          <cell r="L2738" t="str">
            <v>SY060303</v>
          </cell>
          <cell r="M2738" t="str">
            <v>C3731</v>
          </cell>
          <cell r="N2738" t="str">
            <v>Haddada\حدادة</v>
          </cell>
        </row>
        <row r="2739">
          <cell r="L2739" t="str">
            <v>SY060303</v>
          </cell>
          <cell r="M2739" t="str">
            <v>C3732</v>
          </cell>
          <cell r="N2739" t="str">
            <v>Hamrat\الحمرات</v>
          </cell>
        </row>
        <row r="2740">
          <cell r="L2740" t="str">
            <v>SY060303</v>
          </cell>
          <cell r="M2740" t="str">
            <v>C3733</v>
          </cell>
          <cell r="N2740" t="str">
            <v>Hekro\حكرو</v>
          </cell>
        </row>
        <row r="2741">
          <cell r="L2741" t="str">
            <v>SY060303</v>
          </cell>
          <cell r="M2741" t="str">
            <v>C3751</v>
          </cell>
          <cell r="N2741" t="str">
            <v>Kabani\كباني</v>
          </cell>
        </row>
        <row r="2742">
          <cell r="L2742" t="str">
            <v>SY060303</v>
          </cell>
          <cell r="M2742" t="str">
            <v>C3752</v>
          </cell>
          <cell r="N2742" t="str">
            <v>Kadin\كدين</v>
          </cell>
        </row>
        <row r="2743">
          <cell r="L2743" t="str">
            <v>SY060303</v>
          </cell>
          <cell r="M2743" t="str">
            <v>C3746</v>
          </cell>
          <cell r="N2743" t="str">
            <v>Kafrata\كفرتة</v>
          </cell>
        </row>
        <row r="2744">
          <cell r="L2744" t="str">
            <v>SY060303</v>
          </cell>
          <cell r="M2744" t="str">
            <v>C6354</v>
          </cell>
          <cell r="N2744" t="str">
            <v>Kafraya\كفريه</v>
          </cell>
        </row>
        <row r="2745">
          <cell r="L2745" t="str">
            <v>SY060303</v>
          </cell>
          <cell r="M2745" t="str">
            <v>C3750</v>
          </cell>
          <cell r="N2745" t="str">
            <v>Kansaba\كنسبا</v>
          </cell>
        </row>
        <row r="2746">
          <cell r="L2746" t="str">
            <v>SY060303</v>
          </cell>
          <cell r="M2746" t="str">
            <v>C3745</v>
          </cell>
          <cell r="N2746" t="str">
            <v>Karura\كارورة</v>
          </cell>
        </row>
        <row r="2747">
          <cell r="L2747" t="str">
            <v>SY060303</v>
          </cell>
          <cell r="M2747" t="str">
            <v>C3753</v>
          </cell>
          <cell r="N2747" t="str">
            <v>Kort\كورت</v>
          </cell>
        </row>
        <row r="2748">
          <cell r="L2748" t="str">
            <v>SY060303</v>
          </cell>
          <cell r="M2748" t="str">
            <v>C3743</v>
          </cell>
          <cell r="N2748" t="str">
            <v>Majdal Kikhya\مجدل كيخيا</v>
          </cell>
        </row>
        <row r="2749">
          <cell r="L2749" t="str">
            <v>SY060303</v>
          </cell>
          <cell r="M2749" t="str">
            <v>C3749</v>
          </cell>
          <cell r="N2749" t="str">
            <v>Marj Elzawyeh\مرج الزاوية</v>
          </cell>
        </row>
        <row r="2750">
          <cell r="L2750" t="str">
            <v>SY060303</v>
          </cell>
          <cell r="M2750" t="str">
            <v>C3747</v>
          </cell>
          <cell r="N2750" t="str">
            <v>Mizyen\مزين</v>
          </cell>
        </row>
        <row r="2751">
          <cell r="L2751" t="str">
            <v>SY060303</v>
          </cell>
          <cell r="M2751" t="str">
            <v>C3738</v>
          </cell>
          <cell r="N2751" t="str">
            <v>Oweinat\عوينات</v>
          </cell>
        </row>
        <row r="2752">
          <cell r="L2752" t="str">
            <v>SY060303</v>
          </cell>
          <cell r="M2752" t="str">
            <v>C3730</v>
          </cell>
          <cell r="N2752" t="str">
            <v>Shalaf\شلف</v>
          </cell>
        </row>
        <row r="2753">
          <cell r="L2753" t="str">
            <v>SY060303</v>
          </cell>
          <cell r="M2753" t="str">
            <v>C3722</v>
          </cell>
          <cell r="N2753" t="str">
            <v>Tala\تلا</v>
          </cell>
        </row>
        <row r="2754">
          <cell r="L2754" t="str">
            <v>SY060303</v>
          </cell>
          <cell r="M2754" t="str">
            <v>C3729</v>
          </cell>
          <cell r="N2754" t="str">
            <v>Touma\طعوما</v>
          </cell>
        </row>
        <row r="2755">
          <cell r="L2755" t="str">
            <v>SY060303</v>
          </cell>
          <cell r="M2755" t="str">
            <v>C3748</v>
          </cell>
          <cell r="N2755" t="str">
            <v>Wadi Baur\وادي باصور</v>
          </cell>
        </row>
        <row r="2756">
          <cell r="L2756" t="str">
            <v>SY060303</v>
          </cell>
          <cell r="M2756" t="str">
            <v>C3744</v>
          </cell>
          <cell r="N2756" t="str">
            <v>Wadi Elshikhan\وادي الشيخان</v>
          </cell>
        </row>
        <row r="2757">
          <cell r="L2757" t="str">
            <v>SY060304</v>
          </cell>
          <cell r="M2757" t="str">
            <v>C3760</v>
          </cell>
          <cell r="N2757" t="str">
            <v>Beit Jiro\بيت جيرو</v>
          </cell>
        </row>
        <row r="2758">
          <cell r="L2758" t="str">
            <v>SY060304</v>
          </cell>
          <cell r="M2758" t="str">
            <v>C3755</v>
          </cell>
          <cell r="N2758" t="str">
            <v>Deir Mama\دير ماما</v>
          </cell>
        </row>
        <row r="2759">
          <cell r="L2759" t="str">
            <v>SY060304</v>
          </cell>
          <cell r="M2759" t="str">
            <v>C3772</v>
          </cell>
          <cell r="N2759" t="str">
            <v>Derbashiyeh\الدرباشية</v>
          </cell>
        </row>
        <row r="2760">
          <cell r="L2760" t="str">
            <v>SY060304</v>
          </cell>
          <cell r="M2760" t="str">
            <v>C3756</v>
          </cell>
          <cell r="N2760" t="str">
            <v>Difeh\ديفة</v>
          </cell>
        </row>
        <row r="2761">
          <cell r="L2761" t="str">
            <v>SY060304</v>
          </cell>
          <cell r="M2761" t="str">
            <v>C3765</v>
          </cell>
          <cell r="N2761" t="str">
            <v>Dweir Elshalaf\دوير الشلف</v>
          </cell>
        </row>
        <row r="2762">
          <cell r="L2762" t="str">
            <v>SY060304</v>
          </cell>
          <cell r="M2762" t="str">
            <v>C3763</v>
          </cell>
          <cell r="N2762" t="str">
            <v>Hettin Ambrato\حطين أمبراتو</v>
          </cell>
        </row>
        <row r="2763">
          <cell r="L2763" t="str">
            <v>SY060304</v>
          </cell>
          <cell r="M2763" t="str">
            <v>C3764</v>
          </cell>
          <cell r="N2763" t="str">
            <v>Jinjaniyeh\جنجانية</v>
          </cell>
        </row>
        <row r="2764">
          <cell r="L2764" t="str">
            <v>SY060304</v>
          </cell>
          <cell r="M2764" t="str">
            <v>C3775</v>
          </cell>
          <cell r="N2764" t="str">
            <v>Karm Elmaasarah\كرم المعصرة</v>
          </cell>
        </row>
        <row r="2765">
          <cell r="L2765" t="str">
            <v>SY060304</v>
          </cell>
          <cell r="M2765" t="str">
            <v>C3778</v>
          </cell>
          <cell r="N2765" t="str">
            <v>Kimin\كيمين</v>
          </cell>
        </row>
        <row r="2766">
          <cell r="L2766" t="str">
            <v>SY060304</v>
          </cell>
          <cell r="M2766" t="str">
            <v>C3762</v>
          </cell>
          <cell r="N2766" t="str">
            <v>Lisoniyeh\الليسونيه</v>
          </cell>
        </row>
        <row r="2767">
          <cell r="L2767" t="str">
            <v>SY060304</v>
          </cell>
          <cell r="M2767" t="str">
            <v>C3777</v>
          </cell>
          <cell r="N2767" t="str">
            <v>Mardido\مرديدو</v>
          </cell>
        </row>
        <row r="2768">
          <cell r="L2768" t="str">
            <v>SY060304</v>
          </cell>
          <cell r="M2768" t="str">
            <v>C3757</v>
          </cell>
          <cell r="N2768" t="str">
            <v>Masla\المصلا</v>
          </cell>
        </row>
        <row r="2769">
          <cell r="L2769" t="str">
            <v>SY060304</v>
          </cell>
          <cell r="M2769" t="str">
            <v>C3776</v>
          </cell>
          <cell r="N2769" t="str">
            <v>Massis\مصيص</v>
          </cell>
        </row>
        <row r="2770">
          <cell r="L2770" t="str">
            <v>SY060304</v>
          </cell>
          <cell r="M2770" t="str">
            <v>C3779</v>
          </cell>
          <cell r="N2770" t="str">
            <v>Milyo\مليو</v>
          </cell>
        </row>
        <row r="2771">
          <cell r="L2771" t="str">
            <v>SY060304</v>
          </cell>
          <cell r="M2771" t="str">
            <v>C3758</v>
          </cell>
          <cell r="N2771" t="str">
            <v>Msheirfet Elhiffeh\المشيرفة الحفة</v>
          </cell>
        </row>
        <row r="2772">
          <cell r="L2772" t="str">
            <v>SY060304</v>
          </cell>
          <cell r="M2772" t="str">
            <v>C3774</v>
          </cell>
          <cell r="N2772" t="str">
            <v>Mzair'a\مزيرعة</v>
          </cell>
        </row>
        <row r="2773">
          <cell r="L2773" t="str">
            <v>SY060304</v>
          </cell>
          <cell r="M2773" t="str">
            <v>C3773</v>
          </cell>
          <cell r="N2773" t="str">
            <v>Qaqiyeh\القاقعية</v>
          </cell>
        </row>
        <row r="2774">
          <cell r="L2774" t="str">
            <v>SY060304</v>
          </cell>
          <cell r="M2774" t="str">
            <v>C3769</v>
          </cell>
          <cell r="N2774" t="str">
            <v>Qweiqa / Heffeh\القويقة / الحفة</v>
          </cell>
        </row>
        <row r="2775">
          <cell r="L2775" t="str">
            <v>SY060304</v>
          </cell>
          <cell r="M2775" t="str">
            <v>C3759</v>
          </cell>
          <cell r="N2775" t="str">
            <v>Rama\الرامة</v>
          </cell>
        </row>
        <row r="2776">
          <cell r="L2776" t="str">
            <v>SY060304</v>
          </cell>
          <cell r="M2776" t="str">
            <v>C3767</v>
          </cell>
          <cell r="N2776" t="str">
            <v>Rawda / Tarjano Elheffeh\الروضة / طرجانو الحفة</v>
          </cell>
        </row>
        <row r="2777">
          <cell r="L2777" t="str">
            <v>SY060304</v>
          </cell>
          <cell r="M2777" t="str">
            <v>C3770</v>
          </cell>
          <cell r="N2777" t="str">
            <v>Rejm\الرجم</v>
          </cell>
        </row>
        <row r="2778">
          <cell r="L2778" t="str">
            <v>SY060304</v>
          </cell>
          <cell r="M2778" t="str">
            <v>C3771</v>
          </cell>
          <cell r="N2778" t="str">
            <v>Rweimiyeh\الرويمية</v>
          </cell>
        </row>
        <row r="2779">
          <cell r="L2779" t="str">
            <v>SY060304</v>
          </cell>
          <cell r="M2779" t="str">
            <v>C3761</v>
          </cell>
          <cell r="N2779" t="str">
            <v>Rweiset Hleil\رويسة هليل</v>
          </cell>
        </row>
        <row r="2780">
          <cell r="L2780" t="str">
            <v>SY060304</v>
          </cell>
          <cell r="M2780" t="str">
            <v>C6355</v>
          </cell>
          <cell r="N2780" t="str">
            <v>Shibel\الشبل</v>
          </cell>
        </row>
        <row r="2781">
          <cell r="L2781" t="str">
            <v>SY060304</v>
          </cell>
          <cell r="M2781" t="str">
            <v>C3766</v>
          </cell>
          <cell r="N2781" t="str">
            <v>Sraj\السراج</v>
          </cell>
        </row>
        <row r="2782">
          <cell r="L2782" t="str">
            <v>SY060304</v>
          </cell>
          <cell r="M2782" t="str">
            <v>C3780</v>
          </cell>
          <cell r="N2782" t="str">
            <v>Yasmin - Yasnis\ياسمين_ياسنس</v>
          </cell>
        </row>
        <row r="2783">
          <cell r="L2783" t="str">
            <v>SY060304</v>
          </cell>
          <cell r="M2783" t="str">
            <v>C3768</v>
          </cell>
          <cell r="N2783" t="str">
            <v>Zahraa / Batarnas El Hiffeh\الزهراء / بطرنس الحفة</v>
          </cell>
        </row>
        <row r="2784">
          <cell r="L2784" t="str">
            <v>SY060304</v>
          </cell>
          <cell r="M2784" t="str">
            <v>C3713</v>
          </cell>
          <cell r="N2784" t="str">
            <v>Zanbura\زنبورة</v>
          </cell>
        </row>
        <row r="2785">
          <cell r="L2785" t="str">
            <v>SY060400</v>
          </cell>
          <cell r="M2785" t="str">
            <v>C3809</v>
          </cell>
          <cell r="N2785" t="str">
            <v>Al-Qardaha\القرداحة</v>
          </cell>
        </row>
        <row r="2786">
          <cell r="L2786" t="str">
            <v>SY060400</v>
          </cell>
          <cell r="M2786" t="str">
            <v>C3812</v>
          </cell>
          <cell r="N2786" t="str">
            <v>Bani Issa\بني عيسى</v>
          </cell>
        </row>
        <row r="2787">
          <cell r="L2787" t="str">
            <v>SY060400</v>
          </cell>
          <cell r="M2787" t="str">
            <v>C3796</v>
          </cell>
          <cell r="N2787" t="str">
            <v>Basel\الباسل / اليابسة</v>
          </cell>
        </row>
        <row r="2788">
          <cell r="L2788" t="str">
            <v>SY060400</v>
          </cell>
          <cell r="M2788" t="str">
            <v>C3799</v>
          </cell>
          <cell r="N2788" t="str">
            <v>Behwariya\بحواريا</v>
          </cell>
        </row>
        <row r="2789">
          <cell r="L2789" t="str">
            <v>SY060400</v>
          </cell>
          <cell r="M2789" t="str">
            <v>C3782</v>
          </cell>
          <cell r="N2789" t="str">
            <v>Bekrama\بكراما</v>
          </cell>
        </row>
        <row r="2790">
          <cell r="L2790" t="str">
            <v>SY060400</v>
          </cell>
          <cell r="M2790" t="str">
            <v>C3797</v>
          </cell>
          <cell r="N2790" t="str">
            <v>Bhamra\بحمرة</v>
          </cell>
        </row>
        <row r="2791">
          <cell r="L2791" t="str">
            <v>SY060400</v>
          </cell>
          <cell r="M2791" t="str">
            <v>C3788</v>
          </cell>
          <cell r="N2791" t="str">
            <v>Bishlama\بشلاما</v>
          </cell>
        </row>
        <row r="2792">
          <cell r="L2792" t="str">
            <v>SY060400</v>
          </cell>
          <cell r="M2792" t="str">
            <v>C3789</v>
          </cell>
          <cell r="N2792" t="str">
            <v>Bishriyeh\بشرية</v>
          </cell>
        </row>
        <row r="2793">
          <cell r="L2793" t="str">
            <v>SY060400</v>
          </cell>
          <cell r="M2793" t="str">
            <v>C3813</v>
          </cell>
          <cell r="N2793" t="str">
            <v>Bissine\بسين</v>
          </cell>
        </row>
        <row r="2794">
          <cell r="L2794" t="str">
            <v>SY060400</v>
          </cell>
          <cell r="M2794" t="str">
            <v>C3791</v>
          </cell>
          <cell r="N2794" t="str">
            <v>Bitar\البيطار</v>
          </cell>
        </row>
        <row r="2795">
          <cell r="L2795" t="str">
            <v>SY060400</v>
          </cell>
          <cell r="M2795" t="str">
            <v>C3810</v>
          </cell>
          <cell r="N2795" t="str">
            <v>Bsut\بسوت</v>
          </cell>
        </row>
        <row r="2796">
          <cell r="L2796" t="str">
            <v>SY060400</v>
          </cell>
          <cell r="M2796" t="str">
            <v>C3800</v>
          </cell>
          <cell r="N2796" t="str">
            <v>Dbeiqa\الدبيقة</v>
          </cell>
        </row>
        <row r="2797">
          <cell r="L2797" t="str">
            <v>SY060400</v>
          </cell>
          <cell r="M2797" t="str">
            <v>C3801</v>
          </cell>
          <cell r="N2797" t="str">
            <v>Deir Duma\دير دوما</v>
          </cell>
        </row>
        <row r="2798">
          <cell r="L2798" t="str">
            <v>SY060400</v>
          </cell>
          <cell r="M2798" t="str">
            <v>C3805</v>
          </cell>
          <cell r="N2798" t="str">
            <v>Deir Hanna / Qerdaha\دير حنا / القرداحة</v>
          </cell>
        </row>
        <row r="2799">
          <cell r="L2799" t="str">
            <v>SY060400</v>
          </cell>
          <cell r="M2799" t="str">
            <v>C6358</v>
          </cell>
          <cell r="N2799" t="str">
            <v>Deir Ibrahim\دير ابراهيم</v>
          </cell>
        </row>
        <row r="2800">
          <cell r="L2800" t="str">
            <v>SY060400</v>
          </cell>
          <cell r="M2800" t="str">
            <v>C3811</v>
          </cell>
          <cell r="N2800" t="str">
            <v>Deirotan Qerdaha\ديروتان القرداحة</v>
          </cell>
        </row>
        <row r="2801">
          <cell r="L2801" t="str">
            <v>SY060400</v>
          </cell>
          <cell r="M2801" t="str">
            <v>C3808</v>
          </cell>
          <cell r="N2801" t="str">
            <v>Ein Elarus\عين العروس</v>
          </cell>
        </row>
        <row r="2802">
          <cell r="L2802" t="str">
            <v>SY060400</v>
          </cell>
          <cell r="M2802" t="str">
            <v>C3806</v>
          </cell>
          <cell r="N2802" t="str">
            <v>Estamna\اسطمنا</v>
          </cell>
        </row>
        <row r="2803">
          <cell r="L2803" t="str">
            <v>SY060400</v>
          </cell>
          <cell r="M2803" t="str">
            <v>C3802</v>
          </cell>
          <cell r="N2803" t="str">
            <v>Ghalmiseh\غلميسه</v>
          </cell>
        </row>
        <row r="2804">
          <cell r="L2804" t="str">
            <v>SY060400</v>
          </cell>
          <cell r="M2804" t="str">
            <v>C3786</v>
          </cell>
          <cell r="N2804" t="str">
            <v>Herf Radwa\حرف رضوه</v>
          </cell>
        </row>
        <row r="2805">
          <cell r="L2805" t="str">
            <v>SY060400</v>
          </cell>
          <cell r="M2805" t="str">
            <v>C3804</v>
          </cell>
          <cell r="N2805" t="str">
            <v>Jdideh\جديدة</v>
          </cell>
        </row>
        <row r="2806">
          <cell r="L2806" t="str">
            <v>SY060400</v>
          </cell>
          <cell r="M2806" t="str">
            <v>C3781</v>
          </cell>
          <cell r="N2806" t="str">
            <v>Jermati\جرماتي</v>
          </cell>
        </row>
        <row r="2807">
          <cell r="L2807" t="str">
            <v>SY060400</v>
          </cell>
          <cell r="M2807" t="str">
            <v>C3822</v>
          </cell>
          <cell r="N2807" t="str">
            <v>Kalmakho\كلماخو</v>
          </cell>
        </row>
        <row r="2808">
          <cell r="L2808" t="str">
            <v>SY060400</v>
          </cell>
          <cell r="M2808" t="str">
            <v>C6356</v>
          </cell>
          <cell r="N2808" t="str">
            <v>Kherbet Abu Khasraf\خربة ابو خسرف</v>
          </cell>
        </row>
        <row r="2809">
          <cell r="L2809" t="str">
            <v>SY060400</v>
          </cell>
          <cell r="M2809" t="str">
            <v>C3823</v>
          </cell>
          <cell r="N2809" t="str">
            <v>Marj Meibran\مرج معيربان</v>
          </cell>
        </row>
        <row r="2810">
          <cell r="L2810" t="str">
            <v>SY060400</v>
          </cell>
          <cell r="M2810" t="str">
            <v>C3819</v>
          </cell>
          <cell r="N2810" t="str">
            <v>Marj Mussa\مرج موسى</v>
          </cell>
        </row>
        <row r="2811">
          <cell r="L2811" t="str">
            <v>SY060400</v>
          </cell>
          <cell r="M2811" t="str">
            <v>C3817</v>
          </cell>
          <cell r="N2811" t="str">
            <v>Markiyeh\مركيه</v>
          </cell>
        </row>
        <row r="2812">
          <cell r="L2812" t="str">
            <v>SY060400</v>
          </cell>
          <cell r="M2812" t="str">
            <v>C3795</v>
          </cell>
          <cell r="N2812" t="str">
            <v>Matn\المتن</v>
          </cell>
        </row>
        <row r="2813">
          <cell r="L2813" t="str">
            <v>SY060400</v>
          </cell>
          <cell r="M2813" t="str">
            <v>C3790</v>
          </cell>
          <cell r="N2813" t="str">
            <v>Miseh\الميسه</v>
          </cell>
        </row>
        <row r="2814">
          <cell r="L2814" t="str">
            <v>SY060400</v>
          </cell>
          <cell r="M2814" t="str">
            <v>C3798</v>
          </cell>
          <cell r="N2814" t="str">
            <v>Mran\المران</v>
          </cell>
        </row>
        <row r="2815">
          <cell r="L2815" t="str">
            <v>SY060400</v>
          </cell>
          <cell r="M2815" t="str">
            <v>C3820</v>
          </cell>
          <cell r="N2815" t="str">
            <v>Mreijat\مريجات</v>
          </cell>
        </row>
        <row r="2816">
          <cell r="L2816" t="str">
            <v>SY060400</v>
          </cell>
          <cell r="M2816" t="str">
            <v>C3824</v>
          </cell>
          <cell r="N2816" t="str">
            <v>Neinti\نيننتي</v>
          </cell>
        </row>
        <row r="2817">
          <cell r="L2817" t="str">
            <v>SY060400</v>
          </cell>
          <cell r="M2817" t="str">
            <v>C3821</v>
          </cell>
          <cell r="N2817" t="str">
            <v>Nina\نينه</v>
          </cell>
        </row>
        <row r="2818">
          <cell r="L2818" t="str">
            <v>SY060400</v>
          </cell>
          <cell r="M2818" t="str">
            <v>C3793</v>
          </cell>
          <cell r="N2818" t="str">
            <v>Oweina Elrihan\عوينة الريحان</v>
          </cell>
        </row>
        <row r="2819">
          <cell r="L2819" t="str">
            <v>SY060400</v>
          </cell>
          <cell r="M2819" t="str">
            <v>C3816</v>
          </cell>
          <cell r="N2819" t="str">
            <v>Qalluriyeh\قللورية</v>
          </cell>
        </row>
        <row r="2820">
          <cell r="L2820" t="str">
            <v>SY060400</v>
          </cell>
          <cell r="M2820" t="str">
            <v>C3818</v>
          </cell>
          <cell r="N2820" t="str">
            <v>Qamu Kafr Debeil\قاموع كفر دبيل</v>
          </cell>
        </row>
        <row r="2821">
          <cell r="L2821" t="str">
            <v>SY060400</v>
          </cell>
          <cell r="M2821" t="str">
            <v>C3807</v>
          </cell>
          <cell r="N2821" t="str">
            <v>Qarama Qerdaha\القرامة قرداحة</v>
          </cell>
        </row>
        <row r="2822">
          <cell r="L2822" t="str">
            <v>SY060400</v>
          </cell>
          <cell r="M2822" t="str">
            <v>C3814</v>
          </cell>
          <cell r="N2822" t="str">
            <v>Qatlaba\القطلبة</v>
          </cell>
        </row>
        <row r="2823">
          <cell r="L2823" t="str">
            <v>SY060400</v>
          </cell>
          <cell r="M2823" t="str">
            <v>C6357</v>
          </cell>
          <cell r="N2823" t="str">
            <v>Qweiqa / Qaradha\قويقة / القرداحة</v>
          </cell>
        </row>
        <row r="2824">
          <cell r="L2824" t="str">
            <v>SY060400</v>
          </cell>
          <cell r="M2824" t="str">
            <v>C3815</v>
          </cell>
          <cell r="N2824" t="str">
            <v>Ras Elqalluriyeh\رأس القللورية</v>
          </cell>
        </row>
        <row r="2825">
          <cell r="L2825" t="str">
            <v>SY060400</v>
          </cell>
          <cell r="M2825" t="str">
            <v>C3792</v>
          </cell>
          <cell r="N2825" t="str">
            <v>Rasun Elqerdaha\رسيون القرداحة</v>
          </cell>
        </row>
        <row r="2826">
          <cell r="L2826" t="str">
            <v>SY060400</v>
          </cell>
          <cell r="M2826" t="str">
            <v>C3787</v>
          </cell>
          <cell r="N2826" t="str">
            <v>Rweiset Afif\رويسة عفيف</v>
          </cell>
        </row>
        <row r="2827">
          <cell r="L2827" t="str">
            <v>SY060400</v>
          </cell>
          <cell r="M2827" t="str">
            <v>C3785</v>
          </cell>
          <cell r="N2827" t="str">
            <v>Rweiset Badriyeh\رويسه بدرية</v>
          </cell>
        </row>
        <row r="2828">
          <cell r="L2828" t="str">
            <v>SY060400</v>
          </cell>
          <cell r="M2828" t="str">
            <v>C3784</v>
          </cell>
          <cell r="N2828" t="str">
            <v>Rweiset Elbasatneh\رويسة البساتنة</v>
          </cell>
        </row>
        <row r="2829">
          <cell r="L2829" t="str">
            <v>SY060400</v>
          </cell>
          <cell r="M2829" t="str">
            <v>C3783</v>
          </cell>
          <cell r="N2829" t="str">
            <v>Safraqiyeh\سفرقية</v>
          </cell>
        </row>
        <row r="2830">
          <cell r="L2830" t="str">
            <v>SY060400</v>
          </cell>
          <cell r="M2830" t="str">
            <v>C3803</v>
          </cell>
          <cell r="N2830" t="str">
            <v>Sallurin\سللورين</v>
          </cell>
        </row>
        <row r="2831">
          <cell r="L2831" t="str">
            <v>SY060400</v>
          </cell>
          <cell r="M2831" t="str">
            <v>C3794</v>
          </cell>
          <cell r="N2831" t="str">
            <v>Slagho\سلاغو</v>
          </cell>
        </row>
        <row r="2832">
          <cell r="L2832" t="str">
            <v>SY060401</v>
          </cell>
          <cell r="M2832" t="str">
            <v>C3828</v>
          </cell>
          <cell r="N2832" t="str">
            <v>Amud\العامود</v>
          </cell>
        </row>
        <row r="2833">
          <cell r="L2833" t="str">
            <v>SY060401</v>
          </cell>
          <cell r="M2833" t="str">
            <v>C3827</v>
          </cell>
          <cell r="N2833" t="str">
            <v>Arqub\عرقوب</v>
          </cell>
        </row>
        <row r="2834">
          <cell r="L2834" t="str">
            <v>SY060401</v>
          </cell>
          <cell r="M2834" t="str">
            <v>C3832</v>
          </cell>
          <cell r="N2834" t="str">
            <v>Aruset Eljabal\عروسة الجبل</v>
          </cell>
        </row>
        <row r="2835">
          <cell r="L2835" t="str">
            <v>SY060401</v>
          </cell>
          <cell r="M2835" t="str">
            <v>C3830</v>
          </cell>
          <cell r="N2835" t="str">
            <v>Dleibat\الدليبات</v>
          </cell>
        </row>
        <row r="2836">
          <cell r="L2836" t="str">
            <v>SY060401</v>
          </cell>
          <cell r="M2836" t="str">
            <v>C3825</v>
          </cell>
          <cell r="N2836" t="str">
            <v>Ein Elhayat\عين الحيات</v>
          </cell>
        </row>
        <row r="2837">
          <cell r="L2837" t="str">
            <v>SY060401</v>
          </cell>
          <cell r="M2837" t="str">
            <v>C3833</v>
          </cell>
          <cell r="N2837" t="str">
            <v>Farshat\فرشات</v>
          </cell>
        </row>
        <row r="2838">
          <cell r="L2838" t="str">
            <v>SY060401</v>
          </cell>
          <cell r="M2838" t="str">
            <v>C3829</v>
          </cell>
          <cell r="N2838" t="str">
            <v>Harf Elmseitra\حرف المسيترة</v>
          </cell>
        </row>
        <row r="2839">
          <cell r="L2839" t="str">
            <v>SY060401</v>
          </cell>
          <cell r="M2839" t="str">
            <v>C3826</v>
          </cell>
          <cell r="N2839" t="str">
            <v>Qarandah\القرندح</v>
          </cell>
        </row>
        <row r="2840">
          <cell r="L2840" t="str">
            <v>SY060401</v>
          </cell>
          <cell r="M2840" t="str">
            <v>C3831</v>
          </cell>
          <cell r="N2840" t="str">
            <v>Shanbutin\شنبوطين</v>
          </cell>
        </row>
        <row r="2841">
          <cell r="L2841" t="str">
            <v>SY060402</v>
          </cell>
          <cell r="M2841" t="str">
            <v>C3844</v>
          </cell>
          <cell r="N2841" t="str">
            <v>Astamo\اسطامو</v>
          </cell>
        </row>
        <row r="2842">
          <cell r="L2842" t="str">
            <v>SY060402</v>
          </cell>
          <cell r="M2842" t="str">
            <v>C3839</v>
          </cell>
          <cell r="N2842" t="str">
            <v>Bastiron\البسطيرون</v>
          </cell>
        </row>
        <row r="2843">
          <cell r="L2843" t="str">
            <v>SY060402</v>
          </cell>
          <cell r="M2843" t="str">
            <v>C3838</v>
          </cell>
          <cell r="N2843" t="str">
            <v>Behwara\بحواره</v>
          </cell>
        </row>
        <row r="2844">
          <cell r="L2844" t="str">
            <v>SY060402</v>
          </cell>
          <cell r="M2844" t="str">
            <v>C3842</v>
          </cell>
          <cell r="N2844" t="str">
            <v>Bein Sohin\بين سوهين</v>
          </cell>
        </row>
        <row r="2845">
          <cell r="L2845" t="str">
            <v>SY060402</v>
          </cell>
          <cell r="M2845" t="str">
            <v>C3837</v>
          </cell>
          <cell r="N2845" t="str">
            <v>Bisrama\بصراما</v>
          </cell>
        </row>
        <row r="2846">
          <cell r="L2846" t="str">
            <v>SY060402</v>
          </cell>
          <cell r="M2846" t="str">
            <v>C3835</v>
          </cell>
          <cell r="N2846" t="str">
            <v>Bqeilun\بقيلون</v>
          </cell>
        </row>
        <row r="2847">
          <cell r="L2847" t="str">
            <v>SY060402</v>
          </cell>
          <cell r="M2847" t="str">
            <v>C3840</v>
          </cell>
          <cell r="N2847" t="str">
            <v>Bustan Elbaraka\بستان البركة</v>
          </cell>
        </row>
        <row r="2848">
          <cell r="L2848" t="str">
            <v>SY060402</v>
          </cell>
          <cell r="M2848" t="str">
            <v>C3836</v>
          </cell>
          <cell r="N2848" t="str">
            <v>Dabbash\دباش</v>
          </cell>
        </row>
        <row r="2849">
          <cell r="L2849" t="str">
            <v>SY060402</v>
          </cell>
          <cell r="M2849" t="str">
            <v>C3843</v>
          </cell>
          <cell r="N2849" t="str">
            <v>Fakhura\الفاخورة</v>
          </cell>
        </row>
        <row r="2850">
          <cell r="L2850" t="str">
            <v>SY060402</v>
          </cell>
          <cell r="M2850" t="str">
            <v>C3848</v>
          </cell>
          <cell r="N2850" t="str">
            <v>Ghayu\غيو</v>
          </cell>
        </row>
        <row r="2851">
          <cell r="L2851" t="str">
            <v>SY060402</v>
          </cell>
          <cell r="M2851" t="str">
            <v>C3845</v>
          </cell>
          <cell r="N2851" t="str">
            <v>Hassaniyeh\الحسانية</v>
          </cell>
        </row>
        <row r="2852">
          <cell r="L2852" t="str">
            <v>SY060402</v>
          </cell>
          <cell r="M2852" t="str">
            <v>C6359</v>
          </cell>
          <cell r="N2852" t="str">
            <v>Jbeiriyeh\جبيريه</v>
          </cell>
        </row>
        <row r="2853">
          <cell r="L2853" t="str">
            <v>SY060402</v>
          </cell>
          <cell r="M2853" t="str">
            <v>C3849</v>
          </cell>
          <cell r="N2853" t="str">
            <v>Kafraz\كفرز</v>
          </cell>
        </row>
        <row r="2854">
          <cell r="L2854" t="str">
            <v>SY060402</v>
          </cell>
          <cell r="M2854" t="str">
            <v>C3846</v>
          </cell>
          <cell r="N2854" t="str">
            <v>Khushkhasheh\خشخاشة</v>
          </cell>
        </row>
        <row r="2855">
          <cell r="L2855" t="str">
            <v>SY060402</v>
          </cell>
          <cell r="M2855" t="str">
            <v>C3847</v>
          </cell>
          <cell r="N2855" t="str">
            <v>Maalaqa\معلقة</v>
          </cell>
        </row>
        <row r="2856">
          <cell r="L2856" t="str">
            <v>SY060402</v>
          </cell>
          <cell r="M2856" t="str">
            <v>C6360</v>
          </cell>
          <cell r="N2856" t="str">
            <v>Markhu\مرخو</v>
          </cell>
        </row>
        <row r="2857">
          <cell r="L2857" t="str">
            <v>SY060402</v>
          </cell>
          <cell r="M2857" t="str">
            <v>C3850</v>
          </cell>
          <cell r="N2857" t="str">
            <v>Nqoro\نقورو</v>
          </cell>
        </row>
        <row r="2858">
          <cell r="L2858" t="str">
            <v>SY060402</v>
          </cell>
          <cell r="M2858" t="str">
            <v>C3841</v>
          </cell>
          <cell r="N2858" t="str">
            <v>Qalmun\القلمون</v>
          </cell>
        </row>
        <row r="2859">
          <cell r="L2859" t="str">
            <v>SY060402</v>
          </cell>
          <cell r="M2859" t="str">
            <v>C3852</v>
          </cell>
          <cell r="N2859" t="str">
            <v>Qamin\قمين</v>
          </cell>
        </row>
        <row r="2860">
          <cell r="L2860" t="str">
            <v>SY060402</v>
          </cell>
          <cell r="M2860" t="str">
            <v>C3834</v>
          </cell>
          <cell r="N2860" t="str">
            <v>Tarmi\ترمي</v>
          </cell>
        </row>
        <row r="2861">
          <cell r="L2861" t="str">
            <v>SY060402</v>
          </cell>
          <cell r="M2861" t="str">
            <v>C3851</v>
          </cell>
          <cell r="N2861" t="str">
            <v>Wata Deir Zaynun\وطى دير زينون</v>
          </cell>
        </row>
        <row r="2862">
          <cell r="L2862" t="str">
            <v>SY060402</v>
          </cell>
          <cell r="M2862" t="str">
            <v>C6361</v>
          </cell>
          <cell r="N2862" t="str">
            <v>Western Bseiqa\بسيقة الغربية</v>
          </cell>
        </row>
        <row r="2863">
          <cell r="L2863" t="str">
            <v>SY060402</v>
          </cell>
          <cell r="M2863" t="str">
            <v>C3853</v>
          </cell>
          <cell r="N2863" t="str">
            <v>Yarta\يرته</v>
          </cell>
        </row>
        <row r="2864">
          <cell r="L2864" t="str">
            <v>SY060403</v>
          </cell>
          <cell r="M2864" t="str">
            <v>C3858</v>
          </cell>
          <cell r="N2864" t="str">
            <v>Ananib\عنانيب</v>
          </cell>
        </row>
        <row r="2865">
          <cell r="L2865" t="str">
            <v>SY060403</v>
          </cell>
          <cell r="M2865" t="str">
            <v>C3854</v>
          </cell>
          <cell r="N2865" t="str">
            <v>Ariza\الأريزة</v>
          </cell>
        </row>
        <row r="2866">
          <cell r="L2866" t="str">
            <v>SY060403</v>
          </cell>
          <cell r="M2866" t="str">
            <v>C3860</v>
          </cell>
          <cell r="N2866" t="str">
            <v>Balat\البلاط</v>
          </cell>
        </row>
        <row r="2867">
          <cell r="L2867" t="str">
            <v>SY060403</v>
          </cell>
          <cell r="M2867" t="str">
            <v>C3864</v>
          </cell>
          <cell r="N2867" t="str">
            <v>Farzala\فرزلا</v>
          </cell>
        </row>
        <row r="2868">
          <cell r="L2868" t="str">
            <v>SY060403</v>
          </cell>
          <cell r="M2868" t="str">
            <v>C3857</v>
          </cell>
          <cell r="N2868" t="str">
            <v>Jobet Berghal\جوبة برغال</v>
          </cell>
        </row>
        <row r="2869">
          <cell r="L2869" t="str">
            <v>SY060403</v>
          </cell>
          <cell r="M2869" t="str">
            <v>C3861</v>
          </cell>
          <cell r="N2869" t="str">
            <v>Kherbet Elsindyana\خربة السنديانة</v>
          </cell>
        </row>
        <row r="2870">
          <cell r="L2870" t="str">
            <v>SY060403</v>
          </cell>
          <cell r="M2870" t="str">
            <v>C3855</v>
          </cell>
          <cell r="N2870" t="str">
            <v>Khreibat Elqalaa\خريبيات القلعة</v>
          </cell>
        </row>
        <row r="2871">
          <cell r="L2871" t="str">
            <v>SY060403</v>
          </cell>
          <cell r="M2871" t="str">
            <v>C3863</v>
          </cell>
          <cell r="N2871" t="str">
            <v>Mahableh Castle\قلعة المهالبة</v>
          </cell>
        </row>
        <row r="2872">
          <cell r="L2872" t="str">
            <v>SY060403</v>
          </cell>
          <cell r="M2872" t="str">
            <v>C3862</v>
          </cell>
          <cell r="N2872" t="str">
            <v>Malikh\مليخ</v>
          </cell>
        </row>
        <row r="2873">
          <cell r="L2873" t="str">
            <v>SY060403</v>
          </cell>
          <cell r="M2873" t="str">
            <v>C3865</v>
          </cell>
          <cell r="N2873" t="str">
            <v>Qarir\قرير</v>
          </cell>
        </row>
        <row r="2874">
          <cell r="L2874" t="str">
            <v>SY060403</v>
          </cell>
          <cell r="M2874" t="str">
            <v>C3859</v>
          </cell>
          <cell r="N2874" t="str">
            <v>Rawabi Elkhader Elbor\الروابي الخضر البور</v>
          </cell>
        </row>
        <row r="2875">
          <cell r="L2875" t="str">
            <v>SY060403</v>
          </cell>
          <cell r="M2875" t="str">
            <v>C3856</v>
          </cell>
          <cell r="N2875" t="str">
            <v>Zanyo\زنيو</v>
          </cell>
        </row>
        <row r="2876">
          <cell r="L2876" t="str">
            <v>SY070000</v>
          </cell>
          <cell r="M2876" t="str">
            <v>C3866</v>
          </cell>
          <cell r="N2876" t="str">
            <v>Aqrabat\عقربات</v>
          </cell>
        </row>
        <row r="2877">
          <cell r="L2877" t="str">
            <v>SY070000</v>
          </cell>
          <cell r="M2877" t="str">
            <v>C3875</v>
          </cell>
          <cell r="N2877" t="str">
            <v>Arshani\عرشاني</v>
          </cell>
        </row>
        <row r="2878">
          <cell r="L2878" t="str">
            <v>SY070000</v>
          </cell>
          <cell r="M2878" t="str">
            <v>C3868</v>
          </cell>
          <cell r="N2878" t="str">
            <v>Ein Shib\عين شيب</v>
          </cell>
        </row>
        <row r="2879">
          <cell r="L2879" t="str">
            <v>SY070000</v>
          </cell>
          <cell r="M2879" t="str">
            <v>C3877</v>
          </cell>
          <cell r="N2879" t="str">
            <v>Falyun\فيلون</v>
          </cell>
        </row>
        <row r="2880">
          <cell r="L2880" t="str">
            <v>SY070000</v>
          </cell>
          <cell r="M2880" t="str">
            <v>C3871</v>
          </cell>
          <cell r="N2880" t="str">
            <v>Idleb\إدلب</v>
          </cell>
        </row>
        <row r="2881">
          <cell r="L2881" t="str">
            <v>SY070000</v>
          </cell>
          <cell r="M2881" t="str">
            <v>C3879</v>
          </cell>
          <cell r="N2881" t="str">
            <v>Kafruhin\كفروحين</v>
          </cell>
        </row>
        <row r="2882">
          <cell r="L2882" t="str">
            <v>SY070000</v>
          </cell>
          <cell r="M2882" t="str">
            <v>C3869</v>
          </cell>
          <cell r="N2882" t="str">
            <v>Kreiz\الكريز</v>
          </cell>
        </row>
        <row r="2883">
          <cell r="L2883" t="str">
            <v>SY070000</v>
          </cell>
          <cell r="M2883" t="str">
            <v>C3878</v>
          </cell>
          <cell r="N2883" t="str">
            <v>Martein\مرتين</v>
          </cell>
        </row>
        <row r="2884">
          <cell r="L2884" t="str">
            <v>SY070000</v>
          </cell>
          <cell r="M2884" t="str">
            <v>C3872</v>
          </cell>
          <cell r="N2884" t="str">
            <v>Mastumeh\المسطومة</v>
          </cell>
        </row>
        <row r="2885">
          <cell r="L2885" t="str">
            <v>SY070000</v>
          </cell>
          <cell r="M2885" t="str">
            <v>C3867</v>
          </cell>
          <cell r="N2885" t="str">
            <v>Nayrab\النيرب</v>
          </cell>
        </row>
        <row r="2886">
          <cell r="L2886" t="str">
            <v>SY070000</v>
          </cell>
          <cell r="M2886" t="str">
            <v>C3874</v>
          </cell>
          <cell r="N2886" t="str">
            <v>Northern Ora\عرى الشمالية</v>
          </cell>
        </row>
        <row r="2887">
          <cell r="L2887" t="str">
            <v>SY070000</v>
          </cell>
          <cell r="M2887" t="str">
            <v>C3876</v>
          </cell>
          <cell r="N2887" t="str">
            <v>Qminas\قميناس</v>
          </cell>
        </row>
        <row r="2888">
          <cell r="L2888" t="str">
            <v>SY070000</v>
          </cell>
          <cell r="M2888" t="str">
            <v>C3873</v>
          </cell>
          <cell r="N2888" t="str">
            <v>Sijer - Bqesemtoh\سيجر - بقسمته</v>
          </cell>
        </row>
        <row r="2889">
          <cell r="L2889" t="str">
            <v>SY070000</v>
          </cell>
          <cell r="M2889" t="str">
            <v>C3870</v>
          </cell>
          <cell r="N2889" t="str">
            <v>Tab Issa - Eastern and Western\تب عيسى_شرقية وغربية</v>
          </cell>
        </row>
        <row r="2890">
          <cell r="L2890" t="str">
            <v>SY070001</v>
          </cell>
          <cell r="M2890" t="str">
            <v>C3891</v>
          </cell>
          <cell r="N2890" t="str">
            <v>Abul Thohur\أبو الظهور</v>
          </cell>
        </row>
        <row r="2891">
          <cell r="L2891" t="str">
            <v>SY070001</v>
          </cell>
          <cell r="M2891" t="str">
            <v>C3881</v>
          </cell>
          <cell r="N2891" t="str">
            <v>Ballisa\البليصة</v>
          </cell>
        </row>
        <row r="2892">
          <cell r="L2892" t="str">
            <v>SY070001</v>
          </cell>
          <cell r="M2892" t="str">
            <v>C3893</v>
          </cell>
          <cell r="N2892" t="str">
            <v>Baragethi\البراغيثي</v>
          </cell>
        </row>
        <row r="2893">
          <cell r="L2893" t="str">
            <v>SY070001</v>
          </cell>
          <cell r="M2893" t="str">
            <v>C3884</v>
          </cell>
          <cell r="N2893" t="str">
            <v>Barissa\باريسا</v>
          </cell>
        </row>
        <row r="2894">
          <cell r="L2894" t="str">
            <v>SY070001</v>
          </cell>
          <cell r="M2894" t="str">
            <v>C3882</v>
          </cell>
          <cell r="N2894" t="str">
            <v>Big Zafar\زفر الكبير</v>
          </cell>
        </row>
        <row r="2895">
          <cell r="L2895" t="str">
            <v>SY070001</v>
          </cell>
          <cell r="M2895" t="str">
            <v>C3880</v>
          </cell>
          <cell r="N2895" t="str">
            <v>Busra - Little Zafar\بصرى_زفر الصغير</v>
          </cell>
        </row>
        <row r="2896">
          <cell r="L2896" t="str">
            <v>SY070001</v>
          </cell>
          <cell r="M2896" t="str">
            <v>C3886</v>
          </cell>
          <cell r="N2896" t="str">
            <v>Harmala\حرملة</v>
          </cell>
        </row>
        <row r="2897">
          <cell r="L2897" t="str">
            <v>SY070001</v>
          </cell>
          <cell r="M2897" t="str">
            <v>C3900</v>
          </cell>
          <cell r="N2897" t="str">
            <v>Hmeimat Eldayer\حميمات الداير</v>
          </cell>
        </row>
        <row r="2898">
          <cell r="L2898" t="str">
            <v>SY070001</v>
          </cell>
          <cell r="M2898" t="str">
            <v>C3897</v>
          </cell>
          <cell r="N2898" t="str">
            <v>Hseiniyeh - Tal Kalba\الحسينية_تل كلبة</v>
          </cell>
        </row>
        <row r="2899">
          <cell r="L2899" t="str">
            <v>SY070001</v>
          </cell>
          <cell r="M2899" t="str">
            <v>C3890</v>
          </cell>
          <cell r="N2899" t="str">
            <v>Jallas\جلاس</v>
          </cell>
        </row>
        <row r="2900">
          <cell r="L2900" t="str">
            <v>SY070001</v>
          </cell>
          <cell r="M2900" t="str">
            <v>C3887</v>
          </cell>
          <cell r="N2900" t="str">
            <v>Jdidhe Abu Elthohur\جديدة أبو الظهور</v>
          </cell>
        </row>
        <row r="2901">
          <cell r="L2901" t="str">
            <v>SY070001</v>
          </cell>
          <cell r="M2901" t="str">
            <v>C6362</v>
          </cell>
          <cell r="N2901" t="str">
            <v>Msheirfeh\المشيرفة</v>
          </cell>
        </row>
        <row r="2902">
          <cell r="L2902" t="str">
            <v>SY070001</v>
          </cell>
          <cell r="M2902" t="str">
            <v>C3894</v>
          </cell>
          <cell r="N2902" t="str">
            <v>Mustariha\المستريحة</v>
          </cell>
        </row>
        <row r="2903">
          <cell r="L2903" t="str">
            <v>SY070001</v>
          </cell>
          <cell r="M2903" t="str">
            <v>C3902</v>
          </cell>
          <cell r="N2903" t="str">
            <v>Ras El Ein\راس العين</v>
          </cell>
        </row>
        <row r="2904">
          <cell r="L2904" t="str">
            <v>SY070001</v>
          </cell>
          <cell r="M2904" t="str">
            <v>C3895</v>
          </cell>
          <cell r="N2904" t="str">
            <v>Rasm Abed\رسم عابد</v>
          </cell>
        </row>
        <row r="2905">
          <cell r="L2905" t="str">
            <v>SY070001</v>
          </cell>
          <cell r="M2905" t="str">
            <v>C3901</v>
          </cell>
          <cell r="N2905" t="str">
            <v>Tal Elaghar\تل الأغر</v>
          </cell>
        </row>
        <row r="2906">
          <cell r="L2906" t="str">
            <v>SY070001</v>
          </cell>
          <cell r="M2906" t="str">
            <v>C3892</v>
          </cell>
          <cell r="N2906" t="str">
            <v>Tal Fukhar\تل فخار</v>
          </cell>
        </row>
        <row r="2907">
          <cell r="L2907" t="str">
            <v>SY070001</v>
          </cell>
          <cell r="M2907" t="str">
            <v>C3899</v>
          </cell>
          <cell r="N2907" t="str">
            <v>Tal Silmo\تل سلمو</v>
          </cell>
        </row>
        <row r="2908">
          <cell r="L2908" t="str">
            <v>SY070001</v>
          </cell>
          <cell r="M2908" t="str">
            <v>C3898</v>
          </cell>
          <cell r="N2908" t="str">
            <v>Tal Sultan\تل سلطان</v>
          </cell>
        </row>
        <row r="2909">
          <cell r="L2909" t="str">
            <v>SY070001</v>
          </cell>
          <cell r="M2909" t="str">
            <v>C3903</v>
          </cell>
          <cell r="N2909" t="str">
            <v>Tal Tufan\تل طوقان</v>
          </cell>
        </row>
        <row r="2910">
          <cell r="L2910" t="str">
            <v>SY070001</v>
          </cell>
          <cell r="M2910" t="str">
            <v>C3888</v>
          </cell>
          <cell r="N2910" t="str">
            <v>Taljineh\تلجينة</v>
          </cell>
        </row>
        <row r="2911">
          <cell r="L2911" t="str">
            <v>SY070001</v>
          </cell>
          <cell r="M2911" t="str">
            <v>C3883</v>
          </cell>
          <cell r="N2911" t="str">
            <v>Talkhatra\تلخطرة</v>
          </cell>
        </row>
        <row r="2912">
          <cell r="L2912" t="str">
            <v>SY070001</v>
          </cell>
          <cell r="M2912" t="str">
            <v>C3889</v>
          </cell>
          <cell r="N2912" t="str">
            <v>Tawahineh\طواحينة</v>
          </cell>
        </row>
        <row r="2913">
          <cell r="L2913" t="str">
            <v>SY070001</v>
          </cell>
          <cell r="M2913" t="str">
            <v>C3896</v>
          </cell>
          <cell r="N2913" t="str">
            <v>Tawil Elsheikh\طويل الشيخ</v>
          </cell>
        </row>
        <row r="2914">
          <cell r="L2914" t="str">
            <v>SY070001</v>
          </cell>
          <cell r="M2914" t="str">
            <v>C3885</v>
          </cell>
          <cell r="N2914" t="str">
            <v>Tweim\التويم</v>
          </cell>
        </row>
        <row r="2915">
          <cell r="L2915" t="str">
            <v>SY070002</v>
          </cell>
          <cell r="M2915" t="str">
            <v>C3904</v>
          </cell>
          <cell r="N2915" t="str">
            <v>Bennsh\بنش</v>
          </cell>
        </row>
        <row r="2916">
          <cell r="L2916" t="str">
            <v>SY070002</v>
          </cell>
          <cell r="M2916" t="str">
            <v>C3905</v>
          </cell>
          <cell r="N2916" t="str">
            <v>Foah\الفوعة</v>
          </cell>
        </row>
        <row r="2917">
          <cell r="L2917" t="str">
            <v>SY070002</v>
          </cell>
          <cell r="M2917" t="str">
            <v>C3906</v>
          </cell>
          <cell r="N2917" t="str">
            <v>Toum\طعوم</v>
          </cell>
        </row>
        <row r="2918">
          <cell r="L2918" t="str">
            <v>SY070003</v>
          </cell>
          <cell r="M2918" t="str">
            <v>C3914</v>
          </cell>
          <cell r="N2918" t="str">
            <v>Abul Khos\أبو الخوص</v>
          </cell>
        </row>
        <row r="2919">
          <cell r="L2919" t="str">
            <v>SY070003</v>
          </cell>
          <cell r="M2919" t="str">
            <v>C3920</v>
          </cell>
          <cell r="N2919" t="str">
            <v>Afs\افس</v>
          </cell>
        </row>
        <row r="2920">
          <cell r="L2920" t="str">
            <v>SY070003</v>
          </cell>
          <cell r="M2920" t="str">
            <v>C3921</v>
          </cell>
          <cell r="N2920" t="str">
            <v>Ajez\آجز</v>
          </cell>
        </row>
        <row r="2921">
          <cell r="L2921" t="str">
            <v>SY070003</v>
          </cell>
          <cell r="M2921" t="str">
            <v>C3907</v>
          </cell>
          <cell r="N2921" t="str">
            <v>Anqrati\انقراتي</v>
          </cell>
        </row>
        <row r="2922">
          <cell r="L2922" t="str">
            <v>SY070003</v>
          </cell>
          <cell r="M2922" t="str">
            <v>C3912</v>
          </cell>
          <cell r="N2922" t="str">
            <v>Bijfas\بجفاص</v>
          </cell>
        </row>
        <row r="2923">
          <cell r="L2923" t="str">
            <v>SY070003</v>
          </cell>
          <cell r="M2923" t="str">
            <v>C3911</v>
          </cell>
          <cell r="N2923" t="str">
            <v>Bweiti\بويطي</v>
          </cell>
        </row>
        <row r="2924">
          <cell r="L2924" t="str">
            <v>SY070003</v>
          </cell>
          <cell r="M2924" t="str">
            <v>C3910</v>
          </cell>
          <cell r="N2924" t="str">
            <v>Dadikh\داديخ</v>
          </cell>
        </row>
        <row r="2925">
          <cell r="L2925" t="str">
            <v>SY070003</v>
          </cell>
          <cell r="M2925" t="str">
            <v>C3909</v>
          </cell>
          <cell r="N2925" t="str">
            <v>Jobas\جوباس</v>
          </cell>
        </row>
        <row r="2926">
          <cell r="L2926" t="str">
            <v>SY070003</v>
          </cell>
          <cell r="M2926" t="str">
            <v>C3927</v>
          </cell>
          <cell r="N2926" t="str">
            <v>Kafr Battikh\كفر بطيخ</v>
          </cell>
        </row>
        <row r="2927">
          <cell r="L2927" t="str">
            <v>SY070003</v>
          </cell>
          <cell r="M2927" t="str">
            <v>C3928</v>
          </cell>
          <cell r="N2927" t="str">
            <v>Kafr Omeim\كفر عميم</v>
          </cell>
        </row>
        <row r="2928">
          <cell r="L2928" t="str">
            <v>SY070003</v>
          </cell>
          <cell r="M2928" t="str">
            <v>C3925</v>
          </cell>
          <cell r="N2928" t="str">
            <v>Khan Elsobol\خان السبل</v>
          </cell>
        </row>
        <row r="2929">
          <cell r="L2929" t="str">
            <v>SY070003</v>
          </cell>
          <cell r="M2929" t="str">
            <v>C3922</v>
          </cell>
          <cell r="N2929" t="str">
            <v>Khuwara\خوارى</v>
          </cell>
        </row>
        <row r="2930">
          <cell r="L2930" t="str">
            <v>SY070003</v>
          </cell>
          <cell r="M2930" t="str">
            <v>C3929</v>
          </cell>
          <cell r="N2930" t="str">
            <v>Lof\لوف</v>
          </cell>
        </row>
        <row r="2931">
          <cell r="L2931" t="str">
            <v>SY070003</v>
          </cell>
          <cell r="M2931" t="str">
            <v>C3931</v>
          </cell>
          <cell r="N2931" t="str">
            <v>Maar Dibsi\معردبسي</v>
          </cell>
        </row>
        <row r="2932">
          <cell r="L2932" t="str">
            <v>SY070003</v>
          </cell>
          <cell r="M2932" t="str">
            <v>C3926</v>
          </cell>
          <cell r="N2932" t="str">
            <v>Maharim\محاريم</v>
          </cell>
        </row>
        <row r="2933">
          <cell r="L2933" t="str">
            <v>SY070003</v>
          </cell>
          <cell r="M2933" t="str">
            <v>C3930</v>
          </cell>
          <cell r="N2933" t="str">
            <v>Mardikh\مرديخ</v>
          </cell>
        </row>
        <row r="2934">
          <cell r="L2934" t="str">
            <v>SY070003</v>
          </cell>
          <cell r="M2934" t="str">
            <v>C3923</v>
          </cell>
          <cell r="N2934" t="str">
            <v>Rasafa\الرصافة</v>
          </cell>
        </row>
        <row r="2935">
          <cell r="L2935" t="str">
            <v>SY070003</v>
          </cell>
          <cell r="M2935" t="str">
            <v>C3919</v>
          </cell>
          <cell r="N2935" t="str">
            <v>Rayan\ريان</v>
          </cell>
        </row>
        <row r="2936">
          <cell r="L2936" t="str">
            <v>SY070003</v>
          </cell>
          <cell r="M2936" t="str">
            <v>C3913</v>
          </cell>
          <cell r="N2936" t="str">
            <v>Salamin\سلامين</v>
          </cell>
        </row>
        <row r="2937">
          <cell r="L2937" t="str">
            <v>SY070003</v>
          </cell>
          <cell r="M2937" t="str">
            <v>C3915</v>
          </cell>
          <cell r="N2937" t="str">
            <v>San\سان</v>
          </cell>
        </row>
        <row r="2938">
          <cell r="L2938" t="str">
            <v>SY070003</v>
          </cell>
          <cell r="M2938" t="str">
            <v>C3916</v>
          </cell>
          <cell r="N2938" t="str">
            <v>Saraqab\سراقب</v>
          </cell>
        </row>
        <row r="2939">
          <cell r="L2939" t="str">
            <v>SY070003</v>
          </cell>
          <cell r="M2939" t="str">
            <v>C3924</v>
          </cell>
          <cell r="N2939" t="str">
            <v>Sheikh Idris\شيخ ادريس</v>
          </cell>
        </row>
        <row r="2940">
          <cell r="L2940" t="str">
            <v>SY070003</v>
          </cell>
          <cell r="M2940" t="str">
            <v>C3918</v>
          </cell>
          <cell r="N2940" t="str">
            <v>Tal Karatine\تل كراتين</v>
          </cell>
        </row>
        <row r="2941">
          <cell r="L2941" t="str">
            <v>SY070003</v>
          </cell>
          <cell r="M2941" t="str">
            <v>C3908</v>
          </cell>
          <cell r="N2941" t="str">
            <v>Tromba\ترنبة</v>
          </cell>
        </row>
        <row r="2942">
          <cell r="L2942" t="str">
            <v>SY070004</v>
          </cell>
          <cell r="M2942" t="str">
            <v>C3936</v>
          </cell>
          <cell r="N2942" t="str">
            <v>Ketyan\كتيان</v>
          </cell>
        </row>
        <row r="2943">
          <cell r="L2943" t="str">
            <v>SY070004</v>
          </cell>
          <cell r="M2943" t="str">
            <v>C3935</v>
          </cell>
          <cell r="N2943" t="str">
            <v>Maaret Elnaasan - Maaret Elhaski\معارة النعسان_معارة الحاسكي</v>
          </cell>
        </row>
        <row r="2944">
          <cell r="L2944" t="str">
            <v>SY070004</v>
          </cell>
          <cell r="M2944" t="str">
            <v>C3934</v>
          </cell>
          <cell r="N2944" t="str">
            <v>Shallakh\شللخ</v>
          </cell>
        </row>
        <row r="2945">
          <cell r="L2945" t="str">
            <v>SY070004</v>
          </cell>
          <cell r="M2945" t="str">
            <v>C3933</v>
          </cell>
          <cell r="N2945" t="str">
            <v>Talhiyeh\طلحية</v>
          </cell>
        </row>
        <row r="2946">
          <cell r="L2946" t="str">
            <v>SY070004</v>
          </cell>
          <cell r="M2946" t="str">
            <v>C3932</v>
          </cell>
          <cell r="N2946" t="str">
            <v>Teftnaz\تفتناز</v>
          </cell>
        </row>
        <row r="2947">
          <cell r="L2947" t="str">
            <v>SY070005</v>
          </cell>
          <cell r="M2947" t="str">
            <v>C3939</v>
          </cell>
          <cell r="N2947" t="str">
            <v>Batenta\باتنته</v>
          </cell>
        </row>
        <row r="2948">
          <cell r="L2948" t="str">
            <v>SY070005</v>
          </cell>
          <cell r="M2948" t="str">
            <v>C3937</v>
          </cell>
          <cell r="N2948" t="str">
            <v>Bhora\بحورى</v>
          </cell>
        </row>
        <row r="2949">
          <cell r="L2949" t="str">
            <v>SY070005</v>
          </cell>
          <cell r="M2949" t="str">
            <v>C3943</v>
          </cell>
          <cell r="N2949" t="str">
            <v>Haranbush\حرنبوش</v>
          </cell>
        </row>
        <row r="2950">
          <cell r="L2950" t="str">
            <v>SY070005</v>
          </cell>
          <cell r="M2950" t="str">
            <v>C3944</v>
          </cell>
          <cell r="N2950" t="str">
            <v>Hazano\حزانو</v>
          </cell>
        </row>
        <row r="2951">
          <cell r="L2951" t="str">
            <v>SY070005</v>
          </cell>
          <cell r="M2951" t="str">
            <v>C3942</v>
          </cell>
          <cell r="N2951" t="str">
            <v>Kafr - Kafrehmul\الكفر_كفريحمول</v>
          </cell>
        </row>
        <row r="2952">
          <cell r="L2952" t="str">
            <v>SY070005</v>
          </cell>
          <cell r="M2952" t="str">
            <v>C3945</v>
          </cell>
          <cell r="N2952" t="str">
            <v>Kafr Jales\كفر جالس</v>
          </cell>
        </row>
        <row r="2953">
          <cell r="L2953" t="str">
            <v>SY070005</v>
          </cell>
          <cell r="M2953" t="str">
            <v>C3948</v>
          </cell>
          <cell r="N2953" t="str">
            <v>Kafr Nabi\كفر نبي</v>
          </cell>
        </row>
        <row r="2954">
          <cell r="L2954" t="str">
            <v>SY070005</v>
          </cell>
          <cell r="M2954" t="str">
            <v>C3952</v>
          </cell>
          <cell r="N2954" t="str">
            <v>Kafraya Maar Tamsarin\كفريا معرتمصرين</v>
          </cell>
        </row>
        <row r="2955">
          <cell r="L2955" t="str">
            <v>SY070005</v>
          </cell>
          <cell r="M2955" t="str">
            <v>C3951</v>
          </cell>
          <cell r="N2955" t="str">
            <v>Kaftin\كفتين</v>
          </cell>
        </row>
        <row r="2956">
          <cell r="L2956" t="str">
            <v>SY070005</v>
          </cell>
          <cell r="M2956" t="str">
            <v>C3949</v>
          </cell>
          <cell r="N2956" t="str">
            <v>Kelly\كللي</v>
          </cell>
        </row>
        <row r="2957">
          <cell r="L2957" t="str">
            <v>SY070005</v>
          </cell>
          <cell r="M2957" t="str">
            <v>C3950</v>
          </cell>
          <cell r="N2957" t="str">
            <v>Maaret Elekhwan\معارة الاخوان</v>
          </cell>
        </row>
        <row r="2958">
          <cell r="L2958" t="str">
            <v>SY070005</v>
          </cell>
          <cell r="M2958" t="str">
            <v>C3947</v>
          </cell>
          <cell r="N2958" t="str">
            <v>Ma'arrat Tamasrin\معر تمصرين</v>
          </cell>
        </row>
        <row r="2959">
          <cell r="L2959" t="str">
            <v>SY070005</v>
          </cell>
          <cell r="M2959" t="str">
            <v>C3946</v>
          </cell>
          <cell r="N2959" t="str">
            <v>Murin\مورين</v>
          </cell>
        </row>
        <row r="2960">
          <cell r="L2960" t="str">
            <v>SY070005</v>
          </cell>
          <cell r="M2960" t="str">
            <v>C3941</v>
          </cell>
          <cell r="N2960" t="str">
            <v>Ram Hamdan\رام حمدان</v>
          </cell>
        </row>
        <row r="2961">
          <cell r="L2961" t="str">
            <v>SY070005</v>
          </cell>
          <cell r="M2961" t="str">
            <v>C3940</v>
          </cell>
          <cell r="N2961" t="str">
            <v>Taltuneh\تلتونة</v>
          </cell>
        </row>
        <row r="2962">
          <cell r="L2962" t="str">
            <v>SY070005</v>
          </cell>
          <cell r="M2962" t="str">
            <v>C3938</v>
          </cell>
          <cell r="N2962" t="str">
            <v>Zardana Mashehad\زردنا_مشهد</v>
          </cell>
        </row>
        <row r="2963">
          <cell r="L2963" t="str">
            <v>SY070006</v>
          </cell>
          <cell r="M2963" t="str">
            <v>C3953</v>
          </cell>
          <cell r="N2963" t="str">
            <v>Sarmin\سرمين</v>
          </cell>
        </row>
        <row r="2964">
          <cell r="L2964" t="str">
            <v>SY070200</v>
          </cell>
          <cell r="M2964" t="str">
            <v>C3973</v>
          </cell>
          <cell r="N2964" t="str">
            <v>Abu Makki\أبو مكي</v>
          </cell>
        </row>
        <row r="2965">
          <cell r="L2965" t="str">
            <v>SY070200</v>
          </cell>
          <cell r="M2965" t="str">
            <v>C3964</v>
          </cell>
          <cell r="N2965" t="str">
            <v>Babilla\بابيلا</v>
          </cell>
        </row>
        <row r="2966">
          <cell r="L2966" t="str">
            <v>SY070200</v>
          </cell>
          <cell r="M2966" t="str">
            <v>C3975</v>
          </cell>
          <cell r="N2966" t="str">
            <v>Barsa\البرسة</v>
          </cell>
        </row>
        <row r="2967">
          <cell r="L2967" t="str">
            <v>SY070200</v>
          </cell>
          <cell r="M2967" t="str">
            <v>C3976</v>
          </cell>
          <cell r="N2967" t="str">
            <v>Bsida\بسيدا</v>
          </cell>
        </row>
        <row r="2968">
          <cell r="L2968" t="str">
            <v>SY070200</v>
          </cell>
          <cell r="M2968" t="str">
            <v>C3965</v>
          </cell>
          <cell r="N2968" t="str">
            <v>Dana\الدانا</v>
          </cell>
        </row>
        <row r="2969">
          <cell r="L2969" t="str">
            <v>SY070200</v>
          </cell>
          <cell r="M2969" t="str">
            <v>C3962</v>
          </cell>
          <cell r="N2969" t="str">
            <v>Eastern Deir\دير شرقي</v>
          </cell>
        </row>
        <row r="2970">
          <cell r="L2970" t="str">
            <v>SY070200</v>
          </cell>
          <cell r="M2970" t="str">
            <v>C3963</v>
          </cell>
          <cell r="N2970" t="str">
            <v>Ghadqa\الغدقة</v>
          </cell>
        </row>
        <row r="2971">
          <cell r="L2971" t="str">
            <v>SY070200</v>
          </cell>
          <cell r="M2971" t="str">
            <v>C3966</v>
          </cell>
          <cell r="N2971" t="str">
            <v>Halbeh\الهلبة</v>
          </cell>
        </row>
        <row r="2972">
          <cell r="L2972" t="str">
            <v>SY070200</v>
          </cell>
          <cell r="M2972" t="str">
            <v>C3957</v>
          </cell>
          <cell r="N2972" t="str">
            <v>Hantutin\حنتوتين</v>
          </cell>
        </row>
        <row r="2973">
          <cell r="L2973" t="str">
            <v>SY070200</v>
          </cell>
          <cell r="M2973" t="str">
            <v>C3970</v>
          </cell>
          <cell r="N2973" t="str">
            <v>Harran \حران</v>
          </cell>
        </row>
        <row r="2974">
          <cell r="L2974" t="str">
            <v>SY070200</v>
          </cell>
          <cell r="M2974" t="str">
            <v>C3954</v>
          </cell>
          <cell r="N2974" t="str">
            <v>Hatamiyeh\الهرتمية</v>
          </cell>
        </row>
        <row r="2975">
          <cell r="L2975" t="str">
            <v>SY070200</v>
          </cell>
          <cell r="M2975" t="str">
            <v>C3960</v>
          </cell>
          <cell r="N2975" t="str">
            <v>Hazzan\حزان</v>
          </cell>
        </row>
        <row r="2976">
          <cell r="L2976" t="str">
            <v>SY070200</v>
          </cell>
          <cell r="M2976" t="str">
            <v>C3969</v>
          </cell>
          <cell r="N2976" t="str">
            <v>Hraki\الحراكي</v>
          </cell>
        </row>
        <row r="2977">
          <cell r="L2977" t="str">
            <v>SY070200</v>
          </cell>
          <cell r="M2977" t="str">
            <v>C3955</v>
          </cell>
          <cell r="N2977" t="str">
            <v>Jarada\جرادة</v>
          </cell>
        </row>
        <row r="2978">
          <cell r="L2978" t="str">
            <v>SY070200</v>
          </cell>
          <cell r="M2978" t="str">
            <v>C3977</v>
          </cell>
          <cell r="N2978" t="str">
            <v>Jarjnaz\جرجناز</v>
          </cell>
        </row>
        <row r="2979">
          <cell r="L2979" t="str">
            <v>SY070200</v>
          </cell>
          <cell r="M2979" t="str">
            <v>C3956</v>
          </cell>
          <cell r="N2979" t="str">
            <v>Kanayes\الكنايس</v>
          </cell>
        </row>
        <row r="2980">
          <cell r="L2980" t="str">
            <v>SY070200</v>
          </cell>
          <cell r="M2980" t="str">
            <v>C3984</v>
          </cell>
          <cell r="N2980" t="str">
            <v>Karfuma\كفرومة</v>
          </cell>
        </row>
        <row r="2981">
          <cell r="L2981" t="str">
            <v>SY070200</v>
          </cell>
          <cell r="M2981" t="str">
            <v>C3979</v>
          </cell>
          <cell r="N2981" t="str">
            <v>Kweires\كويرس</v>
          </cell>
        </row>
        <row r="2982">
          <cell r="L2982" t="str">
            <v>SY070200</v>
          </cell>
          <cell r="M2982" t="str">
            <v>C3983</v>
          </cell>
          <cell r="N2982" t="str">
            <v>Maar Shamarin\معر شمارين</v>
          </cell>
        </row>
        <row r="2983">
          <cell r="L2983" t="str">
            <v>SY070200</v>
          </cell>
          <cell r="M2983" t="str">
            <v>C3981</v>
          </cell>
          <cell r="N2983" t="str">
            <v>Maar Shamsheh\معر شمشه</v>
          </cell>
        </row>
        <row r="2984">
          <cell r="L2984" t="str">
            <v>SY070200</v>
          </cell>
          <cell r="M2984" t="str">
            <v>C3978</v>
          </cell>
          <cell r="N2984" t="str">
            <v>Maar Shurin\معرشورين</v>
          </cell>
        </row>
        <row r="2985">
          <cell r="L2985" t="str">
            <v>SY070200</v>
          </cell>
          <cell r="M2985" t="str">
            <v>C3985</v>
          </cell>
          <cell r="N2985" t="str">
            <v>Ma'arrat An Nu'man\معرة النعمان</v>
          </cell>
        </row>
        <row r="2986">
          <cell r="L2986" t="str">
            <v>SY070200</v>
          </cell>
          <cell r="M2986" t="str">
            <v>C3980</v>
          </cell>
          <cell r="N2986" t="str">
            <v>Maasaran\معصران</v>
          </cell>
        </row>
        <row r="2987">
          <cell r="L2987" t="str">
            <v>SY070200</v>
          </cell>
          <cell r="M2987" t="str">
            <v>C3982</v>
          </cell>
          <cell r="N2987" t="str">
            <v>Qaratli\قراطي</v>
          </cell>
        </row>
        <row r="2988">
          <cell r="L2988" t="str">
            <v>SY070200</v>
          </cell>
          <cell r="M2988" t="str">
            <v>C3961</v>
          </cell>
          <cell r="N2988" t="str">
            <v>Samkeh\سمكة</v>
          </cell>
        </row>
        <row r="2989">
          <cell r="L2989" t="str">
            <v>SY070200</v>
          </cell>
          <cell r="M2989" t="str">
            <v>C3972</v>
          </cell>
          <cell r="N2989" t="str">
            <v>Sarman\الصرمان</v>
          </cell>
        </row>
        <row r="2990">
          <cell r="L2990" t="str">
            <v>SY070200</v>
          </cell>
          <cell r="M2990" t="str">
            <v>C3959</v>
          </cell>
          <cell r="N2990" t="str">
            <v>Tal Dibis\تل دبس</v>
          </cell>
        </row>
        <row r="2991">
          <cell r="L2991" t="str">
            <v>SY070200</v>
          </cell>
          <cell r="M2991" t="str">
            <v>C3971</v>
          </cell>
          <cell r="N2991" t="str">
            <v>Tal Kersyan\تل كرسيان</v>
          </cell>
        </row>
        <row r="2992">
          <cell r="L2992" t="str">
            <v>SY070200</v>
          </cell>
          <cell r="M2992" t="str">
            <v>C3974</v>
          </cell>
          <cell r="N2992" t="str">
            <v>Telamnas\تلمنس</v>
          </cell>
        </row>
        <row r="2993">
          <cell r="L2993" t="str">
            <v>SY070200</v>
          </cell>
          <cell r="M2993" t="str">
            <v>C3967</v>
          </cell>
          <cell r="N2993" t="str">
            <v>Thahrat Talamnas\ظهرة تلمنس</v>
          </cell>
        </row>
        <row r="2994">
          <cell r="L2994" t="str">
            <v>SY070200</v>
          </cell>
          <cell r="M2994" t="str">
            <v>C3958</v>
          </cell>
          <cell r="N2994" t="str">
            <v>Tqana\تقانة</v>
          </cell>
        </row>
        <row r="2995">
          <cell r="L2995" t="str">
            <v>SY070200</v>
          </cell>
          <cell r="M2995" t="str">
            <v>C3968</v>
          </cell>
          <cell r="N2995" t="str">
            <v>Western Deir\دير الغربي</v>
          </cell>
        </row>
        <row r="2996">
          <cell r="L2996" t="str">
            <v>SY070201</v>
          </cell>
          <cell r="M2996" t="str">
            <v>C3990</v>
          </cell>
          <cell r="N2996" t="str">
            <v>Abdin\عابدين</v>
          </cell>
        </row>
        <row r="2997">
          <cell r="L2997" t="str">
            <v>SY070201</v>
          </cell>
          <cell r="M2997" t="str">
            <v>C3992</v>
          </cell>
          <cell r="N2997" t="str">
            <v>Baarbu\بعربو</v>
          </cell>
        </row>
        <row r="2998">
          <cell r="L2998" t="str">
            <v>SY070201</v>
          </cell>
          <cell r="M2998" t="str">
            <v>C3989</v>
          </cell>
          <cell r="N2998" t="str">
            <v>Hbit\الهبيط</v>
          </cell>
        </row>
        <row r="2999">
          <cell r="L2999" t="str">
            <v>SY070201</v>
          </cell>
          <cell r="M2999" t="str">
            <v>C3993</v>
          </cell>
          <cell r="N2999" t="str">
            <v>Kafr Ein\كفر عين</v>
          </cell>
        </row>
        <row r="3000">
          <cell r="L3000" t="str">
            <v>SY070201</v>
          </cell>
          <cell r="M3000" t="str">
            <v>C3987</v>
          </cell>
          <cell r="N3000" t="str">
            <v>Khan Shaykun\خان شيخون</v>
          </cell>
        </row>
        <row r="3001">
          <cell r="L3001" t="str">
            <v>SY070201</v>
          </cell>
          <cell r="M3001" t="str">
            <v>C3991</v>
          </cell>
          <cell r="N3001" t="str">
            <v>Nqeir\النقير</v>
          </cell>
        </row>
        <row r="3002">
          <cell r="L3002" t="str">
            <v>SY070201</v>
          </cell>
          <cell r="M3002" t="str">
            <v>C3986</v>
          </cell>
          <cell r="N3002" t="str">
            <v>Qasabiyeh\القصابية</v>
          </cell>
        </row>
        <row r="3003">
          <cell r="L3003" t="str">
            <v>SY070201</v>
          </cell>
          <cell r="M3003" t="str">
            <v>C3988</v>
          </cell>
          <cell r="N3003" t="str">
            <v>Um Zaytuna\أم زيتونة</v>
          </cell>
        </row>
        <row r="3004">
          <cell r="L3004" t="str">
            <v>SY070202</v>
          </cell>
          <cell r="M3004" t="str">
            <v>C4017</v>
          </cell>
          <cell r="N3004" t="str">
            <v>Abu Sharji\أبو شرجي</v>
          </cell>
        </row>
        <row r="3005">
          <cell r="L3005" t="str">
            <v>SY070202</v>
          </cell>
          <cell r="M3005" t="str">
            <v>C4027</v>
          </cell>
          <cell r="N3005" t="str">
            <v>Abul Eleij\أبو العليج</v>
          </cell>
        </row>
        <row r="3006">
          <cell r="L3006" t="str">
            <v>SY070202</v>
          </cell>
          <cell r="M3006" t="str">
            <v>C4010</v>
          </cell>
          <cell r="N3006" t="str">
            <v>Bashkum\باشكون</v>
          </cell>
        </row>
        <row r="3007">
          <cell r="L3007" t="str">
            <v>SY070202</v>
          </cell>
          <cell r="M3007" t="str">
            <v>C4036</v>
          </cell>
          <cell r="N3007" t="str">
            <v>Big Karatin\كراتين الكبير</v>
          </cell>
        </row>
        <row r="3008">
          <cell r="L3008" t="str">
            <v>SY070202</v>
          </cell>
          <cell r="M3008" t="str">
            <v>C4003</v>
          </cell>
          <cell r="N3008" t="str">
            <v>Borj\البرج</v>
          </cell>
        </row>
        <row r="3009">
          <cell r="L3009" t="str">
            <v>SY070202</v>
          </cell>
          <cell r="M3009" t="str">
            <v>C4033</v>
          </cell>
          <cell r="N3009" t="str">
            <v>Brennan\برنان</v>
          </cell>
        </row>
        <row r="3010">
          <cell r="L3010" t="str">
            <v>SY070202</v>
          </cell>
          <cell r="M3010" t="str">
            <v>C4028</v>
          </cell>
          <cell r="N3010" t="str">
            <v>Dreibiyeh\الدريبية</v>
          </cell>
        </row>
        <row r="3011">
          <cell r="L3011" t="str">
            <v>SY070202</v>
          </cell>
          <cell r="M3011" t="str">
            <v>C4004</v>
          </cell>
          <cell r="N3011" t="str">
            <v>Dwadiyeh\الدوادية</v>
          </cell>
        </row>
        <row r="3012">
          <cell r="L3012" t="str">
            <v>SY070202</v>
          </cell>
          <cell r="M3012" t="str">
            <v>C4047</v>
          </cell>
          <cell r="N3012" t="str">
            <v>Eastern Lweibdeh\لويبدة شرقية</v>
          </cell>
        </row>
        <row r="3013">
          <cell r="L3013" t="str">
            <v>SY070202</v>
          </cell>
          <cell r="M3013" t="str">
            <v>C6363</v>
          </cell>
          <cell r="N3013" t="str">
            <v>Eastern Sarja\سرجة شرقية</v>
          </cell>
        </row>
        <row r="3014">
          <cell r="L3014" t="str">
            <v>SY070202</v>
          </cell>
          <cell r="M3014" t="str">
            <v>C4007</v>
          </cell>
          <cell r="N3014" t="str">
            <v>Ejaz\اعجاز</v>
          </cell>
        </row>
        <row r="3015">
          <cell r="L3015" t="str">
            <v>SY070202</v>
          </cell>
          <cell r="M3015" t="str">
            <v>C4037</v>
          </cell>
          <cell r="N3015" t="str">
            <v>Fahil Jallas\فحيل جلاس</v>
          </cell>
        </row>
        <row r="3016">
          <cell r="L3016" t="str">
            <v>SY070202</v>
          </cell>
          <cell r="M3016" t="str">
            <v>C4038</v>
          </cell>
          <cell r="N3016" t="str">
            <v>Ferwan\فروان</v>
          </cell>
        </row>
        <row r="3017">
          <cell r="L3017" t="str">
            <v>SY070202</v>
          </cell>
          <cell r="M3017" t="str">
            <v>C3995</v>
          </cell>
          <cell r="N3017" t="str">
            <v>Ghazileh\غزيلة</v>
          </cell>
        </row>
        <row r="3018">
          <cell r="L3018" t="str">
            <v>SY070202</v>
          </cell>
          <cell r="M3018" t="str">
            <v>C4002</v>
          </cell>
          <cell r="N3018" t="str">
            <v>Halban\حلبان</v>
          </cell>
        </row>
        <row r="3019">
          <cell r="L3019" t="str">
            <v>SY070202</v>
          </cell>
          <cell r="M3019" t="str">
            <v>C4030</v>
          </cell>
          <cell r="N3019" t="str">
            <v>Hawa\حوا</v>
          </cell>
        </row>
        <row r="3020">
          <cell r="L3020" t="str">
            <v>SY070202</v>
          </cell>
          <cell r="M3020" t="str">
            <v>C4029</v>
          </cell>
          <cell r="N3020" t="str">
            <v>Heisa\الحيصة</v>
          </cell>
        </row>
        <row r="3021">
          <cell r="L3021" t="str">
            <v>SY070202</v>
          </cell>
          <cell r="M3021" t="str">
            <v>C4016</v>
          </cell>
          <cell r="N3021" t="str">
            <v>Jaberiyeh\الجابرية</v>
          </cell>
        </row>
        <row r="3022">
          <cell r="L3022" t="str">
            <v>SY070202</v>
          </cell>
          <cell r="M3022" t="str">
            <v>C4023</v>
          </cell>
          <cell r="N3022" t="str">
            <v>Jahman\الجهمان</v>
          </cell>
        </row>
        <row r="3023">
          <cell r="L3023" t="str">
            <v>SY070202</v>
          </cell>
          <cell r="M3023" t="str">
            <v>C3999</v>
          </cell>
          <cell r="N3023" t="str">
            <v>Jeb Elqasab\جب القصب</v>
          </cell>
        </row>
        <row r="3024">
          <cell r="L3024" t="str">
            <v>SY070202</v>
          </cell>
          <cell r="M3024" t="str">
            <v>C4045</v>
          </cell>
          <cell r="N3024" t="str">
            <v>Kafraya Elmaarra\كفريا المعرة</v>
          </cell>
        </row>
        <row r="3025">
          <cell r="L3025" t="str">
            <v>SY070202</v>
          </cell>
          <cell r="M3025" t="str">
            <v>C4035</v>
          </cell>
          <cell r="N3025" t="str">
            <v>Karsanti\كرسنتي</v>
          </cell>
        </row>
        <row r="3026">
          <cell r="L3026" t="str">
            <v>SY070202</v>
          </cell>
          <cell r="M3026" t="str">
            <v>C4009</v>
          </cell>
          <cell r="N3026" t="str">
            <v>Khayriyeh\خيرية</v>
          </cell>
        </row>
        <row r="3027">
          <cell r="L3027" t="str">
            <v>SY070202</v>
          </cell>
          <cell r="M3027" t="str">
            <v>C4032</v>
          </cell>
          <cell r="N3027" t="str">
            <v>Khwein Elshaer\خوين الشعر</v>
          </cell>
        </row>
        <row r="3028">
          <cell r="L3028" t="str">
            <v>SY070202</v>
          </cell>
          <cell r="M3028" t="str">
            <v>C4031</v>
          </cell>
          <cell r="N3028" t="str">
            <v>Khyara\خيارة</v>
          </cell>
        </row>
        <row r="3029">
          <cell r="L3029" t="str">
            <v>SY070202</v>
          </cell>
          <cell r="M3029" t="str">
            <v>C4040</v>
          </cell>
          <cell r="N3029" t="str">
            <v>Little Karatin\كراتين صغير</v>
          </cell>
        </row>
        <row r="3030">
          <cell r="L3030" t="str">
            <v>SY070202</v>
          </cell>
          <cell r="M3030" t="str">
            <v>C3994</v>
          </cell>
          <cell r="N3030" t="str">
            <v>Little Khayrieyh\خيرية صغيرة</v>
          </cell>
        </row>
        <row r="3031">
          <cell r="L3031" t="str">
            <v>SY070202</v>
          </cell>
          <cell r="M3031" t="str">
            <v>C4039</v>
          </cell>
          <cell r="N3031" t="str">
            <v>Magharet Merza\مغارة ميرزا</v>
          </cell>
        </row>
        <row r="3032">
          <cell r="L3032" t="str">
            <v>SY070202</v>
          </cell>
          <cell r="M3032" t="str">
            <v>C4005</v>
          </cell>
          <cell r="N3032" t="str">
            <v>Maksar\المكسر</v>
          </cell>
        </row>
        <row r="3033">
          <cell r="L3033" t="str">
            <v>SY070202</v>
          </cell>
          <cell r="M3033" t="str">
            <v>C4041</v>
          </cell>
          <cell r="N3033" t="str">
            <v>Mardagana Burtuqala\مردغانة برتقالة</v>
          </cell>
        </row>
        <row r="3034">
          <cell r="L3034" t="str">
            <v>SY070202</v>
          </cell>
          <cell r="M3034" t="str">
            <v>C3996</v>
          </cell>
          <cell r="N3034" t="str">
            <v>Mreiheb\المريجب</v>
          </cell>
        </row>
        <row r="3035">
          <cell r="L3035" t="str">
            <v>SY070202</v>
          </cell>
          <cell r="M3035" t="str">
            <v>C4048</v>
          </cell>
          <cell r="N3035" t="str">
            <v>Mreijeb Elmashad\مريجب المشهد</v>
          </cell>
        </row>
        <row r="3036">
          <cell r="L3036" t="str">
            <v>SY070202</v>
          </cell>
          <cell r="M3036" t="str">
            <v>C4020</v>
          </cell>
          <cell r="N3036" t="str">
            <v>Mutawaseta\المتوسطة</v>
          </cell>
        </row>
        <row r="3037">
          <cell r="L3037" t="str">
            <v>SY070202</v>
          </cell>
          <cell r="M3037" t="str">
            <v>C4043</v>
          </cell>
          <cell r="N3037" t="str">
            <v>Nibaz\نباز</v>
          </cell>
        </row>
        <row r="3038">
          <cell r="L3038" t="str">
            <v>SY070202</v>
          </cell>
          <cell r="M3038" t="str">
            <v>C4046</v>
          </cell>
          <cell r="N3038" t="str">
            <v>Northern Lweibdeh\لويبدة شمالية</v>
          </cell>
        </row>
        <row r="3039">
          <cell r="L3039" t="str">
            <v>SY070202</v>
          </cell>
          <cell r="M3039" t="str">
            <v>C4006</v>
          </cell>
          <cell r="N3039" t="str">
            <v>Ojeh\العوجة</v>
          </cell>
        </row>
        <row r="3040">
          <cell r="L3040" t="str">
            <v>SY070202</v>
          </cell>
          <cell r="M3040" t="str">
            <v>C4042</v>
          </cell>
          <cell r="N3040" t="str">
            <v>Qasr Elabyad\قصر الأبيض</v>
          </cell>
        </row>
        <row r="3041">
          <cell r="L3041" t="str">
            <v>SY070202</v>
          </cell>
          <cell r="M3041" t="str">
            <v>C4044</v>
          </cell>
          <cell r="N3041" t="str">
            <v>Qatra\قطرة</v>
          </cell>
        </row>
        <row r="3042">
          <cell r="L3042" t="str">
            <v>SY070202</v>
          </cell>
          <cell r="M3042" t="str">
            <v>C4019</v>
          </cell>
          <cell r="N3042" t="str">
            <v>Rabeeah Brennan\ربيعة برنان</v>
          </cell>
        </row>
        <row r="3043">
          <cell r="L3043" t="str">
            <v>SY070202</v>
          </cell>
          <cell r="M3043" t="str">
            <v>C4034</v>
          </cell>
          <cell r="N3043" t="str">
            <v>Rabeeah Musa\ربيعة موسى</v>
          </cell>
        </row>
        <row r="3044">
          <cell r="L3044" t="str">
            <v>SY070202</v>
          </cell>
          <cell r="M3044" t="str">
            <v>C3998</v>
          </cell>
          <cell r="N3044" t="str">
            <v>Rasm Elabed\رسم العبد</v>
          </cell>
        </row>
        <row r="3045">
          <cell r="L3045" t="str">
            <v>SY070202</v>
          </cell>
          <cell r="M3045" t="str">
            <v>C4024</v>
          </cell>
          <cell r="N3045" t="str">
            <v>Sanjar\سنجار</v>
          </cell>
        </row>
        <row r="3046">
          <cell r="L3046" t="str">
            <v>SY070202</v>
          </cell>
          <cell r="M3046" t="str">
            <v>C4021</v>
          </cell>
          <cell r="N3046" t="str">
            <v>Saree\صريع</v>
          </cell>
        </row>
        <row r="3047">
          <cell r="L3047" t="str">
            <v>SY070202</v>
          </cell>
          <cell r="M3047" t="str">
            <v>C4026</v>
          </cell>
          <cell r="N3047" t="str">
            <v>Sayadi \الصيادى</v>
          </cell>
        </row>
        <row r="3048">
          <cell r="L3048" t="str">
            <v>SY070202</v>
          </cell>
          <cell r="M3048" t="str">
            <v>C4022</v>
          </cell>
          <cell r="N3048" t="str">
            <v>Seraa\صراع</v>
          </cell>
        </row>
        <row r="3049">
          <cell r="L3049" t="str">
            <v>SY070202</v>
          </cell>
          <cell r="M3049" t="str">
            <v>C4011</v>
          </cell>
          <cell r="N3049" t="str">
            <v>Shara - Sharat Elajayez\الشعرة_شعرة العجائز</v>
          </cell>
        </row>
        <row r="3050">
          <cell r="L3050" t="str">
            <v>SY070202</v>
          </cell>
          <cell r="M3050" t="str">
            <v>C4015</v>
          </cell>
          <cell r="N3050" t="str">
            <v>Sheikh Barakeh\الشيخ بركة</v>
          </cell>
        </row>
        <row r="3051">
          <cell r="L3051" t="str">
            <v>SY070202</v>
          </cell>
          <cell r="M3051" t="str">
            <v>C4014</v>
          </cell>
          <cell r="N3051" t="str">
            <v>Southern Um Mweilat\أم مويلات جنوبية</v>
          </cell>
        </row>
        <row r="3052">
          <cell r="L3052" t="str">
            <v>SY070202</v>
          </cell>
          <cell r="M3052" t="str">
            <v>C4025</v>
          </cell>
          <cell r="N3052" t="str">
            <v>Sqiah\الصقيعة</v>
          </cell>
        </row>
        <row r="3053">
          <cell r="L3053" t="str">
            <v>SY070202</v>
          </cell>
          <cell r="M3053" t="str">
            <v>C4001</v>
          </cell>
          <cell r="N3053" t="str">
            <v>Tal Dam\تل دم</v>
          </cell>
        </row>
        <row r="3054">
          <cell r="L3054" t="str">
            <v>SY070202</v>
          </cell>
          <cell r="M3054" t="str">
            <v>C3997</v>
          </cell>
          <cell r="N3054" t="str">
            <v>Tal Elojeh\تل العوجه</v>
          </cell>
        </row>
        <row r="3055">
          <cell r="L3055" t="str">
            <v>SY070202</v>
          </cell>
          <cell r="M3055" t="str">
            <v>C4018</v>
          </cell>
          <cell r="N3055" t="str">
            <v>Tal Halawa\تل حلاوة</v>
          </cell>
        </row>
        <row r="3056">
          <cell r="L3056" t="str">
            <v>SY070202</v>
          </cell>
          <cell r="M3056" t="str">
            <v>C4000</v>
          </cell>
          <cell r="N3056" t="str">
            <v>Tellemara\تلعمارة</v>
          </cell>
        </row>
        <row r="3057">
          <cell r="L3057" t="str">
            <v>SY070202</v>
          </cell>
          <cell r="M3057" t="str">
            <v>C4008</v>
          </cell>
          <cell r="N3057" t="str">
            <v>Thleijeh\ثليجة</v>
          </cell>
        </row>
        <row r="3058">
          <cell r="L3058" t="str">
            <v>SY070202</v>
          </cell>
          <cell r="M3058" t="str">
            <v>C4012</v>
          </cell>
          <cell r="N3058" t="str">
            <v>Um Sehrij\ام صهريج</v>
          </cell>
        </row>
        <row r="3059">
          <cell r="L3059" t="str">
            <v>SY070202</v>
          </cell>
          <cell r="M3059" t="str">
            <v>C4013</v>
          </cell>
          <cell r="N3059" t="str">
            <v>Um Tini\ام تيني</v>
          </cell>
        </row>
        <row r="3060">
          <cell r="L3060" t="str">
            <v>SY070202</v>
          </cell>
          <cell r="M3060" t="str">
            <v>C6306</v>
          </cell>
          <cell r="N3060" t="str">
            <v>Western Sarja\سرجة غربية</v>
          </cell>
        </row>
        <row r="3061">
          <cell r="L3061" t="str">
            <v>SY070203</v>
          </cell>
          <cell r="M3061" t="str">
            <v>C4061</v>
          </cell>
          <cell r="N3061" t="str">
            <v>Basqala\بسقلا</v>
          </cell>
        </row>
        <row r="3062">
          <cell r="L3062" t="str">
            <v>SY070203</v>
          </cell>
          <cell r="M3062" t="str">
            <v>C4057</v>
          </cell>
          <cell r="N3062" t="str">
            <v>Big Dara \دارة الكبيرة</v>
          </cell>
        </row>
        <row r="3063">
          <cell r="L3063" t="str">
            <v>SY070203</v>
          </cell>
          <cell r="M3063" t="str">
            <v>C4052</v>
          </cell>
          <cell r="N3063" t="str">
            <v>Faqie\الفقيع</v>
          </cell>
        </row>
        <row r="3064">
          <cell r="L3064" t="str">
            <v>SY070203</v>
          </cell>
          <cell r="M3064" t="str">
            <v>C4069</v>
          </cell>
          <cell r="N3064" t="str">
            <v>Fleifel\فليفل</v>
          </cell>
        </row>
        <row r="3065">
          <cell r="L3065" t="str">
            <v>SY070203</v>
          </cell>
          <cell r="M3065" t="str">
            <v>C4070</v>
          </cell>
          <cell r="N3065" t="str">
            <v>Ftireh\فطيرة</v>
          </cell>
        </row>
        <row r="3066">
          <cell r="L3066" t="str">
            <v>SY070203</v>
          </cell>
          <cell r="M3066" t="str">
            <v>C4058</v>
          </cell>
          <cell r="N3066" t="str">
            <v>Has\حاس</v>
          </cell>
        </row>
        <row r="3067">
          <cell r="L3067" t="str">
            <v>SY070203</v>
          </cell>
          <cell r="M3067" t="str">
            <v>C4056</v>
          </cell>
          <cell r="N3067" t="str">
            <v>Hazarin\حزارين</v>
          </cell>
        </row>
        <row r="3068">
          <cell r="L3068" t="str">
            <v>SY070203</v>
          </cell>
          <cell r="M3068" t="str">
            <v>C4050</v>
          </cell>
          <cell r="N3068" t="str">
            <v>Jbala\جبالا</v>
          </cell>
        </row>
        <row r="3069">
          <cell r="L3069" t="str">
            <v>SY070203</v>
          </cell>
          <cell r="M3069" t="str">
            <v>C4067</v>
          </cell>
          <cell r="N3069" t="str">
            <v>Kafr Musa\كفر موسى</v>
          </cell>
        </row>
        <row r="3070">
          <cell r="L3070" t="str">
            <v>SY070203</v>
          </cell>
          <cell r="M3070" t="str">
            <v>C4068</v>
          </cell>
          <cell r="N3070" t="str">
            <v>Kafr Nobol\كفر نبل</v>
          </cell>
        </row>
        <row r="3071">
          <cell r="L3071" t="str">
            <v>SY070203</v>
          </cell>
          <cell r="M3071" t="str">
            <v>C4062</v>
          </cell>
          <cell r="N3071" t="str">
            <v>Kafr Oweid\كفر عويد</v>
          </cell>
        </row>
        <row r="3072">
          <cell r="L3072" t="str">
            <v>SY070203</v>
          </cell>
          <cell r="M3072" t="str">
            <v>C4073</v>
          </cell>
          <cell r="N3072" t="str">
            <v>Karsaa\كرسعة</v>
          </cell>
        </row>
        <row r="3073">
          <cell r="L3073" t="str">
            <v>SY070203</v>
          </cell>
          <cell r="M3073" t="str">
            <v>C4072</v>
          </cell>
          <cell r="N3073" t="str">
            <v>Kawkabeh\كوكبة</v>
          </cell>
        </row>
        <row r="3074">
          <cell r="L3074" t="str">
            <v>SY070203</v>
          </cell>
          <cell r="M3074" t="str">
            <v>C4074</v>
          </cell>
          <cell r="N3074" t="str">
            <v>Lweibdeh\لويبدة</v>
          </cell>
        </row>
        <row r="3075">
          <cell r="L3075" t="str">
            <v>SY070203</v>
          </cell>
          <cell r="M3075" t="str">
            <v>C4071</v>
          </cell>
          <cell r="N3075" t="str">
            <v>Maar Tahroma\معرتحرمة</v>
          </cell>
        </row>
        <row r="3076">
          <cell r="L3076" t="str">
            <v>SY070203</v>
          </cell>
          <cell r="M3076" t="str">
            <v>C4065</v>
          </cell>
          <cell r="N3076" t="str">
            <v>Maar Tamater\معرتماتر</v>
          </cell>
        </row>
        <row r="3077">
          <cell r="L3077" t="str">
            <v>SY070203</v>
          </cell>
          <cell r="M3077" t="str">
            <v>C4063</v>
          </cell>
          <cell r="N3077" t="str">
            <v>Maar Tesin\معر تصين</v>
          </cell>
        </row>
        <row r="3078">
          <cell r="L3078" t="str">
            <v>SY070203</v>
          </cell>
          <cell r="M3078" t="str">
            <v>C4066</v>
          </cell>
          <cell r="N3078" t="str">
            <v>Maarzita\معرزيتا</v>
          </cell>
        </row>
        <row r="3079">
          <cell r="L3079" t="str">
            <v>SY070203</v>
          </cell>
          <cell r="M3079" t="str">
            <v>C4060</v>
          </cell>
          <cell r="N3079" t="str">
            <v>Milaja\الملاجة</v>
          </cell>
        </row>
        <row r="3080">
          <cell r="L3080" t="str">
            <v>SY070203</v>
          </cell>
          <cell r="M3080" t="str">
            <v>C4049</v>
          </cell>
          <cell r="N3080" t="str">
            <v>Northern Rasha\راشا الشمالية</v>
          </cell>
        </row>
        <row r="3081">
          <cell r="L3081" t="str">
            <v>SY070203</v>
          </cell>
          <cell r="M3081" t="str">
            <v>C4064</v>
          </cell>
          <cell r="N3081" t="str">
            <v>Qoqfin\قوقفين</v>
          </cell>
        </row>
        <row r="3082">
          <cell r="L3082" t="str">
            <v>SY070203</v>
          </cell>
          <cell r="M3082" t="str">
            <v>C4054</v>
          </cell>
          <cell r="N3082" t="str">
            <v>Sfuhen\سفوهن</v>
          </cell>
        </row>
        <row r="3083">
          <cell r="L3083" t="str">
            <v>SY070203</v>
          </cell>
          <cell r="M3083" t="str">
            <v>C4055</v>
          </cell>
          <cell r="N3083" t="str">
            <v>Sheikh Mustafa\الشيخ مصطفى</v>
          </cell>
        </row>
        <row r="3084">
          <cell r="L3084" t="str">
            <v>SY070203</v>
          </cell>
          <cell r="M3084" t="str">
            <v>C4053</v>
          </cell>
          <cell r="N3084" t="str">
            <v>Shorlin\شورلين</v>
          </cell>
        </row>
        <row r="3085">
          <cell r="L3085" t="str">
            <v>SY070203</v>
          </cell>
          <cell r="M3085" t="str">
            <v>C4051</v>
          </cell>
          <cell r="N3085" t="str">
            <v>Tramla\ترملا</v>
          </cell>
        </row>
        <row r="3086">
          <cell r="L3086" t="str">
            <v>SY070203</v>
          </cell>
          <cell r="M3086" t="str">
            <v>C4059</v>
          </cell>
          <cell r="N3086" t="str">
            <v>Um Nir\أم نير</v>
          </cell>
        </row>
        <row r="3087">
          <cell r="L3087" t="str">
            <v>SY070204</v>
          </cell>
          <cell r="M3087" t="str">
            <v>C4093</v>
          </cell>
          <cell r="N3087" t="str">
            <v>Abu Dali\أبو دالي</v>
          </cell>
        </row>
        <row r="3088">
          <cell r="L3088" t="str">
            <v>SY070204</v>
          </cell>
          <cell r="M3088" t="str">
            <v>C4086</v>
          </cell>
          <cell r="N3088" t="str">
            <v>Abu Omar\أبو عمر</v>
          </cell>
        </row>
        <row r="3089">
          <cell r="L3089" t="str">
            <v>SY070204</v>
          </cell>
          <cell r="M3089" t="str">
            <v>C4091</v>
          </cell>
          <cell r="N3089" t="str">
            <v>Big Khwein\خوين الكبير</v>
          </cell>
        </row>
        <row r="3090">
          <cell r="L3090" t="str">
            <v>SY070204</v>
          </cell>
          <cell r="M3090" t="str">
            <v>C4079</v>
          </cell>
          <cell r="N3090" t="str">
            <v>Breiseh\البريصة</v>
          </cell>
        </row>
        <row r="3091">
          <cell r="L3091" t="str">
            <v>SY070204</v>
          </cell>
          <cell r="M3091" t="str">
            <v>C4082</v>
          </cell>
          <cell r="N3091" t="str">
            <v>Dajaj\الدجاج</v>
          </cell>
        </row>
        <row r="3092">
          <cell r="L3092" t="str">
            <v>SY070204</v>
          </cell>
          <cell r="M3092" t="str">
            <v>C4089</v>
          </cell>
          <cell r="N3092" t="str">
            <v>Farja\الفرجة</v>
          </cell>
        </row>
        <row r="3093">
          <cell r="L3093" t="str">
            <v>SY070204</v>
          </cell>
          <cell r="M3093" t="str">
            <v>C4084</v>
          </cell>
          <cell r="N3093" t="str">
            <v>Hamadaniyeh\الحمدانية</v>
          </cell>
        </row>
        <row r="3094">
          <cell r="L3094" t="str">
            <v>SY070204</v>
          </cell>
          <cell r="M3094" t="str">
            <v>C4088</v>
          </cell>
          <cell r="N3094" t="str">
            <v>Mashraf Rajmel Mashraf\المشرف رجم المشرف</v>
          </cell>
        </row>
        <row r="3095">
          <cell r="L3095" t="str">
            <v>SY070204</v>
          </cell>
          <cell r="M3095" t="str">
            <v>C4097</v>
          </cell>
          <cell r="N3095" t="str">
            <v>Msheirfeh Qabliyeh\مشيرفة قبلية</v>
          </cell>
        </row>
        <row r="3096">
          <cell r="L3096" t="str">
            <v>SY070204</v>
          </cell>
          <cell r="M3096" t="str">
            <v>C4083</v>
          </cell>
          <cell r="N3096" t="str">
            <v>Niha\النيحة</v>
          </cell>
        </row>
        <row r="3097">
          <cell r="L3097" t="str">
            <v>SY070204</v>
          </cell>
          <cell r="M3097" t="str">
            <v>C4098</v>
          </cell>
          <cell r="N3097" t="str">
            <v>Northern Msheirfeh\مشيرفة شمالية</v>
          </cell>
        </row>
        <row r="3098">
          <cell r="L3098" t="str">
            <v>SY070204</v>
          </cell>
          <cell r="M3098" t="str">
            <v>C4096</v>
          </cell>
          <cell r="N3098" t="str">
            <v>Qleiat Eltubiyeh\قليعات الطوبية</v>
          </cell>
        </row>
        <row r="3099">
          <cell r="L3099" t="str">
            <v>SY070204</v>
          </cell>
          <cell r="M3099" t="str">
            <v>C4078</v>
          </cell>
          <cell r="N3099" t="str">
            <v>Raffa\الرفة</v>
          </cell>
        </row>
        <row r="3100">
          <cell r="L3100" t="str">
            <v>SY070204</v>
          </cell>
          <cell r="M3100" t="str">
            <v>C4092</v>
          </cell>
          <cell r="N3100" t="str">
            <v>Rweideh\الرويضة</v>
          </cell>
        </row>
        <row r="3101">
          <cell r="L3101" t="str">
            <v>SY070204</v>
          </cell>
          <cell r="M3101" t="str">
            <v>C4075</v>
          </cell>
          <cell r="N3101" t="str">
            <v>Sahal\سحال</v>
          </cell>
        </row>
        <row r="3102">
          <cell r="L3102" t="str">
            <v>SY070204</v>
          </cell>
          <cell r="M3102" t="str">
            <v>C4090</v>
          </cell>
          <cell r="N3102" t="str">
            <v>Shatib\شطيب</v>
          </cell>
        </row>
        <row r="3103">
          <cell r="L3103" t="str">
            <v>SY070204</v>
          </cell>
          <cell r="M3103" t="str">
            <v>C4077</v>
          </cell>
          <cell r="N3103" t="str">
            <v>Skik\سكيك</v>
          </cell>
        </row>
        <row r="3104">
          <cell r="L3104" t="str">
            <v>SY070204</v>
          </cell>
          <cell r="M3104" t="str">
            <v>C4094</v>
          </cell>
          <cell r="N3104" t="str">
            <v>Tal Khanzir\تل خنزير</v>
          </cell>
        </row>
        <row r="3105">
          <cell r="L3105" t="str">
            <v>SY070204</v>
          </cell>
          <cell r="M3105" t="str">
            <v>C4087</v>
          </cell>
          <cell r="N3105" t="str">
            <v>Tal Maraq\تل مرق</v>
          </cell>
        </row>
        <row r="3106">
          <cell r="L3106" t="str">
            <v>SY070204</v>
          </cell>
          <cell r="M3106" t="str">
            <v>C4076</v>
          </cell>
          <cell r="N3106" t="str">
            <v>Tama\الطامة</v>
          </cell>
        </row>
        <row r="3107">
          <cell r="L3107" t="str">
            <v>SY070204</v>
          </cell>
          <cell r="M3107" t="str">
            <v>C4081</v>
          </cell>
          <cell r="N3107" t="str">
            <v>Tamanaah\التمانعة</v>
          </cell>
        </row>
        <row r="3108">
          <cell r="L3108" t="str">
            <v>SY070204</v>
          </cell>
          <cell r="M3108" t="str">
            <v>C4085</v>
          </cell>
          <cell r="N3108" t="str">
            <v>Um Elkhalayel\أم الخلاخيل</v>
          </cell>
        </row>
        <row r="3109">
          <cell r="L3109" t="str">
            <v>SY070204</v>
          </cell>
          <cell r="M3109" t="str">
            <v>C4095</v>
          </cell>
          <cell r="N3109" t="str">
            <v>Um Jalal\ام جلال</v>
          </cell>
        </row>
        <row r="3110">
          <cell r="L3110" t="str">
            <v>SY070205</v>
          </cell>
          <cell r="M3110" t="str">
            <v>C4108</v>
          </cell>
          <cell r="N3110" t="str">
            <v>Abu Habbeh\ابو حبة</v>
          </cell>
        </row>
        <row r="3111">
          <cell r="L3111" t="str">
            <v>SY070205</v>
          </cell>
          <cell r="M3111" t="str">
            <v>C4101</v>
          </cell>
          <cell r="N3111" t="str">
            <v>Amudiyeh\العامودية</v>
          </cell>
        </row>
        <row r="3112">
          <cell r="L3112" t="str">
            <v>SY070205</v>
          </cell>
          <cell r="M3112" t="str">
            <v>C4106</v>
          </cell>
          <cell r="N3112" t="str">
            <v>Armanaya\أرمنايا</v>
          </cell>
        </row>
        <row r="3113">
          <cell r="L3113" t="str">
            <v>SY070205</v>
          </cell>
          <cell r="M3113" t="str">
            <v>C4100</v>
          </cell>
          <cell r="N3113" t="str">
            <v>Babuline\بابولين</v>
          </cell>
        </row>
        <row r="3114">
          <cell r="L3114" t="str">
            <v>SY070205</v>
          </cell>
          <cell r="M3114" t="str">
            <v>C4105</v>
          </cell>
          <cell r="N3114" t="str">
            <v>Heish\حيش</v>
          </cell>
        </row>
        <row r="3115">
          <cell r="L3115" t="str">
            <v>SY070205</v>
          </cell>
          <cell r="M3115" t="str">
            <v>C4111</v>
          </cell>
          <cell r="N3115" t="str">
            <v>Kafr Basin\كفرباسين</v>
          </cell>
        </row>
        <row r="3116">
          <cell r="L3116" t="str">
            <v>SY070205</v>
          </cell>
          <cell r="M3116" t="str">
            <v>C4110</v>
          </cell>
          <cell r="N3116" t="str">
            <v>Kafrsajna\كفرسجنة</v>
          </cell>
        </row>
        <row r="3117">
          <cell r="L3117" t="str">
            <v>SY070205</v>
          </cell>
          <cell r="M3117" t="str">
            <v>C4112</v>
          </cell>
          <cell r="N3117" t="str">
            <v>Maar Hattat\معر حطاط</v>
          </cell>
        </row>
        <row r="3118">
          <cell r="L3118" t="str">
            <v>SY070205</v>
          </cell>
          <cell r="M3118" t="str">
            <v>C4113</v>
          </cell>
          <cell r="N3118" t="str">
            <v>Maysruneh\معيصرونة</v>
          </cell>
        </row>
        <row r="3119">
          <cell r="L3119" t="str">
            <v>SY070205</v>
          </cell>
          <cell r="M3119" t="str">
            <v>C4109</v>
          </cell>
          <cell r="N3119" t="str">
            <v>Moqa\موقة</v>
          </cell>
        </row>
        <row r="3120">
          <cell r="L3120" t="str">
            <v>SY070205</v>
          </cell>
          <cell r="M3120" t="str">
            <v>C4102</v>
          </cell>
          <cell r="N3120" t="str">
            <v>Rakaya Sijneh\ركايا سجنة</v>
          </cell>
        </row>
        <row r="3121">
          <cell r="L3121" t="str">
            <v>SY070205</v>
          </cell>
          <cell r="M3121" t="str">
            <v>C4104</v>
          </cell>
          <cell r="N3121" t="str">
            <v>Sahyan\صهيان</v>
          </cell>
        </row>
        <row r="3122">
          <cell r="L3122" t="str">
            <v>SY070205</v>
          </cell>
          <cell r="M3122" t="str">
            <v>C4107</v>
          </cell>
          <cell r="N3122" t="str">
            <v>Sheikh Dames\الشيخ دامس</v>
          </cell>
        </row>
        <row r="3123">
          <cell r="L3123" t="str">
            <v>SY070205</v>
          </cell>
          <cell r="M3123" t="str">
            <v>C4099</v>
          </cell>
          <cell r="N3123" t="str">
            <v>Tah\التح</v>
          </cell>
        </row>
        <row r="3124">
          <cell r="L3124" t="str">
            <v>SY070205</v>
          </cell>
          <cell r="M3124" t="str">
            <v>C4103</v>
          </cell>
          <cell r="N3124" t="str">
            <v>Tahtaya\تحتايا</v>
          </cell>
        </row>
        <row r="3125">
          <cell r="L3125" t="str">
            <v>SY070300</v>
          </cell>
          <cell r="M3125" t="str">
            <v>C4114</v>
          </cell>
          <cell r="N3125" t="str">
            <v>Ariba\عريبا</v>
          </cell>
        </row>
        <row r="3126">
          <cell r="L3126" t="str">
            <v>SY070300</v>
          </cell>
          <cell r="M3126" t="str">
            <v>C4116</v>
          </cell>
          <cell r="N3126" t="str">
            <v>Besnaya - Bseineh\بسنيا_بسينة</v>
          </cell>
        </row>
        <row r="3127">
          <cell r="L3127" t="str">
            <v>SY070300</v>
          </cell>
          <cell r="M3127" t="str">
            <v>C4115</v>
          </cell>
          <cell r="N3127" t="str">
            <v>Harim\حارم</v>
          </cell>
        </row>
        <row r="3128">
          <cell r="L3128" t="str">
            <v>SY070300</v>
          </cell>
          <cell r="M3128" t="str">
            <v>C4117</v>
          </cell>
          <cell r="N3128" t="str">
            <v>Kafr Hum\كفرحوم</v>
          </cell>
        </row>
        <row r="3129">
          <cell r="L3129" t="str">
            <v>SY070300</v>
          </cell>
          <cell r="M3129" t="str">
            <v>C4119</v>
          </cell>
          <cell r="N3129" t="str">
            <v>Kafr Mu\كفر مو</v>
          </cell>
        </row>
        <row r="3130">
          <cell r="L3130" t="str">
            <v>SY070300</v>
          </cell>
          <cell r="M3130" t="str">
            <v>C4118</v>
          </cell>
          <cell r="N3130" t="str">
            <v>Mira Shaq\ميرا سحاق</v>
          </cell>
        </row>
        <row r="3131">
          <cell r="L3131" t="str">
            <v>SY070301</v>
          </cell>
          <cell r="M3131" t="str">
            <v>C4127</v>
          </cell>
          <cell r="N3131" t="str">
            <v>Aqrabat\عقربات</v>
          </cell>
        </row>
        <row r="3132">
          <cell r="L3132" t="str">
            <v>SY070301</v>
          </cell>
          <cell r="M3132" t="str">
            <v>C4130</v>
          </cell>
          <cell r="N3132" t="str">
            <v>Atma\اطمه</v>
          </cell>
        </row>
        <row r="3133">
          <cell r="L3133" t="str">
            <v>SY070301</v>
          </cell>
          <cell r="M3133" t="str">
            <v>C4128</v>
          </cell>
          <cell r="N3133" t="str">
            <v>Burj Elnumra\برج النمرة</v>
          </cell>
        </row>
        <row r="3134">
          <cell r="L3134" t="str">
            <v>SY070301</v>
          </cell>
          <cell r="M3134" t="str">
            <v>C4126</v>
          </cell>
          <cell r="N3134" t="str">
            <v>Dana\الدانا</v>
          </cell>
        </row>
        <row r="3135">
          <cell r="L3135" t="str">
            <v>SY070301</v>
          </cell>
          <cell r="M3135" t="str">
            <v>C4129</v>
          </cell>
          <cell r="N3135" t="str">
            <v>Deir Hassan - Darhashan\دير حسان_درحشان</v>
          </cell>
        </row>
        <row r="3136">
          <cell r="L3136" t="str">
            <v>SY070301</v>
          </cell>
          <cell r="M3136" t="str">
            <v>C4120</v>
          </cell>
          <cell r="N3136" t="str">
            <v>Hezreh - Hezri\حزرة_حرزي</v>
          </cell>
        </row>
        <row r="3137">
          <cell r="L3137" t="str">
            <v>SY070301</v>
          </cell>
          <cell r="M3137" t="str">
            <v>C4132</v>
          </cell>
          <cell r="N3137" t="str">
            <v>Kafr Deryan\كفردريان</v>
          </cell>
        </row>
        <row r="3138">
          <cell r="L3138" t="str">
            <v>SY070301</v>
          </cell>
          <cell r="M3138" t="str">
            <v>C4131</v>
          </cell>
          <cell r="N3138" t="str">
            <v>Qah\قاح</v>
          </cell>
        </row>
        <row r="3139">
          <cell r="L3139" t="str">
            <v>SY070301</v>
          </cell>
          <cell r="M3139" t="str">
            <v>C4121</v>
          </cell>
          <cell r="N3139" t="str">
            <v>Sarmada\سرمدا</v>
          </cell>
        </row>
        <row r="3140">
          <cell r="L3140" t="str">
            <v>SY070301</v>
          </cell>
          <cell r="M3140" t="str">
            <v>C4123</v>
          </cell>
          <cell r="N3140" t="str">
            <v>Selwa\صلوة</v>
          </cell>
        </row>
        <row r="3141">
          <cell r="L3141" t="str">
            <v>SY070301</v>
          </cell>
          <cell r="M3141" t="str">
            <v>C4122</v>
          </cell>
          <cell r="N3141" t="str">
            <v>Tal Elkaramej\تل الكرامة</v>
          </cell>
        </row>
        <row r="3142">
          <cell r="L3142" t="str">
            <v>SY070301</v>
          </cell>
          <cell r="M3142" t="str">
            <v>C4125</v>
          </cell>
          <cell r="N3142" t="str">
            <v>Termanin\ترمانين</v>
          </cell>
        </row>
        <row r="3143">
          <cell r="L3143" t="str">
            <v>SY070301</v>
          </cell>
          <cell r="M3143" t="str">
            <v>C4124</v>
          </cell>
          <cell r="N3143" t="str">
            <v>Tilaada\تلعادة</v>
          </cell>
        </row>
        <row r="3144">
          <cell r="L3144" t="str">
            <v>SY070302</v>
          </cell>
          <cell r="M3144" t="str">
            <v>C4133</v>
          </cell>
          <cell r="N3144" t="str">
            <v>Abu Talha\ابو طلحة</v>
          </cell>
        </row>
        <row r="3145">
          <cell r="L3145" t="str">
            <v>SY070302</v>
          </cell>
          <cell r="M3145" t="str">
            <v>C4142</v>
          </cell>
          <cell r="N3145" t="str">
            <v>Allani\العلاني</v>
          </cell>
        </row>
        <row r="3146">
          <cell r="L3146" t="str">
            <v>SY070302</v>
          </cell>
          <cell r="M3146" t="str">
            <v>C4143</v>
          </cell>
          <cell r="N3146" t="str">
            <v>Azmarin\عزمارين</v>
          </cell>
        </row>
        <row r="3147">
          <cell r="L3147" t="str">
            <v>SY070302</v>
          </cell>
          <cell r="M3147" t="str">
            <v>C4147</v>
          </cell>
          <cell r="N3147" t="str">
            <v>Betiya\بتيا</v>
          </cell>
        </row>
        <row r="3148">
          <cell r="L3148" t="str">
            <v>SY070302</v>
          </cell>
          <cell r="M3148" t="str">
            <v>C4141</v>
          </cell>
          <cell r="N3148" t="str">
            <v>Big Hir Jamus\حير جاموس كبير</v>
          </cell>
        </row>
        <row r="3149">
          <cell r="L3149" t="str">
            <v>SY070302</v>
          </cell>
          <cell r="M3149" t="str">
            <v>C4144</v>
          </cell>
          <cell r="N3149" t="str">
            <v>Bozanti\بوزانطي</v>
          </cell>
        </row>
        <row r="3150">
          <cell r="L3150" t="str">
            <v>SY070302</v>
          </cell>
          <cell r="M3150" t="str">
            <v>C4146</v>
          </cell>
          <cell r="N3150" t="str">
            <v>Delbiya\دلبيا</v>
          </cell>
        </row>
        <row r="3151">
          <cell r="L3151" t="str">
            <v>SY070302</v>
          </cell>
          <cell r="M3151" t="str">
            <v>C4136</v>
          </cell>
          <cell r="N3151" t="str">
            <v>Ein Elbikara\عين البكارة</v>
          </cell>
        </row>
        <row r="3152">
          <cell r="L3152" t="str">
            <v>SY070302</v>
          </cell>
          <cell r="M3152" t="str">
            <v>C4145</v>
          </cell>
          <cell r="N3152" t="str">
            <v>Eskat\اسقاط</v>
          </cell>
        </row>
        <row r="3153">
          <cell r="L3153" t="str">
            <v>SY070302</v>
          </cell>
          <cell r="M3153" t="str">
            <v>C4135</v>
          </cell>
          <cell r="N3153" t="str">
            <v>Foziyeh\الفوزية</v>
          </cell>
        </row>
        <row r="3154">
          <cell r="L3154" t="str">
            <v>SY070302</v>
          </cell>
          <cell r="M3154" t="str">
            <v>C4134</v>
          </cell>
          <cell r="N3154" t="str">
            <v>Hamziyeh\الحمزية</v>
          </cell>
        </row>
        <row r="3155">
          <cell r="L3155" t="str">
            <v>SY070302</v>
          </cell>
          <cell r="M3155" t="str">
            <v>C4149</v>
          </cell>
          <cell r="N3155" t="str">
            <v>Kafarna\كفرنه</v>
          </cell>
        </row>
        <row r="3156">
          <cell r="L3156" t="str">
            <v>SY070302</v>
          </cell>
          <cell r="M3156" t="str">
            <v>C4151</v>
          </cell>
          <cell r="N3156" t="str">
            <v>Kafr Hind\كفر هند</v>
          </cell>
        </row>
        <row r="3157">
          <cell r="L3157" t="str">
            <v>SY070302</v>
          </cell>
          <cell r="M3157" t="str">
            <v>C4150</v>
          </cell>
          <cell r="N3157" t="str">
            <v>Kafrahlat Jallad\كفرحات جلاد</v>
          </cell>
        </row>
        <row r="3158">
          <cell r="L3158" t="str">
            <v>SY070302</v>
          </cell>
          <cell r="M3158" t="str">
            <v>C4139</v>
          </cell>
          <cell r="N3158" t="str">
            <v>Little Hir Jamus\حير جاموس صغير</v>
          </cell>
        </row>
        <row r="3159">
          <cell r="L3159" t="str">
            <v>SY070302</v>
          </cell>
          <cell r="M3159" t="str">
            <v>C4138</v>
          </cell>
          <cell r="N3159" t="str">
            <v>Saidiyeh\السعيدية</v>
          </cell>
        </row>
        <row r="3160">
          <cell r="L3160" t="str">
            <v>SY070302</v>
          </cell>
          <cell r="M3160" t="str">
            <v>C4140</v>
          </cell>
          <cell r="N3160" t="str">
            <v>Salqin\سلقين</v>
          </cell>
        </row>
        <row r="3161">
          <cell r="L3161" t="str">
            <v>SY070302</v>
          </cell>
          <cell r="M3161" t="str">
            <v>C6364</v>
          </cell>
          <cell r="N3161" t="str">
            <v>Shyukh\الشيوخ</v>
          </cell>
        </row>
        <row r="3162">
          <cell r="L3162" t="str">
            <v>SY070302</v>
          </cell>
          <cell r="M3162" t="str">
            <v>C4148</v>
          </cell>
          <cell r="N3162" t="str">
            <v>Tellemar\تلعمار</v>
          </cell>
        </row>
        <row r="3163">
          <cell r="L3163" t="str">
            <v>SY070302</v>
          </cell>
          <cell r="M3163" t="str">
            <v>C4137</v>
          </cell>
          <cell r="N3163" t="str">
            <v>Tlul\التلول</v>
          </cell>
        </row>
        <row r="3164">
          <cell r="L3164" t="str">
            <v>SY070303</v>
          </cell>
          <cell r="M3164" t="str">
            <v>C4152</v>
          </cell>
          <cell r="N3164" t="str">
            <v>Abarita\عبريتا</v>
          </cell>
        </row>
        <row r="3165">
          <cell r="L3165" t="str">
            <v>SY070303</v>
          </cell>
          <cell r="M3165" t="str">
            <v>C4153</v>
          </cell>
          <cell r="N3165" t="str">
            <v>Bshendlaya - Rashadiya\بشندلايا_رشادية</v>
          </cell>
        </row>
        <row r="3166">
          <cell r="L3166" t="str">
            <v>SY070303</v>
          </cell>
          <cell r="M3166" t="str">
            <v>C4155</v>
          </cell>
          <cell r="N3166" t="str">
            <v>Helleh\حلة</v>
          </cell>
        </row>
        <row r="3167">
          <cell r="L3167" t="str">
            <v>SY070303</v>
          </cell>
          <cell r="M3167" t="str">
            <v>C4156</v>
          </cell>
          <cell r="N3167" t="str">
            <v>Jadeen\جدعين</v>
          </cell>
        </row>
        <row r="3168">
          <cell r="L3168" t="str">
            <v>SY070303</v>
          </cell>
          <cell r="M3168" t="str">
            <v>C4158</v>
          </cell>
          <cell r="N3168" t="str">
            <v>Kafr Kila\كفر كيلا</v>
          </cell>
        </row>
        <row r="3169">
          <cell r="L3169" t="str">
            <v>SY070303</v>
          </cell>
          <cell r="M3169" t="str">
            <v>C4159</v>
          </cell>
          <cell r="N3169" t="str">
            <v>Kafr Mars\كفر مارس</v>
          </cell>
        </row>
        <row r="3170">
          <cell r="L3170" t="str">
            <v>SY070303</v>
          </cell>
          <cell r="M3170" t="str">
            <v>C4157</v>
          </cell>
          <cell r="N3170" t="str">
            <v>Kafr Takharim\كفر تخاريم</v>
          </cell>
        </row>
        <row r="3171">
          <cell r="L3171" t="str">
            <v>SY070303</v>
          </cell>
          <cell r="M3171" t="str">
            <v>C4160</v>
          </cell>
          <cell r="N3171" t="str">
            <v>Kuku - Ein Eljaj\كوكو_عين الجاج</v>
          </cell>
        </row>
        <row r="3172">
          <cell r="L3172" t="str">
            <v>SY070303</v>
          </cell>
          <cell r="M3172" t="str">
            <v>C4154</v>
          </cell>
          <cell r="N3172" t="str">
            <v>Taltita\تلتيتا</v>
          </cell>
        </row>
        <row r="3173">
          <cell r="L3173" t="str">
            <v>SY070304</v>
          </cell>
          <cell r="M3173" t="str">
            <v>C4162</v>
          </cell>
          <cell r="N3173" t="str">
            <v>Banabel\بنابل</v>
          </cell>
        </row>
        <row r="3174">
          <cell r="L3174" t="str">
            <v>SY070304</v>
          </cell>
          <cell r="M3174" t="str">
            <v>C4164</v>
          </cell>
          <cell r="N3174" t="str">
            <v>Barisha\باريشا</v>
          </cell>
        </row>
        <row r="3175">
          <cell r="L3175" t="str">
            <v>SY070304</v>
          </cell>
          <cell r="M3175" t="str">
            <v>C4166</v>
          </cell>
          <cell r="N3175" t="str">
            <v>Boz Ghaz\بوز غاز</v>
          </cell>
        </row>
        <row r="3176">
          <cell r="L3176" t="str">
            <v>SY070304</v>
          </cell>
          <cell r="M3176" t="str">
            <v>C4161</v>
          </cell>
          <cell r="N3176" t="str">
            <v>Htan\حتان</v>
          </cell>
        </row>
        <row r="3177">
          <cell r="L3177" t="str">
            <v>SY070304</v>
          </cell>
          <cell r="M3177" t="str">
            <v>C4172</v>
          </cell>
          <cell r="N3177" t="str">
            <v>Kafr Aruq\كفر عروق</v>
          </cell>
        </row>
        <row r="3178">
          <cell r="L3178" t="str">
            <v>SY070304</v>
          </cell>
          <cell r="M3178" t="str">
            <v>C4171</v>
          </cell>
          <cell r="N3178" t="str">
            <v>Meraf Elshalaf\معراة الشلف</v>
          </cell>
        </row>
        <row r="3179">
          <cell r="L3179" t="str">
            <v>SY070304</v>
          </cell>
          <cell r="M3179" t="str">
            <v>C4173</v>
          </cell>
          <cell r="N3179" t="str">
            <v>Qalb Lozeh\قلب لوزة</v>
          </cell>
        </row>
        <row r="3180">
          <cell r="L3180" t="str">
            <v>SY070304</v>
          </cell>
          <cell r="M3180" t="str">
            <v>C4174</v>
          </cell>
          <cell r="N3180" t="str">
            <v>Qourqeena\قورقانيا</v>
          </cell>
        </row>
        <row r="3181">
          <cell r="L3181" t="str">
            <v>SY070304</v>
          </cell>
          <cell r="M3181" t="str">
            <v>C4168</v>
          </cell>
          <cell r="N3181" t="str">
            <v>Rabeeta\ربعيتا</v>
          </cell>
        </row>
        <row r="3182">
          <cell r="L3182" t="str">
            <v>SY070304</v>
          </cell>
          <cell r="M3182" t="str">
            <v>C4169</v>
          </cell>
          <cell r="N3182" t="str">
            <v>Radwa \رضوة</v>
          </cell>
        </row>
        <row r="3183">
          <cell r="L3183" t="str">
            <v>SY070304</v>
          </cell>
          <cell r="M3183" t="str">
            <v>C4167</v>
          </cell>
          <cell r="N3183" t="str">
            <v>Ras Elhisn\راس الحصن</v>
          </cell>
        </row>
        <row r="3184">
          <cell r="L3184" t="str">
            <v>SY070304</v>
          </cell>
          <cell r="M3184" t="str">
            <v>C4165</v>
          </cell>
          <cell r="N3184" t="str">
            <v>Sardin\سردين</v>
          </cell>
        </row>
        <row r="3185">
          <cell r="L3185" t="str">
            <v>SY070304</v>
          </cell>
          <cell r="M3185" t="str">
            <v>C4170</v>
          </cell>
          <cell r="N3185" t="str">
            <v>Torlaha\طورلاها</v>
          </cell>
        </row>
        <row r="3186">
          <cell r="L3186" t="str">
            <v>SY070305</v>
          </cell>
          <cell r="M3186" t="str">
            <v>C4176</v>
          </cell>
          <cell r="N3186" t="str">
            <v>Armanaz\أرمناز</v>
          </cell>
        </row>
        <row r="3187">
          <cell r="L3187" t="str">
            <v>SY070305</v>
          </cell>
          <cell r="M3187" t="str">
            <v>C4181</v>
          </cell>
          <cell r="N3187" t="str">
            <v>Baliya\بسليا</v>
          </cell>
        </row>
        <row r="3188">
          <cell r="L3188" t="str">
            <v>SY070305</v>
          </cell>
          <cell r="M3188" t="str">
            <v>C4180</v>
          </cell>
          <cell r="N3188" t="str">
            <v>Biret Armanaz\بيرة ارمناز</v>
          </cell>
        </row>
        <row r="3189">
          <cell r="L3189" t="str">
            <v>SY070305</v>
          </cell>
          <cell r="M3189" t="str">
            <v>C4182</v>
          </cell>
          <cell r="N3189" t="str">
            <v>Dweila\الدويلة</v>
          </cell>
        </row>
        <row r="3190">
          <cell r="L3190" t="str">
            <v>SY070305</v>
          </cell>
          <cell r="M3190" t="str">
            <v>C4175</v>
          </cell>
          <cell r="N3190" t="str">
            <v>Ghafar\الغفر</v>
          </cell>
        </row>
        <row r="3191">
          <cell r="L3191" t="str">
            <v>SY070305</v>
          </cell>
          <cell r="M3191" t="str">
            <v>C4178</v>
          </cell>
          <cell r="N3191" t="str">
            <v>Hafasraja\حفسرجة</v>
          </cell>
        </row>
        <row r="3192">
          <cell r="L3192" t="str">
            <v>SY070305</v>
          </cell>
          <cell r="M3192" t="str">
            <v>C4185</v>
          </cell>
          <cell r="N3192" t="str">
            <v>Kabta\كبته</v>
          </cell>
        </row>
        <row r="3193">
          <cell r="L3193" t="str">
            <v>SY070305</v>
          </cell>
          <cell r="M3193" t="str">
            <v>C4183</v>
          </cell>
          <cell r="N3193" t="str">
            <v>Kuwaro - Um Elriyah\كوارو_أم الرياح</v>
          </cell>
        </row>
        <row r="3194">
          <cell r="L3194" t="str">
            <v>SY070305</v>
          </cell>
          <cell r="M3194" t="str">
            <v>C4184</v>
          </cell>
          <cell r="N3194" t="str">
            <v>Milis\ملس</v>
          </cell>
        </row>
        <row r="3195">
          <cell r="L3195" t="str">
            <v>SY070305</v>
          </cell>
          <cell r="M3195" t="str">
            <v>C4177</v>
          </cell>
          <cell r="N3195" t="str">
            <v>Quneitra\القنيطرة</v>
          </cell>
        </row>
        <row r="3196">
          <cell r="L3196" t="str">
            <v>SY070305</v>
          </cell>
          <cell r="M3196" t="str">
            <v>C4179</v>
          </cell>
          <cell r="N3196" t="str">
            <v>Sheikh Yousef\الشيخ يوسف</v>
          </cell>
        </row>
        <row r="3197">
          <cell r="L3197" t="str">
            <v>SY070400</v>
          </cell>
          <cell r="M3197" t="str">
            <v>C4207</v>
          </cell>
          <cell r="N3197" t="str">
            <v>Alyeh\العالية</v>
          </cell>
        </row>
        <row r="3198">
          <cell r="L3198" t="str">
            <v>SY070400</v>
          </cell>
          <cell r="M3198" t="str">
            <v>C4191</v>
          </cell>
          <cell r="N3198" t="str">
            <v>Balmis\بلميس</v>
          </cell>
        </row>
        <row r="3199">
          <cell r="L3199" t="str">
            <v>SY070400</v>
          </cell>
          <cell r="M3199" t="str">
            <v>C4201</v>
          </cell>
          <cell r="N3199" t="str">
            <v>Bkafla\بكفلا</v>
          </cell>
        </row>
        <row r="3200">
          <cell r="L3200" t="str">
            <v>SY070400</v>
          </cell>
          <cell r="M3200" t="str">
            <v>C4193</v>
          </cell>
          <cell r="N3200" t="str">
            <v>Bsheiriyeh - Bello\البشيرية_بللو</v>
          </cell>
        </row>
        <row r="3201">
          <cell r="L3201" t="str">
            <v>SY070400</v>
          </cell>
          <cell r="M3201" t="str">
            <v>C4195</v>
          </cell>
          <cell r="N3201" t="str">
            <v>Bteibat\بطيباط</v>
          </cell>
        </row>
        <row r="3202">
          <cell r="L3202" t="str">
            <v>SY070400</v>
          </cell>
          <cell r="M3202" t="str">
            <v>C4200</v>
          </cell>
          <cell r="N3202" t="str">
            <v>Bzeit\بزيت</v>
          </cell>
        </row>
        <row r="3203">
          <cell r="L3203" t="str">
            <v>SY070400</v>
          </cell>
          <cell r="M3203" t="str">
            <v>C4214</v>
          </cell>
          <cell r="N3203" t="str">
            <v>Dgali\الدغالي</v>
          </cell>
        </row>
        <row r="3204">
          <cell r="L3204" t="str">
            <v>SY070400</v>
          </cell>
          <cell r="M3204" t="str">
            <v>C4215</v>
          </cell>
          <cell r="N3204" t="str">
            <v>Eastern Marj Akhdar\المرج الأخضر الشرقي</v>
          </cell>
        </row>
        <row r="3205">
          <cell r="L3205" t="str">
            <v>SY070400</v>
          </cell>
          <cell r="M3205" t="str">
            <v>C4202</v>
          </cell>
          <cell r="N3205" t="str">
            <v>Ein Elhamra\عين الحمرا</v>
          </cell>
        </row>
        <row r="3206">
          <cell r="L3206" t="str">
            <v>SY070400</v>
          </cell>
          <cell r="M3206" t="str">
            <v>C4204</v>
          </cell>
          <cell r="N3206" t="str">
            <v>Ein Elsoda\عين السودة</v>
          </cell>
        </row>
        <row r="3207">
          <cell r="L3207" t="str">
            <v>SY070400</v>
          </cell>
          <cell r="M3207" t="str">
            <v>C4198</v>
          </cell>
          <cell r="N3207" t="str">
            <v>Eshtabraq\اشتبرق</v>
          </cell>
        </row>
        <row r="3208">
          <cell r="L3208" t="str">
            <v>SY070400</v>
          </cell>
          <cell r="M3208" t="str">
            <v>C4219</v>
          </cell>
          <cell r="N3208" t="str">
            <v>Frikeh\فريكة</v>
          </cell>
        </row>
        <row r="3209">
          <cell r="L3209" t="str">
            <v>SY070400</v>
          </cell>
          <cell r="M3209" t="str">
            <v>C4209</v>
          </cell>
          <cell r="N3209" t="str">
            <v>Ghanya\غانية</v>
          </cell>
        </row>
        <row r="3210">
          <cell r="L3210" t="str">
            <v>SY070400</v>
          </cell>
          <cell r="M3210" t="str">
            <v>C4203</v>
          </cell>
          <cell r="N3210" t="str">
            <v>Ghassaniyeh\الغسانية</v>
          </cell>
        </row>
        <row r="3211">
          <cell r="L3211" t="str">
            <v>SY070400</v>
          </cell>
          <cell r="M3211" t="str">
            <v>C4188</v>
          </cell>
          <cell r="N3211" t="str">
            <v>Halluz \حللوز</v>
          </cell>
        </row>
        <row r="3212">
          <cell r="L3212" t="str">
            <v>SY070400</v>
          </cell>
          <cell r="M3212" t="str">
            <v>C4216</v>
          </cell>
          <cell r="N3212" t="str">
            <v>Hseiniyeh\الحسينية</v>
          </cell>
        </row>
        <row r="3213">
          <cell r="L3213" t="str">
            <v>SY070400</v>
          </cell>
          <cell r="M3213" t="str">
            <v>C4208</v>
          </cell>
          <cell r="N3213" t="str">
            <v>Jannet Elqora\جنة القرى</v>
          </cell>
        </row>
        <row r="3214">
          <cell r="L3214" t="str">
            <v>SY070400</v>
          </cell>
          <cell r="M3214" t="str">
            <v>C4199</v>
          </cell>
          <cell r="N3214" t="str">
            <v>Jisr-Ash-Shugur\جسر الشغور</v>
          </cell>
        </row>
        <row r="3215">
          <cell r="L3215" t="str">
            <v>SY070400</v>
          </cell>
          <cell r="M3215" t="str">
            <v>C4205</v>
          </cell>
          <cell r="N3215" t="str">
            <v>Kafir\الكفير</v>
          </cell>
        </row>
        <row r="3216">
          <cell r="L3216" t="str">
            <v>SY070400</v>
          </cell>
          <cell r="M3216" t="str">
            <v>C4222</v>
          </cell>
          <cell r="N3216" t="str">
            <v>Kniset Nakhleh\كنيسة نخلة</v>
          </cell>
        </row>
        <row r="3217">
          <cell r="L3217" t="str">
            <v>SY070400</v>
          </cell>
          <cell r="M3217" t="str">
            <v>C4190</v>
          </cell>
          <cell r="N3217" t="str">
            <v>Maalaqa - Bishlamon\المعلقة_بشلامون</v>
          </cell>
        </row>
        <row r="3218">
          <cell r="L3218" t="str">
            <v>SY070400</v>
          </cell>
          <cell r="M3218" t="str">
            <v>C4221</v>
          </cell>
          <cell r="N3218" t="str">
            <v>Marj Elzohur\مرج الزهور</v>
          </cell>
        </row>
        <row r="3219">
          <cell r="L3219" t="str">
            <v>SY070400</v>
          </cell>
          <cell r="M3219" t="str">
            <v>C4196</v>
          </cell>
          <cell r="N3219" t="str">
            <v>Mintar\المنطار</v>
          </cell>
        </row>
        <row r="3220">
          <cell r="L3220" t="str">
            <v>SY070400</v>
          </cell>
          <cell r="M3220" t="str">
            <v>C4187</v>
          </cell>
          <cell r="N3220" t="str">
            <v>Msheirfeh\المشيرفة</v>
          </cell>
        </row>
        <row r="3221">
          <cell r="L3221" t="str">
            <v>SY070400</v>
          </cell>
          <cell r="M3221" t="str">
            <v>C4206</v>
          </cell>
          <cell r="N3221" t="str">
            <v>Qaysiyeh\القيسية</v>
          </cell>
        </row>
        <row r="3222">
          <cell r="L3222" t="str">
            <v>SY070400</v>
          </cell>
          <cell r="M3222" t="str">
            <v>C4211</v>
          </cell>
          <cell r="N3222" t="str">
            <v>Sabileh\سبيلة</v>
          </cell>
        </row>
        <row r="3223">
          <cell r="L3223" t="str">
            <v>SY070400</v>
          </cell>
          <cell r="M3223" t="str">
            <v>C4192</v>
          </cell>
          <cell r="N3223" t="str">
            <v>Salhiyeh\الصالحية</v>
          </cell>
        </row>
        <row r="3224">
          <cell r="L3224" t="str">
            <v>SY070400</v>
          </cell>
          <cell r="M3224" t="str">
            <v>C4189</v>
          </cell>
          <cell r="N3224" t="str">
            <v>Sali\سلي</v>
          </cell>
        </row>
        <row r="3225">
          <cell r="L3225" t="str">
            <v>SY070400</v>
          </cell>
          <cell r="M3225" t="str">
            <v>C4210</v>
          </cell>
          <cell r="N3225" t="str">
            <v>Sokkariyeh\السكرية</v>
          </cell>
        </row>
        <row r="3226">
          <cell r="L3226" t="str">
            <v>SY070400</v>
          </cell>
          <cell r="M3226" t="str">
            <v>C4217</v>
          </cell>
          <cell r="N3226" t="str">
            <v>Tal Awar\تل اعور</v>
          </cell>
        </row>
        <row r="3227">
          <cell r="L3227" t="str">
            <v>SY070400</v>
          </cell>
          <cell r="M3227" t="str">
            <v>C4218</v>
          </cell>
          <cell r="N3227" t="str">
            <v>Tal Hamki\تل حمكي</v>
          </cell>
        </row>
        <row r="3228">
          <cell r="L3228" t="str">
            <v>SY070400</v>
          </cell>
          <cell r="M3228" t="str">
            <v>C4213</v>
          </cell>
          <cell r="N3228" t="str">
            <v>Um Elgar\أم الغار</v>
          </cell>
        </row>
        <row r="3229">
          <cell r="L3229" t="str">
            <v>SY070400</v>
          </cell>
          <cell r="M3229" t="str">
            <v>C4194</v>
          </cell>
          <cell r="N3229" t="str">
            <v>Um Rish\ام الريش</v>
          </cell>
        </row>
        <row r="3230">
          <cell r="L3230" t="str">
            <v>SY070400</v>
          </cell>
          <cell r="M3230" t="str">
            <v>C4186</v>
          </cell>
          <cell r="N3230" t="str">
            <v>Upper Sheikh Sindyan\شيخ سنديان فوقاني</v>
          </cell>
        </row>
        <row r="3231">
          <cell r="L3231" t="str">
            <v>SY070400</v>
          </cell>
          <cell r="M3231" t="str">
            <v>C4197</v>
          </cell>
          <cell r="N3231" t="str">
            <v>Upper Shghur\شغور فوقاني</v>
          </cell>
        </row>
        <row r="3232">
          <cell r="L3232" t="str">
            <v>SY070400</v>
          </cell>
          <cell r="M3232" t="str">
            <v>C4220</v>
          </cell>
          <cell r="N3232" t="str">
            <v>Watba\وطبة</v>
          </cell>
        </row>
        <row r="3233">
          <cell r="L3233" t="str">
            <v>SY070400</v>
          </cell>
          <cell r="M3233" t="str">
            <v>C4212</v>
          </cell>
          <cell r="N3233" t="str">
            <v>Western Marj Akhdar\المرج الأخضر الغربي</v>
          </cell>
        </row>
        <row r="3234">
          <cell r="L3234" t="str">
            <v>SY070401</v>
          </cell>
          <cell r="M3234" t="str">
            <v>C4227</v>
          </cell>
          <cell r="N3234" t="str">
            <v>Armala\ارملا</v>
          </cell>
        </row>
        <row r="3235">
          <cell r="L3235" t="str">
            <v>SY070401</v>
          </cell>
          <cell r="M3235" t="str">
            <v>C4226</v>
          </cell>
          <cell r="N3235" t="str">
            <v>Badama\بداما</v>
          </cell>
        </row>
        <row r="3236">
          <cell r="L3236" t="str">
            <v>SY070401</v>
          </cell>
          <cell r="M3236" t="str">
            <v>C4223</v>
          </cell>
          <cell r="N3236" t="str">
            <v>Baksariya\بكسريا</v>
          </cell>
        </row>
        <row r="3237">
          <cell r="L3237" t="str">
            <v>SY070401</v>
          </cell>
          <cell r="M3237" t="str">
            <v>C4229</v>
          </cell>
          <cell r="N3237" t="str">
            <v>Ein El-Bayda\عين البيضا</v>
          </cell>
        </row>
        <row r="3238">
          <cell r="L3238" t="str">
            <v>SY070401</v>
          </cell>
          <cell r="M3238" t="str">
            <v>C4228</v>
          </cell>
          <cell r="N3238" t="str">
            <v>Hanbushiyeh\حنبوشية</v>
          </cell>
        </row>
        <row r="3239">
          <cell r="L3239" t="str">
            <v>SY070401</v>
          </cell>
          <cell r="M3239" t="str">
            <v>C4231</v>
          </cell>
          <cell r="N3239" t="str">
            <v>Kherbet Eljoz\خربة الجوز</v>
          </cell>
        </row>
        <row r="3240">
          <cell r="L3240" t="str">
            <v>SY070401</v>
          </cell>
          <cell r="M3240" t="str">
            <v>C4230</v>
          </cell>
          <cell r="N3240" t="str">
            <v>Kinda\الكندة</v>
          </cell>
        </row>
        <row r="3241">
          <cell r="L3241" t="str">
            <v>SY070401</v>
          </cell>
          <cell r="M3241" t="str">
            <v>C4235</v>
          </cell>
          <cell r="N3241" t="str">
            <v>Maraand\مرعند</v>
          </cell>
        </row>
        <row r="3242">
          <cell r="L3242" t="str">
            <v>SY070401</v>
          </cell>
          <cell r="M3242" t="str">
            <v>C4233</v>
          </cell>
          <cell r="N3242" t="str">
            <v>Najiyeh\الناجية</v>
          </cell>
        </row>
        <row r="3243">
          <cell r="L3243" t="str">
            <v>SY070401</v>
          </cell>
          <cell r="M3243" t="str">
            <v>C4234</v>
          </cell>
          <cell r="N3243" t="str">
            <v>Ramliyeh\الرملية</v>
          </cell>
        </row>
        <row r="3244">
          <cell r="L3244" t="str">
            <v>SY070401</v>
          </cell>
          <cell r="M3244" t="str">
            <v>C4232</v>
          </cell>
          <cell r="N3244" t="str">
            <v>Shaturiyeh\الشاتورية</v>
          </cell>
        </row>
        <row r="3245">
          <cell r="L3245" t="str">
            <v>SY070401</v>
          </cell>
          <cell r="M3245" t="str">
            <v>C4224</v>
          </cell>
          <cell r="N3245" t="str">
            <v>Tuffahiyeh\تفاحية</v>
          </cell>
        </row>
        <row r="3246">
          <cell r="L3246" t="str">
            <v>SY070401</v>
          </cell>
          <cell r="M3246" t="str">
            <v>C4225</v>
          </cell>
          <cell r="N3246" t="str">
            <v>Yunesiyeh\اليونسية</v>
          </cell>
        </row>
        <row r="3247">
          <cell r="L3247" t="str">
            <v>SY070402</v>
          </cell>
          <cell r="M3247" t="str">
            <v>C4245</v>
          </cell>
          <cell r="N3247" t="str">
            <v>Amud\عامود</v>
          </cell>
        </row>
        <row r="3248">
          <cell r="L3248" t="str">
            <v>SY070402</v>
          </cell>
          <cell r="M3248" t="str">
            <v>C4248</v>
          </cell>
          <cell r="N3248" t="str">
            <v>Andnaniyeh - Farjein\العدنانية_فرجين</v>
          </cell>
        </row>
        <row r="3249">
          <cell r="L3249" t="str">
            <v>SY070402</v>
          </cell>
          <cell r="M3249" t="str">
            <v>C4252</v>
          </cell>
          <cell r="N3249" t="str">
            <v>Darkosh\دركوش</v>
          </cell>
        </row>
        <row r="3250">
          <cell r="L3250" t="str">
            <v>SY070402</v>
          </cell>
          <cell r="M3250" t="str">
            <v>C4239</v>
          </cell>
          <cell r="N3250" t="str">
            <v>Deir Othman\دير عثمان</v>
          </cell>
        </row>
        <row r="3251">
          <cell r="L3251" t="str">
            <v>SY070402</v>
          </cell>
          <cell r="M3251" t="str">
            <v>C4249</v>
          </cell>
          <cell r="N3251" t="str">
            <v>Dorriyeh\الدرية</v>
          </cell>
        </row>
        <row r="3252">
          <cell r="L3252" t="str">
            <v>SY070402</v>
          </cell>
          <cell r="M3252" t="str">
            <v>C4240</v>
          </cell>
          <cell r="N3252" t="str">
            <v>Ghazala - Mgheidleh\الغزالة_مغيدلة</v>
          </cell>
        </row>
        <row r="3253">
          <cell r="L3253" t="str">
            <v>SY070402</v>
          </cell>
          <cell r="M3253" t="str">
            <v>C4241</v>
          </cell>
          <cell r="N3253" t="str">
            <v>Jamiliya\الجميلية</v>
          </cell>
        </row>
        <row r="3254">
          <cell r="L3254" t="str">
            <v>SY070402</v>
          </cell>
          <cell r="M3254" t="str">
            <v>C4244</v>
          </cell>
          <cell r="N3254" t="str">
            <v>Matleh - Batlaya\المطلة_بطلايا</v>
          </cell>
        </row>
        <row r="3255">
          <cell r="L3255" t="str">
            <v>SY070402</v>
          </cell>
          <cell r="M3255" t="str">
            <v>C4243</v>
          </cell>
          <cell r="N3255" t="str">
            <v>Mazuleh\المعزولة</v>
          </cell>
        </row>
        <row r="3256">
          <cell r="L3256" t="str">
            <v>SY070402</v>
          </cell>
          <cell r="M3256" t="str">
            <v>C4254</v>
          </cell>
          <cell r="N3256" t="str">
            <v>Mreimin\مريمين</v>
          </cell>
        </row>
        <row r="3257">
          <cell r="L3257" t="str">
            <v>SY070402</v>
          </cell>
          <cell r="M3257" t="str">
            <v>C4242</v>
          </cell>
          <cell r="N3257" t="str">
            <v>Ramadiyeh\الرمادية</v>
          </cell>
        </row>
        <row r="3258">
          <cell r="L3258" t="str">
            <v>SY070402</v>
          </cell>
          <cell r="M3258" t="str">
            <v>C4246</v>
          </cell>
          <cell r="N3258" t="str">
            <v>Sadiyeh - Bsentiya\السعدية_بسندتيا</v>
          </cell>
        </row>
        <row r="3259">
          <cell r="L3259" t="str">
            <v>SY070402</v>
          </cell>
          <cell r="M3259" t="str">
            <v>C4236</v>
          </cell>
          <cell r="N3259" t="str">
            <v>Sawadiya - Nabhan\السوادية_نبهان</v>
          </cell>
        </row>
        <row r="3260">
          <cell r="L3260" t="str">
            <v>SY070402</v>
          </cell>
          <cell r="M3260" t="str">
            <v>C4251</v>
          </cell>
          <cell r="N3260" t="str">
            <v>Sheikh Issa Elashury\الشيخ عيسى العاشوري</v>
          </cell>
        </row>
        <row r="3261">
          <cell r="L3261" t="str">
            <v>SY070402</v>
          </cell>
          <cell r="M3261" t="str">
            <v>C4247</v>
          </cell>
          <cell r="N3261" t="str">
            <v>Thahr\الظهر</v>
          </cell>
        </row>
        <row r="3262">
          <cell r="L3262" t="str">
            <v>SY070402</v>
          </cell>
          <cell r="M3262" t="str">
            <v>C4237</v>
          </cell>
          <cell r="N3262" t="str">
            <v>Turin\طورين</v>
          </cell>
        </row>
        <row r="3263">
          <cell r="L3263" t="str">
            <v>SY070402</v>
          </cell>
          <cell r="M3263" t="str">
            <v>C4250</v>
          </cell>
          <cell r="N3263" t="str">
            <v>Zahraa - Kherbet Amud\الزهراء_خربة عامود</v>
          </cell>
        </row>
        <row r="3264">
          <cell r="L3264" t="str">
            <v>SY070402</v>
          </cell>
          <cell r="M3264" t="str">
            <v>C4253</v>
          </cell>
          <cell r="N3264" t="str">
            <v>Zanbaqi\الزنبقي</v>
          </cell>
        </row>
        <row r="3265">
          <cell r="L3265" t="str">
            <v>SY070402</v>
          </cell>
          <cell r="M3265" t="str">
            <v>C4238</v>
          </cell>
          <cell r="N3265" t="str">
            <v>Zarzur\زرزور</v>
          </cell>
        </row>
        <row r="3266">
          <cell r="L3266" t="str">
            <v>SY070403</v>
          </cell>
          <cell r="M3266" t="str">
            <v>C4266</v>
          </cell>
          <cell r="N3266" t="str">
            <v>Athar\آذار</v>
          </cell>
        </row>
        <row r="3267">
          <cell r="L3267" t="str">
            <v>SY070403</v>
          </cell>
          <cell r="M3267" t="str">
            <v>C4263</v>
          </cell>
          <cell r="N3267" t="str">
            <v>Foz - Zuf\الفوز_الزوف</v>
          </cell>
        </row>
        <row r="3268">
          <cell r="L3268" t="str">
            <v>SY070403</v>
          </cell>
          <cell r="M3268" t="str">
            <v>C4267</v>
          </cell>
          <cell r="N3268" t="str">
            <v>Hamama - Kafr Debbin\الحمامة_كفر دبين</v>
          </cell>
        </row>
        <row r="3269">
          <cell r="L3269" t="str">
            <v>SY070403</v>
          </cell>
          <cell r="M3269" t="str">
            <v>C4257</v>
          </cell>
          <cell r="N3269" t="str">
            <v>Hassaniyeh - Hatya\الحسانية_هتيا</v>
          </cell>
        </row>
        <row r="3270">
          <cell r="L3270" t="str">
            <v>SY070403</v>
          </cell>
          <cell r="M3270" t="str">
            <v>C4255</v>
          </cell>
          <cell r="N3270" t="str">
            <v>Janudiyeh\الجانودية</v>
          </cell>
        </row>
        <row r="3271">
          <cell r="L3271" t="str">
            <v>SY070403</v>
          </cell>
          <cell r="M3271" t="str">
            <v>C4265</v>
          </cell>
          <cell r="N3271" t="str">
            <v>Jdidet Eljisr\جديدة الجسر</v>
          </cell>
        </row>
        <row r="3272">
          <cell r="L3272" t="str">
            <v>SY070403</v>
          </cell>
          <cell r="M3272" t="str">
            <v>C4259</v>
          </cell>
          <cell r="N3272" t="str">
            <v>Maland\الملند</v>
          </cell>
        </row>
        <row r="3273">
          <cell r="L3273" t="str">
            <v>SY070403</v>
          </cell>
          <cell r="M3273" t="str">
            <v>C4261</v>
          </cell>
          <cell r="N3273" t="str">
            <v>Mudiah - Luxin\المضيئة_لوكسين</v>
          </cell>
        </row>
        <row r="3274">
          <cell r="L3274" t="str">
            <v>SY070403</v>
          </cell>
          <cell r="M3274" t="str">
            <v>C4262</v>
          </cell>
          <cell r="N3274" t="str">
            <v>Nasra\الناصرة</v>
          </cell>
        </row>
        <row r="3275">
          <cell r="L3275" t="str">
            <v>SY070403</v>
          </cell>
          <cell r="M3275" t="str">
            <v>C4258</v>
          </cell>
          <cell r="N3275" t="str">
            <v>Qaderiyeh - Qayqun\القادرية_قيقون</v>
          </cell>
        </row>
        <row r="3276">
          <cell r="L3276" t="str">
            <v>SY070403</v>
          </cell>
          <cell r="M3276" t="str">
            <v>C4260</v>
          </cell>
          <cell r="N3276" t="str">
            <v>Qanniyeh\القنية</v>
          </cell>
        </row>
        <row r="3277">
          <cell r="L3277" t="str">
            <v>SY070403</v>
          </cell>
          <cell r="M3277" t="str">
            <v>C4264</v>
          </cell>
          <cell r="N3277" t="str">
            <v>Tiba - Katrin\الطيبة_كترين</v>
          </cell>
        </row>
        <row r="3278">
          <cell r="L3278" t="str">
            <v>SY070403</v>
          </cell>
          <cell r="M3278" t="str">
            <v>C4256</v>
          </cell>
          <cell r="N3278" t="str">
            <v>Yaqubiyeh\اليعقوبية</v>
          </cell>
        </row>
        <row r="3279">
          <cell r="L3279" t="str">
            <v>SY070500</v>
          </cell>
          <cell r="M3279" t="str">
            <v>C4270</v>
          </cell>
          <cell r="N3279" t="str">
            <v>Abkally\ابقللي</v>
          </cell>
        </row>
        <row r="3280">
          <cell r="L3280" t="str">
            <v>SY070500</v>
          </cell>
          <cell r="M3280" t="str">
            <v>C4278</v>
          </cell>
          <cell r="N3280" t="str">
            <v>Ariha\أريحا</v>
          </cell>
        </row>
        <row r="3281">
          <cell r="L3281" t="str">
            <v>SY070500</v>
          </cell>
          <cell r="M3281" t="str">
            <v>C4271</v>
          </cell>
          <cell r="N3281" t="str">
            <v>Bab Ellah\باب الله</v>
          </cell>
        </row>
        <row r="3282">
          <cell r="L3282" t="str">
            <v>SY070500</v>
          </cell>
          <cell r="M3282" t="str">
            <v>C4274</v>
          </cell>
          <cell r="N3282" t="str">
            <v>Banin\بنين</v>
          </cell>
        </row>
        <row r="3283">
          <cell r="L3283" t="str">
            <v>SY070500</v>
          </cell>
          <cell r="M3283" t="str">
            <v>C4268</v>
          </cell>
          <cell r="N3283" t="str">
            <v>Bazabur\بزابور</v>
          </cell>
        </row>
        <row r="3284">
          <cell r="L3284" t="str">
            <v>SY070500</v>
          </cell>
          <cell r="M3284" t="str">
            <v>C4276</v>
          </cell>
          <cell r="N3284" t="str">
            <v>Berjhab\برجهاب</v>
          </cell>
        </row>
        <row r="3285">
          <cell r="L3285" t="str">
            <v>SY070500</v>
          </cell>
          <cell r="M3285" t="str">
            <v>C4277</v>
          </cell>
          <cell r="N3285" t="str">
            <v>Ebneh\ابنه</v>
          </cell>
        </row>
        <row r="3286">
          <cell r="L3286" t="str">
            <v>SY070500</v>
          </cell>
          <cell r="M3286" t="str">
            <v>C4289</v>
          </cell>
          <cell r="N3286" t="str">
            <v>Kafr Shalaya\كفر شلايا</v>
          </cell>
        </row>
        <row r="3287">
          <cell r="L3287" t="str">
            <v>SY070500</v>
          </cell>
          <cell r="M3287" t="str">
            <v>C4282</v>
          </cell>
          <cell r="N3287" t="str">
            <v>Kafraziba\كفرزيبا</v>
          </cell>
        </row>
        <row r="3288">
          <cell r="L3288" t="str">
            <v>SY070500</v>
          </cell>
          <cell r="M3288" t="str">
            <v>C4283</v>
          </cell>
          <cell r="N3288" t="str">
            <v>Kafrlata\كفرلاته</v>
          </cell>
        </row>
        <row r="3289">
          <cell r="L3289" t="str">
            <v>SY070500</v>
          </cell>
          <cell r="M3289" t="str">
            <v>C4288</v>
          </cell>
          <cell r="N3289" t="str">
            <v>Korin\كورين</v>
          </cell>
        </row>
        <row r="3290">
          <cell r="L3290" t="str">
            <v>SY070500</v>
          </cell>
          <cell r="M3290" t="str">
            <v>C4285</v>
          </cell>
          <cell r="N3290" t="str">
            <v>Maarbalit\معربليت</v>
          </cell>
        </row>
        <row r="3291">
          <cell r="L3291" t="str">
            <v>SY070500</v>
          </cell>
          <cell r="M3291" t="str">
            <v>C4279</v>
          </cell>
          <cell r="N3291" t="str">
            <v>Maarzaf\معرزاف</v>
          </cell>
        </row>
        <row r="3292">
          <cell r="L3292" t="str">
            <v>SY070500</v>
          </cell>
          <cell r="M3292" t="str">
            <v>C4280</v>
          </cell>
          <cell r="N3292" t="str">
            <v>Majdaliya\مجدليا</v>
          </cell>
        </row>
        <row r="3293">
          <cell r="L3293" t="str">
            <v>SY070500</v>
          </cell>
          <cell r="M3293" t="str">
            <v>C4287</v>
          </cell>
          <cell r="N3293" t="str">
            <v>Moataf\منطف</v>
          </cell>
        </row>
        <row r="3294">
          <cell r="L3294" t="str">
            <v>SY070500</v>
          </cell>
          <cell r="M3294" t="str">
            <v>C4290</v>
          </cell>
          <cell r="N3294" t="str">
            <v>Motaram\معترم</v>
          </cell>
        </row>
        <row r="3295">
          <cell r="L3295" t="str">
            <v>SY070500</v>
          </cell>
          <cell r="M3295" t="str">
            <v>C4281</v>
          </cell>
          <cell r="N3295" t="str">
            <v>Mseibin\مصيبين</v>
          </cell>
        </row>
        <row r="3296">
          <cell r="L3296" t="str">
            <v>SY070500</v>
          </cell>
          <cell r="M3296" t="str">
            <v>C4284</v>
          </cell>
          <cell r="N3296" t="str">
            <v>Nahleh\نحلة</v>
          </cell>
        </row>
        <row r="3297">
          <cell r="L3297" t="str">
            <v>SY070500</v>
          </cell>
          <cell r="M3297" t="str">
            <v>C4286</v>
          </cell>
          <cell r="N3297" t="str">
            <v>Nahliya\نحليا</v>
          </cell>
        </row>
        <row r="3298">
          <cell r="L3298" t="str">
            <v>SY070500</v>
          </cell>
          <cell r="M3298" t="str">
            <v>C4269</v>
          </cell>
          <cell r="N3298" t="str">
            <v>Orm Eljoz\أورم الجوز</v>
          </cell>
        </row>
        <row r="3299">
          <cell r="L3299" t="str">
            <v>SY070500</v>
          </cell>
          <cell r="M3299" t="str">
            <v>C4273</v>
          </cell>
          <cell r="N3299" t="str">
            <v>Sarja\سرجة</v>
          </cell>
        </row>
        <row r="3300">
          <cell r="L3300" t="str">
            <v>SY070500</v>
          </cell>
          <cell r="M3300" t="str">
            <v>C4275</v>
          </cell>
          <cell r="N3300" t="str">
            <v>Shinan\شنان</v>
          </cell>
        </row>
        <row r="3301">
          <cell r="L3301" t="str">
            <v>SY070500</v>
          </cell>
          <cell r="M3301" t="str">
            <v>C4272</v>
          </cell>
          <cell r="N3301" t="str">
            <v>Thaheriya\الظاهرية</v>
          </cell>
        </row>
        <row r="3302">
          <cell r="L3302" t="str">
            <v>SY070501</v>
          </cell>
          <cell r="M3302" t="str">
            <v>C4291</v>
          </cell>
          <cell r="N3302" t="str">
            <v>Abdita\ابديتا</v>
          </cell>
        </row>
        <row r="3303">
          <cell r="L3303" t="str">
            <v>SY070501</v>
          </cell>
          <cell r="M3303" t="str">
            <v>C4292</v>
          </cell>
          <cell r="N3303" t="str">
            <v>Ablin\ابلين</v>
          </cell>
        </row>
        <row r="3304">
          <cell r="L3304" t="str">
            <v>SY070501</v>
          </cell>
          <cell r="M3304" t="str">
            <v>C4301</v>
          </cell>
          <cell r="N3304" t="str">
            <v>Arnaba\ارنبة</v>
          </cell>
        </row>
        <row r="3305">
          <cell r="L3305" t="str">
            <v>SY070501</v>
          </cell>
          <cell r="M3305" t="str">
            <v>C4296</v>
          </cell>
          <cell r="N3305" t="str">
            <v>Balshun\بلشون</v>
          </cell>
        </row>
        <row r="3306">
          <cell r="L3306" t="str">
            <v>SY070501</v>
          </cell>
          <cell r="M3306" t="str">
            <v>C4302</v>
          </cell>
          <cell r="N3306" t="str">
            <v>Balyun\بليون</v>
          </cell>
        </row>
        <row r="3307">
          <cell r="L3307" t="str">
            <v>SY070501</v>
          </cell>
          <cell r="M3307" t="str">
            <v>C4304</v>
          </cell>
          <cell r="N3307" t="str">
            <v>Bara\البارة</v>
          </cell>
        </row>
        <row r="3308">
          <cell r="L3308" t="str">
            <v>SY070501</v>
          </cell>
          <cell r="M3308" t="str">
            <v>C4297</v>
          </cell>
          <cell r="N3308" t="str">
            <v>Bsames\بسامس</v>
          </cell>
        </row>
        <row r="3309">
          <cell r="L3309" t="str">
            <v>SY070501</v>
          </cell>
          <cell r="M3309" t="str">
            <v>C4293</v>
          </cell>
          <cell r="N3309" t="str">
            <v>Deir Sunbul\دير سنبل</v>
          </cell>
        </row>
        <row r="3310">
          <cell r="L3310" t="str">
            <v>SY070501</v>
          </cell>
          <cell r="M3310" t="str">
            <v>C4295</v>
          </cell>
          <cell r="N3310" t="str">
            <v>Ehsem\احسم</v>
          </cell>
        </row>
        <row r="3311">
          <cell r="L3311" t="str">
            <v>SY070501</v>
          </cell>
          <cell r="M3311" t="str">
            <v>C4299</v>
          </cell>
          <cell r="N3311" t="str">
            <v>Ein Laruz\عين لاروز</v>
          </cell>
        </row>
        <row r="3312">
          <cell r="L3312" t="str">
            <v>SY070501</v>
          </cell>
          <cell r="M3312" t="str">
            <v>C4305</v>
          </cell>
          <cell r="N3312" t="str">
            <v>Farkya\فركيا</v>
          </cell>
        </row>
        <row r="3313">
          <cell r="L3313" t="str">
            <v>SY070501</v>
          </cell>
          <cell r="M3313" t="str">
            <v>C4303</v>
          </cell>
          <cell r="N3313" t="str">
            <v>Joseph\جوزف</v>
          </cell>
        </row>
        <row r="3314">
          <cell r="L3314" t="str">
            <v>SY070501</v>
          </cell>
          <cell r="M3314" t="str">
            <v>C4306</v>
          </cell>
          <cell r="N3314" t="str">
            <v>Kafr Haya\كفر حايا</v>
          </cell>
        </row>
        <row r="3315">
          <cell r="L3315" t="str">
            <v>SY070501</v>
          </cell>
          <cell r="M3315" t="str">
            <v>C4309</v>
          </cell>
          <cell r="N3315" t="str">
            <v>Kansafra\كنصفرة</v>
          </cell>
        </row>
        <row r="3316">
          <cell r="L3316" t="str">
            <v>SY070501</v>
          </cell>
          <cell r="M3316" t="str">
            <v>C4300</v>
          </cell>
          <cell r="N3316" t="str">
            <v>Maghara\المغارة</v>
          </cell>
        </row>
        <row r="3317">
          <cell r="L3317" t="str">
            <v>SY070501</v>
          </cell>
          <cell r="M3317" t="str">
            <v>C4307</v>
          </cell>
          <cell r="N3317" t="str">
            <v>Marata\معراتة</v>
          </cell>
        </row>
        <row r="3318">
          <cell r="L3318" t="str">
            <v>SY070501</v>
          </cell>
          <cell r="M3318" t="str">
            <v>C4308</v>
          </cell>
          <cell r="N3318" t="str">
            <v>Marayan\مرعيان</v>
          </cell>
        </row>
        <row r="3319">
          <cell r="L3319" t="str">
            <v>SY070501</v>
          </cell>
          <cell r="M3319" t="str">
            <v>C4298</v>
          </cell>
          <cell r="N3319" t="str">
            <v>Mozra\الموزرة</v>
          </cell>
        </row>
        <row r="3320">
          <cell r="L3320" t="str">
            <v>SY070501</v>
          </cell>
          <cell r="M3320" t="str">
            <v>C4294</v>
          </cell>
          <cell r="N3320" t="str">
            <v>Rami\الرامي</v>
          </cell>
        </row>
        <row r="3321">
          <cell r="L3321" t="str">
            <v>SY070502</v>
          </cell>
          <cell r="M3321" t="str">
            <v>C4323</v>
          </cell>
          <cell r="N3321" t="str">
            <v>Anb\انب</v>
          </cell>
        </row>
        <row r="3322">
          <cell r="L3322" t="str">
            <v>SY070502</v>
          </cell>
          <cell r="M3322" t="str">
            <v>C4314</v>
          </cell>
          <cell r="N3322" t="str">
            <v>Bales\بالس</v>
          </cell>
        </row>
        <row r="3323">
          <cell r="L3323" t="str">
            <v>SY070502</v>
          </cell>
          <cell r="M3323" t="str">
            <v>C4324</v>
          </cell>
          <cell r="N3323" t="str">
            <v>Baqlid\بقليد</v>
          </cell>
        </row>
        <row r="3324">
          <cell r="L3324" t="str">
            <v>SY070502</v>
          </cell>
          <cell r="M3324" t="str">
            <v>C4310</v>
          </cell>
          <cell r="N3324" t="str">
            <v>Baydar Shamsu\بيدر شمسو</v>
          </cell>
        </row>
        <row r="3325">
          <cell r="L3325" t="str">
            <v>SY070502</v>
          </cell>
          <cell r="M3325" t="str">
            <v>C4321</v>
          </cell>
          <cell r="N3325" t="str">
            <v>Beftamun\بفطامون</v>
          </cell>
        </row>
        <row r="3326">
          <cell r="L3326" t="str">
            <v>SY070502</v>
          </cell>
          <cell r="M3326" t="str">
            <v>C4322</v>
          </cell>
          <cell r="N3326" t="str">
            <v>Bsanqul\بسنقول</v>
          </cell>
        </row>
        <row r="3327">
          <cell r="L3327" t="str">
            <v>SY070502</v>
          </cell>
          <cell r="M3327" t="str">
            <v>C4328</v>
          </cell>
          <cell r="N3327" t="str">
            <v>Hila\حيلا</v>
          </cell>
        </row>
        <row r="3328">
          <cell r="L3328" t="str">
            <v>SY070502</v>
          </cell>
          <cell r="M3328" t="str">
            <v>C4326</v>
          </cell>
          <cell r="N3328" t="str">
            <v>Hlul\حلول</v>
          </cell>
        </row>
        <row r="3329">
          <cell r="L3329" t="str">
            <v>SY070502</v>
          </cell>
          <cell r="M3329" t="str">
            <v>C4319</v>
          </cell>
          <cell r="N3329" t="str">
            <v>Hmeimat\حميمات</v>
          </cell>
        </row>
        <row r="3330">
          <cell r="L3330" t="str">
            <v>SY070502</v>
          </cell>
          <cell r="M3330" t="str">
            <v>C4320</v>
          </cell>
          <cell r="N3330" t="str">
            <v>Jadraya\جدرايا</v>
          </cell>
        </row>
        <row r="3331">
          <cell r="L3331" t="str">
            <v>SY070502</v>
          </cell>
          <cell r="M3331" t="str">
            <v>C4329</v>
          </cell>
          <cell r="N3331" t="str">
            <v>Kafrmid\كفرميد</v>
          </cell>
        </row>
        <row r="3332">
          <cell r="L3332" t="str">
            <v>SY070502</v>
          </cell>
          <cell r="M3332" t="str">
            <v>C4313</v>
          </cell>
          <cell r="N3332" t="str">
            <v>Kniseh\الكنيسة</v>
          </cell>
        </row>
        <row r="3333">
          <cell r="L3333" t="str">
            <v>SY070502</v>
          </cell>
          <cell r="M3333" t="str">
            <v>C6365</v>
          </cell>
          <cell r="N3333" t="str">
            <v>Marj\المرج</v>
          </cell>
        </row>
        <row r="3334">
          <cell r="L3334" t="str">
            <v>SY070502</v>
          </cell>
          <cell r="M3334" t="str">
            <v>C4317</v>
          </cell>
          <cell r="N3334" t="str">
            <v>Matleh Ariha\المطلة أريحا</v>
          </cell>
        </row>
        <row r="3335">
          <cell r="L3335" t="str">
            <v>SY070502</v>
          </cell>
          <cell r="M3335" t="str">
            <v>C4330</v>
          </cell>
          <cell r="N3335" t="str">
            <v>Mhambal\محمبل</v>
          </cell>
        </row>
        <row r="3336">
          <cell r="L3336" t="str">
            <v>SY070502</v>
          </cell>
          <cell r="M3336" t="str">
            <v>C4316</v>
          </cell>
          <cell r="N3336" t="str">
            <v>Northern Laj\اللج الشمالي</v>
          </cell>
        </row>
        <row r="3337">
          <cell r="L3337" t="str">
            <v>SY070502</v>
          </cell>
          <cell r="M3337" t="str">
            <v>C4312</v>
          </cell>
          <cell r="N3337" t="str">
            <v>Ora Qabli - Edwan\عرى القبلي_عدوان</v>
          </cell>
        </row>
        <row r="3338">
          <cell r="L3338" t="str">
            <v>SY070502</v>
          </cell>
          <cell r="M3338" t="str">
            <v>C4327</v>
          </cell>
          <cell r="N3338" t="str">
            <v>Sahen\الصحن</v>
          </cell>
        </row>
        <row r="3339">
          <cell r="L3339" t="str">
            <v>SY070502</v>
          </cell>
          <cell r="M3339" t="str">
            <v>C4315</v>
          </cell>
          <cell r="N3339" t="str">
            <v>Sararif\صراريف</v>
          </cell>
        </row>
        <row r="3340">
          <cell r="L3340" t="str">
            <v>SY070502</v>
          </cell>
          <cell r="M3340" t="str">
            <v>C4311</v>
          </cell>
          <cell r="N3340" t="str">
            <v>Shagurit\شاغوريت</v>
          </cell>
        </row>
        <row r="3341">
          <cell r="L3341" t="str">
            <v>SY080000</v>
          </cell>
          <cell r="M3341" t="str">
            <v>C4341</v>
          </cell>
          <cell r="N3341" t="str">
            <v>Abu Rasin Haskeh\أبو راسين حسكة</v>
          </cell>
        </row>
        <row r="3342">
          <cell r="L3342" t="str">
            <v>SY080000</v>
          </cell>
          <cell r="M3342" t="str">
            <v>C4360</v>
          </cell>
          <cell r="N3342" t="str">
            <v>Al-Hasakeh\الحسكة</v>
          </cell>
        </row>
        <row r="3343">
          <cell r="L3343" t="str">
            <v>SY080000</v>
          </cell>
          <cell r="M3343" t="str">
            <v>C4348</v>
          </cell>
          <cell r="N3343" t="str">
            <v>Duwadiyeh Haskeh\الداودية حسكة</v>
          </cell>
        </row>
        <row r="3344">
          <cell r="L3344" t="str">
            <v>SY080000</v>
          </cell>
          <cell r="M3344" t="str">
            <v>C4365</v>
          </cell>
          <cell r="N3344" t="str">
            <v>Eastern Hamra\الحمراالشرقية</v>
          </cell>
        </row>
        <row r="3345">
          <cell r="L3345" t="str">
            <v>SY080000</v>
          </cell>
          <cell r="M3345" t="str">
            <v>C4361</v>
          </cell>
          <cell r="N3345" t="str">
            <v>Eastern Rajman\رجمان شرقي</v>
          </cell>
        </row>
        <row r="3346">
          <cell r="L3346" t="str">
            <v>SY080000</v>
          </cell>
          <cell r="M3346" t="str">
            <v>C4359</v>
          </cell>
          <cell r="N3346" t="str">
            <v>Eastern Taban\طابان شرقي</v>
          </cell>
        </row>
        <row r="3347">
          <cell r="L3347" t="str">
            <v>SY080000</v>
          </cell>
          <cell r="M3347" t="str">
            <v>C4367</v>
          </cell>
          <cell r="N3347" t="str">
            <v>Ein Elhara\عين الحارة</v>
          </cell>
        </row>
        <row r="3348">
          <cell r="L3348" t="str">
            <v>SY080000</v>
          </cell>
          <cell r="M3348" t="str">
            <v>C4363</v>
          </cell>
          <cell r="N3348" t="str">
            <v>First Mabtuh\المبطوح الأولى</v>
          </cell>
        </row>
        <row r="3349">
          <cell r="L3349" t="str">
            <v>SY080000</v>
          </cell>
          <cell r="M3349" t="str">
            <v>C4350</v>
          </cell>
          <cell r="N3349" t="str">
            <v>Hafayer\الحفاير</v>
          </cell>
        </row>
        <row r="3350">
          <cell r="L3350" t="str">
            <v>SY080000</v>
          </cell>
          <cell r="M3350" t="str">
            <v>C4353</v>
          </cell>
          <cell r="N3350" t="str">
            <v>Harmala\حرملة</v>
          </cell>
        </row>
        <row r="3351">
          <cell r="L3351" t="str">
            <v>SY080000</v>
          </cell>
          <cell r="M3351" t="str">
            <v>C4375</v>
          </cell>
          <cell r="N3351" t="str">
            <v>Hilaliyeh\هلالية</v>
          </cell>
        </row>
        <row r="3352">
          <cell r="L3352" t="str">
            <v>SY080000</v>
          </cell>
          <cell r="M3352" t="str">
            <v>C4335</v>
          </cell>
          <cell r="N3352" t="str">
            <v>Jdideh\الجديدة</v>
          </cell>
        </row>
        <row r="3353">
          <cell r="L3353" t="str">
            <v>SY080000</v>
          </cell>
          <cell r="M3353" t="str">
            <v>C4331</v>
          </cell>
          <cell r="N3353" t="str">
            <v>Khazneh\الخزنة</v>
          </cell>
        </row>
        <row r="3354">
          <cell r="L3354" t="str">
            <v>SY080000</v>
          </cell>
          <cell r="M3354" t="str">
            <v>C4340</v>
          </cell>
          <cell r="N3354" t="str">
            <v>Kherbet Elias\خربة الياس</v>
          </cell>
        </row>
        <row r="3355">
          <cell r="L3355" t="str">
            <v>SY080000</v>
          </cell>
          <cell r="M3355" t="str">
            <v>C4356</v>
          </cell>
          <cell r="N3355" t="str">
            <v>Lower Tal Aswad\تل أسود تحتاني</v>
          </cell>
        </row>
        <row r="3356">
          <cell r="L3356" t="str">
            <v>SY080000</v>
          </cell>
          <cell r="M3356" t="str">
            <v>C4337</v>
          </cell>
          <cell r="N3356" t="str">
            <v>Madina\المدينة</v>
          </cell>
        </row>
        <row r="3357">
          <cell r="L3357" t="str">
            <v>SY080000</v>
          </cell>
          <cell r="M3357" t="str">
            <v>C4381</v>
          </cell>
          <cell r="N3357" t="str">
            <v>Mahd Elrijleh\مهد الرجلة</v>
          </cell>
        </row>
        <row r="3358">
          <cell r="L3358" t="str">
            <v>SY080000</v>
          </cell>
          <cell r="M3358" t="str">
            <v>C4382</v>
          </cell>
          <cell r="N3358" t="str">
            <v>Masudiyeh Elbizara\مسعودية البيزارة</v>
          </cell>
        </row>
        <row r="3359">
          <cell r="L3359" t="str">
            <v>SY080000</v>
          </cell>
          <cell r="M3359" t="str">
            <v>C4357</v>
          </cell>
          <cell r="N3359" t="str">
            <v>Masudiyeh Haska\المسعودية حسكة</v>
          </cell>
        </row>
        <row r="3360">
          <cell r="L3360" t="str">
            <v>SY080000</v>
          </cell>
          <cell r="M3360" t="str">
            <v>C4362</v>
          </cell>
          <cell r="N3360" t="str">
            <v>Matl\المطل</v>
          </cell>
        </row>
        <row r="3361">
          <cell r="L3361" t="str">
            <v>SY080000</v>
          </cell>
          <cell r="M3361" t="str">
            <v>C4380</v>
          </cell>
          <cell r="N3361" t="str">
            <v>Msheirfet Elashmal\مشيرفة الأشمل</v>
          </cell>
        </row>
        <row r="3362">
          <cell r="L3362" t="str">
            <v>SY080000</v>
          </cell>
          <cell r="M3362" t="str">
            <v>C4377</v>
          </cell>
          <cell r="N3362" t="str">
            <v>Nurak\نورك</v>
          </cell>
        </row>
        <row r="3363">
          <cell r="L3363" t="str">
            <v>SY080000</v>
          </cell>
          <cell r="M3363" t="str">
            <v>C4378</v>
          </cell>
          <cell r="N3363" t="str">
            <v>Qaber Amer\قبر عامر</v>
          </cell>
        </row>
        <row r="3364">
          <cell r="L3364" t="str">
            <v>SY080000</v>
          </cell>
          <cell r="M3364" t="str">
            <v>C4379</v>
          </cell>
          <cell r="N3364" t="str">
            <v>Qaber Elkhalif\قبر الخليف</v>
          </cell>
        </row>
        <row r="3365">
          <cell r="L3365" t="str">
            <v>SY080000</v>
          </cell>
          <cell r="M3365" t="str">
            <v>C4376</v>
          </cell>
          <cell r="N3365" t="str">
            <v>Qubbet Elsokhur\قبة منصور</v>
          </cell>
        </row>
        <row r="3366">
          <cell r="L3366" t="str">
            <v>SY080000</v>
          </cell>
          <cell r="M3366" t="str">
            <v>C4346</v>
          </cell>
          <cell r="N3366" t="str">
            <v>Rafraf\رفرف</v>
          </cell>
        </row>
        <row r="3367">
          <cell r="L3367" t="str">
            <v>SY080000</v>
          </cell>
          <cell r="M3367" t="str">
            <v>C4333</v>
          </cell>
          <cell r="N3367" t="str">
            <v>Rahmaniya\الرحمانية</v>
          </cell>
        </row>
        <row r="3368">
          <cell r="L3368" t="str">
            <v>SY080000</v>
          </cell>
          <cell r="M3368" t="str">
            <v>C4336</v>
          </cell>
          <cell r="N3368" t="str">
            <v>Razaza\الرزازة</v>
          </cell>
        </row>
        <row r="3369">
          <cell r="L3369" t="str">
            <v>SY080000</v>
          </cell>
          <cell r="M3369" t="str">
            <v>C4374</v>
          </cell>
          <cell r="N3369" t="str">
            <v>Rehiyeh Nameh\رحية الناعمة</v>
          </cell>
        </row>
        <row r="3370">
          <cell r="L3370" t="str">
            <v>SY080000</v>
          </cell>
          <cell r="M3370" t="str">
            <v>C4354</v>
          </cell>
          <cell r="N3370" t="str">
            <v>Safya\صفيا</v>
          </cell>
        </row>
        <row r="3371">
          <cell r="L3371" t="str">
            <v>SY080000</v>
          </cell>
          <cell r="M3371" t="str">
            <v>C4349</v>
          </cell>
          <cell r="N3371" t="str">
            <v>Salaliyeh\الصلالية</v>
          </cell>
        </row>
        <row r="3372">
          <cell r="L3372" t="str">
            <v>SY080000</v>
          </cell>
          <cell r="M3372" t="str">
            <v>C6320</v>
          </cell>
          <cell r="N3372" t="str">
            <v>Sarab Kawkab\سرب كوكب</v>
          </cell>
        </row>
        <row r="3373">
          <cell r="L3373" t="str">
            <v>SY080000</v>
          </cell>
          <cell r="M3373" t="str">
            <v>C4369</v>
          </cell>
          <cell r="N3373" t="str">
            <v>Sayed Ali\سيد علي</v>
          </cell>
        </row>
        <row r="3374">
          <cell r="L3374" t="str">
            <v>SY080000</v>
          </cell>
          <cell r="M3374" t="str">
            <v>C4338</v>
          </cell>
          <cell r="N3374" t="str">
            <v>Shama\شـما</v>
          </cell>
        </row>
        <row r="3375">
          <cell r="L3375" t="str">
            <v>SY080000</v>
          </cell>
          <cell r="M3375" t="str">
            <v>C4339</v>
          </cell>
          <cell r="N3375" t="str">
            <v>Sofya\صوفيا</v>
          </cell>
        </row>
        <row r="3376">
          <cell r="L3376" t="str">
            <v>SY080000</v>
          </cell>
          <cell r="M3376" t="str">
            <v>C4370</v>
          </cell>
          <cell r="N3376" t="str">
            <v>Southern Lower Um Hajra \أم حجرة جنوبية تحتاني</v>
          </cell>
        </row>
        <row r="3377">
          <cell r="L3377" t="str">
            <v>SY080000</v>
          </cell>
          <cell r="M3377" t="str">
            <v>C4368</v>
          </cell>
          <cell r="N3377" t="str">
            <v>Sulaymaniya\السليمانية</v>
          </cell>
        </row>
        <row r="3378">
          <cell r="L3378" t="str">
            <v>SY080000</v>
          </cell>
          <cell r="M3378" t="str">
            <v>C4371</v>
          </cell>
          <cell r="N3378" t="str">
            <v>Tal Baydar Haskeh\تل بيدر حسكة</v>
          </cell>
        </row>
        <row r="3379">
          <cell r="L3379" t="str">
            <v>SY080000</v>
          </cell>
          <cell r="M3379" t="str">
            <v>C4343</v>
          </cell>
          <cell r="N3379" t="str">
            <v>Tal Majdal\تل مجدل</v>
          </cell>
        </row>
        <row r="3380">
          <cell r="L3380" t="str">
            <v>SY080000</v>
          </cell>
          <cell r="M3380" t="str">
            <v>C4358</v>
          </cell>
          <cell r="N3380" t="str">
            <v>Tal Mansur Haskeh\تل منصور حسكة</v>
          </cell>
        </row>
        <row r="3381">
          <cell r="L3381" t="str">
            <v>SY080000</v>
          </cell>
          <cell r="M3381" t="str">
            <v>C4372</v>
          </cell>
          <cell r="N3381" t="str">
            <v>Tal Shaalan\تل شعلان</v>
          </cell>
        </row>
        <row r="3382">
          <cell r="L3382" t="str">
            <v>SY080000</v>
          </cell>
          <cell r="M3382" t="str">
            <v>C4342</v>
          </cell>
          <cell r="N3382" t="str">
            <v>Talaah\الطالعة</v>
          </cell>
        </row>
        <row r="3383">
          <cell r="L3383" t="str">
            <v>SY080000</v>
          </cell>
          <cell r="M3383" t="str">
            <v>C4351</v>
          </cell>
          <cell r="N3383" t="str">
            <v>Tweineh\التوينة</v>
          </cell>
        </row>
        <row r="3384">
          <cell r="L3384" t="str">
            <v>SY080000</v>
          </cell>
          <cell r="M3384" t="str">
            <v>C4355</v>
          </cell>
          <cell r="N3384" t="str">
            <v>Um Eldibis Elhiskeh\أم الدبس الحسكة</v>
          </cell>
        </row>
        <row r="3385">
          <cell r="L3385" t="str">
            <v>SY080000</v>
          </cell>
          <cell r="M3385" t="str">
            <v>C4364</v>
          </cell>
          <cell r="N3385" t="str">
            <v>Um Elmaez\أم الماعز</v>
          </cell>
        </row>
        <row r="3386">
          <cell r="L3386" t="str">
            <v>SY080000</v>
          </cell>
          <cell r="M3386" t="str">
            <v>C4366</v>
          </cell>
          <cell r="N3386" t="str">
            <v>Um Elmilh\أم الملح</v>
          </cell>
        </row>
        <row r="3387">
          <cell r="L3387" t="str">
            <v>SY080000</v>
          </cell>
          <cell r="M3387" t="str">
            <v>C4344</v>
          </cell>
          <cell r="N3387" t="str">
            <v>Um Elshok\أم الشوك</v>
          </cell>
        </row>
        <row r="3388">
          <cell r="L3388" t="str">
            <v>SY080000</v>
          </cell>
          <cell r="M3388" t="str">
            <v>C4332</v>
          </cell>
          <cell r="N3388" t="str">
            <v>Um Hajra Almoqbela\أم حجرة المقبلة</v>
          </cell>
        </row>
        <row r="3389">
          <cell r="L3389" t="str">
            <v>SY080000</v>
          </cell>
          <cell r="M3389" t="str">
            <v>C4334</v>
          </cell>
          <cell r="N3389" t="str">
            <v>Um Qasir Almjarjaa\أم قصير المجرجع</v>
          </cell>
        </row>
        <row r="3390">
          <cell r="L3390" t="str">
            <v>SY080000</v>
          </cell>
          <cell r="M3390" t="str">
            <v>C4352</v>
          </cell>
          <cell r="N3390" t="str">
            <v>Upper Tal Aswad\تل أسود فوقاني</v>
          </cell>
        </row>
        <row r="3391">
          <cell r="L3391" t="str">
            <v>SY080000</v>
          </cell>
          <cell r="M3391" t="str">
            <v>C4383</v>
          </cell>
          <cell r="N3391" t="str">
            <v>Western Qamar\قمر غربي</v>
          </cell>
        </row>
        <row r="3392">
          <cell r="L3392" t="str">
            <v>SY080000</v>
          </cell>
          <cell r="M3392" t="str">
            <v>C4347</v>
          </cell>
          <cell r="N3392" t="str">
            <v>Western Sabe Skur\سبع سكور غربي</v>
          </cell>
        </row>
        <row r="3393">
          <cell r="L3393" t="str">
            <v>SY080000</v>
          </cell>
          <cell r="M3393" t="str">
            <v>C4373</v>
          </cell>
          <cell r="N3393" t="str">
            <v>Zaydiyeh Hasskeh\الزيدية حسكة</v>
          </cell>
        </row>
        <row r="3394">
          <cell r="L3394" t="str">
            <v>SY080001</v>
          </cell>
          <cell r="M3394" t="str">
            <v>C4426</v>
          </cell>
          <cell r="N3394" t="str">
            <v>Abu Kabret Tal Tamr\أبو كبرة تل تمر</v>
          </cell>
        </row>
        <row r="3395">
          <cell r="L3395" t="str">
            <v>SY080001</v>
          </cell>
          <cell r="M3395" t="str">
            <v>C4410</v>
          </cell>
          <cell r="N3395" t="str">
            <v>Abu Tineh\أبو تينة</v>
          </cell>
        </row>
        <row r="3396">
          <cell r="L3396" t="str">
            <v>SY080001</v>
          </cell>
          <cell r="M3396" t="str">
            <v>C4414</v>
          </cell>
          <cell r="N3396" t="str">
            <v>Bab Elfaraj\باب الفرج</v>
          </cell>
        </row>
        <row r="3397">
          <cell r="L3397" t="str">
            <v>SY080001</v>
          </cell>
          <cell r="M3397" t="str">
            <v>C4406</v>
          </cell>
          <cell r="N3397" t="str">
            <v>Beida\البيضة</v>
          </cell>
        </row>
        <row r="3398">
          <cell r="L3398" t="str">
            <v>SY080001</v>
          </cell>
          <cell r="M3398" t="str">
            <v>C4424</v>
          </cell>
          <cell r="N3398" t="str">
            <v>Derdara Tal Tamr\الدردارة تل تمر</v>
          </cell>
        </row>
        <row r="3399">
          <cell r="L3399" t="str">
            <v>SY080001</v>
          </cell>
          <cell r="M3399" t="str">
            <v>C4387</v>
          </cell>
          <cell r="N3399" t="str">
            <v>Eastern Tal Hamam\تل حمام شرقي</v>
          </cell>
        </row>
        <row r="3400">
          <cell r="L3400" t="str">
            <v>SY080001</v>
          </cell>
          <cell r="M3400" t="str">
            <v>C4416</v>
          </cell>
          <cell r="N3400" t="str">
            <v>Fakkeh \الفكه</v>
          </cell>
        </row>
        <row r="3401">
          <cell r="L3401" t="str">
            <v>SY080001</v>
          </cell>
          <cell r="M3401" t="str">
            <v>C4405</v>
          </cell>
          <cell r="N3401" t="str">
            <v>Ghorra\الغرة</v>
          </cell>
        </row>
        <row r="3402">
          <cell r="L3402" t="str">
            <v>SY080001</v>
          </cell>
          <cell r="M3402" t="str">
            <v>C4411</v>
          </cell>
          <cell r="N3402" t="str">
            <v>Hamaniyeh - Kerbet Eltamer\الهامانية_خربة التمر</v>
          </cell>
        </row>
        <row r="3403">
          <cell r="L3403" t="str">
            <v>SY080001</v>
          </cell>
          <cell r="M3403" t="str">
            <v>C4391</v>
          </cell>
          <cell r="N3403" t="str">
            <v>Jafr\الجفر</v>
          </cell>
        </row>
        <row r="3404">
          <cell r="L3404" t="str">
            <v>SY080001</v>
          </cell>
          <cell r="M3404" t="str">
            <v>C4432</v>
          </cell>
          <cell r="N3404" t="str">
            <v>Kharita\الخريطة</v>
          </cell>
        </row>
        <row r="3405">
          <cell r="L3405" t="str">
            <v>SY080001</v>
          </cell>
          <cell r="M3405" t="str">
            <v>C4418</v>
          </cell>
          <cell r="N3405" t="str">
            <v>Khazneh Tal Tamr\الخزنة تل تمر</v>
          </cell>
        </row>
        <row r="3406">
          <cell r="L3406" t="str">
            <v>SY080001</v>
          </cell>
          <cell r="M3406" t="str">
            <v>C4434</v>
          </cell>
          <cell r="N3406" t="str">
            <v>Kon Attar\كون عطار</v>
          </cell>
        </row>
        <row r="3407">
          <cell r="L3407" t="str">
            <v>SY080001</v>
          </cell>
          <cell r="M3407" t="str">
            <v>C4437</v>
          </cell>
          <cell r="N3407" t="str">
            <v>Madineh Qabliyeh\مدينة قبلية</v>
          </cell>
        </row>
        <row r="3408">
          <cell r="L3408" t="str">
            <v>SY080001</v>
          </cell>
          <cell r="M3408" t="str">
            <v>C4385</v>
          </cell>
          <cell r="N3408" t="str">
            <v>Maqbara\المقبرة</v>
          </cell>
        </row>
        <row r="3409">
          <cell r="L3409" t="str">
            <v>SY080001</v>
          </cell>
          <cell r="M3409" t="str">
            <v>C4399</v>
          </cell>
          <cell r="N3409" t="str">
            <v>Middle Seha\السيحة الوسطى</v>
          </cell>
        </row>
        <row r="3410">
          <cell r="L3410" t="str">
            <v>SY080001</v>
          </cell>
          <cell r="M3410" t="str">
            <v>C4435</v>
          </cell>
          <cell r="N3410" t="str">
            <v>Mjeibret Zarkan\مجيبرة زركان</v>
          </cell>
        </row>
        <row r="3411">
          <cell r="L3411" t="str">
            <v>SY080001</v>
          </cell>
          <cell r="M3411" t="str">
            <v>C4395</v>
          </cell>
          <cell r="N3411" t="str">
            <v>Mutawaseta\المتوسطة</v>
          </cell>
        </row>
        <row r="3412">
          <cell r="L3412" t="str">
            <v>SY080001</v>
          </cell>
          <cell r="M3412" t="str">
            <v>C4415</v>
          </cell>
          <cell r="N3412" t="str">
            <v>Nayfeh\النايفة</v>
          </cell>
        </row>
        <row r="3413">
          <cell r="L3413" t="str">
            <v>SY080001</v>
          </cell>
          <cell r="M3413" t="str">
            <v>C4436</v>
          </cell>
          <cell r="N3413" t="str">
            <v>Qaber Sghir\قبر صغير</v>
          </cell>
        </row>
        <row r="3414">
          <cell r="L3414" t="str">
            <v>SY080001</v>
          </cell>
          <cell r="M3414" t="str">
            <v>C4402</v>
          </cell>
          <cell r="N3414" t="str">
            <v>Qasemiyeh\القاسمية</v>
          </cell>
        </row>
        <row r="3415">
          <cell r="L3415" t="str">
            <v>SY080001</v>
          </cell>
          <cell r="M3415" t="str">
            <v>C4403</v>
          </cell>
          <cell r="N3415" t="str">
            <v>Salmasa\السلماسة</v>
          </cell>
        </row>
        <row r="3416">
          <cell r="L3416" t="str">
            <v>SY080001</v>
          </cell>
          <cell r="M3416" t="str">
            <v>C4417</v>
          </cell>
          <cell r="N3416" t="str">
            <v>Shmuka\شموكة</v>
          </cell>
        </row>
        <row r="3417">
          <cell r="L3417" t="str">
            <v>SY080001</v>
          </cell>
          <cell r="M3417" t="str">
            <v>C4407</v>
          </cell>
          <cell r="N3417" t="str">
            <v>Sukkar Elahimer\سكر الأحيمر</v>
          </cell>
        </row>
        <row r="3418">
          <cell r="L3418" t="str">
            <v>SY080001</v>
          </cell>
          <cell r="M3418" t="str">
            <v>C4420</v>
          </cell>
          <cell r="N3418" t="str">
            <v>Tal Arbush\تل عربوش</v>
          </cell>
        </row>
        <row r="3419">
          <cell r="L3419" t="str">
            <v>SY080001</v>
          </cell>
          <cell r="M3419" t="str">
            <v>C4404</v>
          </cell>
          <cell r="N3419" t="str">
            <v>Tal Baz\تل باز</v>
          </cell>
        </row>
        <row r="3420">
          <cell r="L3420" t="str">
            <v>SY080001</v>
          </cell>
          <cell r="M3420" t="str">
            <v>C4401</v>
          </cell>
          <cell r="N3420" t="str">
            <v>Tal Bluah\تل بالوعة</v>
          </cell>
        </row>
        <row r="3421">
          <cell r="L3421" t="str">
            <v>SY080001</v>
          </cell>
          <cell r="M3421" t="str">
            <v>C4397</v>
          </cell>
          <cell r="N3421" t="str">
            <v>Tal Damshij\تل دمشيج</v>
          </cell>
        </row>
        <row r="3422">
          <cell r="L3422" t="str">
            <v>SY080001</v>
          </cell>
          <cell r="M3422" t="str">
            <v>C4429</v>
          </cell>
          <cell r="N3422" t="str">
            <v>Tal Eljamiliyeh\تل الجميلية</v>
          </cell>
        </row>
        <row r="3423">
          <cell r="L3423" t="str">
            <v>SY080001</v>
          </cell>
          <cell r="M3423" t="str">
            <v>C4413</v>
          </cell>
          <cell r="N3423" t="str">
            <v>Tal Elmoghor\تل المغر</v>
          </cell>
        </row>
        <row r="3424">
          <cell r="L3424" t="str">
            <v>SY080001</v>
          </cell>
          <cell r="M3424" t="str">
            <v>C4419</v>
          </cell>
          <cell r="N3424" t="str">
            <v>Tal Fweidat Shamiyeh\تل فويضات شامية</v>
          </cell>
        </row>
        <row r="3425">
          <cell r="L3425" t="str">
            <v>SY080001</v>
          </cell>
          <cell r="M3425" t="str">
            <v>C4427</v>
          </cell>
          <cell r="N3425" t="str">
            <v>Tal Hafyan\تل حفيان</v>
          </cell>
        </row>
        <row r="3426">
          <cell r="L3426" t="str">
            <v>SY080001</v>
          </cell>
          <cell r="M3426" t="str">
            <v>C4390</v>
          </cell>
          <cell r="N3426" t="str">
            <v>Tal Hermez\تل هرمز</v>
          </cell>
        </row>
        <row r="3427">
          <cell r="L3427" t="str">
            <v>SY080001</v>
          </cell>
          <cell r="M3427" t="str">
            <v>C4428</v>
          </cell>
          <cell r="N3427" t="str">
            <v>Tal Jadaya\تل جدايا</v>
          </cell>
        </row>
        <row r="3428">
          <cell r="L3428" t="str">
            <v>SY080001</v>
          </cell>
          <cell r="M3428" t="str">
            <v>C4431</v>
          </cell>
          <cell r="N3428" t="str">
            <v>Tal Jomaa\تل جمعة</v>
          </cell>
        </row>
        <row r="3429">
          <cell r="L3429" t="str">
            <v>SY080001</v>
          </cell>
          <cell r="M3429" t="str">
            <v>C4412</v>
          </cell>
          <cell r="N3429" t="str">
            <v>Tal Kifji\تل كيفجي</v>
          </cell>
        </row>
        <row r="3430">
          <cell r="L3430" t="str">
            <v>SY080001</v>
          </cell>
          <cell r="M3430" t="str">
            <v>C4425</v>
          </cell>
          <cell r="N3430" t="str">
            <v>Tal Makhada\تل مخاضة</v>
          </cell>
        </row>
        <row r="3431">
          <cell r="L3431" t="str">
            <v>SY080001</v>
          </cell>
          <cell r="M3431" t="str">
            <v>C4423</v>
          </cell>
          <cell r="N3431" t="str">
            <v>Tal Massas\تل مســــاس</v>
          </cell>
        </row>
        <row r="3432">
          <cell r="L3432" t="str">
            <v>SY080001</v>
          </cell>
          <cell r="M3432" t="str">
            <v>C4394</v>
          </cell>
          <cell r="N3432" t="str">
            <v>Tal Mghas\تل مغاص</v>
          </cell>
        </row>
        <row r="3433">
          <cell r="L3433" t="str">
            <v>SY080001</v>
          </cell>
          <cell r="M3433" t="str">
            <v>C4393</v>
          </cell>
          <cell r="N3433" t="str">
            <v>Tal Nasra\تل نصرى</v>
          </cell>
        </row>
        <row r="3434">
          <cell r="L3434" t="str">
            <v>SY080001</v>
          </cell>
          <cell r="M3434" t="str">
            <v>C4396</v>
          </cell>
          <cell r="N3434" t="str">
            <v>Tal Nijmeh\تل نجمة</v>
          </cell>
        </row>
        <row r="3435">
          <cell r="L3435" t="str">
            <v>SY080001</v>
          </cell>
          <cell r="M3435" t="str">
            <v>C4422</v>
          </cell>
          <cell r="N3435" t="str">
            <v>Tal Rumman\تل رمان</v>
          </cell>
        </row>
        <row r="3436">
          <cell r="L3436" t="str">
            <v>SY080001</v>
          </cell>
          <cell r="M3436" t="str">
            <v>C4392</v>
          </cell>
          <cell r="N3436" t="str">
            <v>Tal Sakra\تل سكرة</v>
          </cell>
        </row>
        <row r="3437">
          <cell r="L3437" t="str">
            <v>SY080001</v>
          </cell>
          <cell r="M3437" t="str">
            <v>C4388</v>
          </cell>
          <cell r="N3437" t="str">
            <v>Tal Shamiyeh\تل شامية</v>
          </cell>
        </row>
        <row r="3438">
          <cell r="L3438" t="str">
            <v>SY080001</v>
          </cell>
          <cell r="M3438" t="str">
            <v>C4430</v>
          </cell>
          <cell r="N3438" t="str">
            <v>Tal Shamran\تل شمران</v>
          </cell>
        </row>
        <row r="3439">
          <cell r="L3439" t="str">
            <v>SY080001</v>
          </cell>
          <cell r="M3439" t="str">
            <v>C4408</v>
          </cell>
          <cell r="N3439" t="str">
            <v>Tal Talaah\تل طلعة</v>
          </cell>
        </row>
        <row r="3440">
          <cell r="L3440" t="str">
            <v>SY080001</v>
          </cell>
          <cell r="M3440" t="str">
            <v>C4409</v>
          </cell>
          <cell r="N3440" t="str">
            <v>Tal Tamer\تل تمر</v>
          </cell>
        </row>
        <row r="3441">
          <cell r="L3441" t="str">
            <v>SY080001</v>
          </cell>
          <cell r="M3441" t="str">
            <v>C4421</v>
          </cell>
          <cell r="N3441" t="str">
            <v>Tal Tawil\تل طويل</v>
          </cell>
        </row>
        <row r="3442">
          <cell r="L3442" t="str">
            <v>SY080001</v>
          </cell>
          <cell r="M3442" t="str">
            <v>C4386</v>
          </cell>
          <cell r="N3442" t="str">
            <v>Tawileh\الطويلة</v>
          </cell>
        </row>
        <row r="3443">
          <cell r="L3443" t="str">
            <v>SY080001</v>
          </cell>
          <cell r="M3443" t="str">
            <v>C4398</v>
          </cell>
          <cell r="N3443" t="str">
            <v>Um Elkeif\أم الكيف</v>
          </cell>
        </row>
        <row r="3444">
          <cell r="L3444" t="str">
            <v>SY080001</v>
          </cell>
          <cell r="M3444" t="str">
            <v>C4389</v>
          </cell>
          <cell r="N3444" t="str">
            <v>Um Elmasamir Tal Tamr\أم المسامير تل تمر</v>
          </cell>
        </row>
        <row r="3445">
          <cell r="L3445" t="str">
            <v>SY080001</v>
          </cell>
          <cell r="M3445" t="str">
            <v>C4433</v>
          </cell>
          <cell r="N3445" t="str">
            <v>Wadi Elnijmeh\وادي النجمة</v>
          </cell>
        </row>
        <row r="3446">
          <cell r="L3446" t="str">
            <v>SY080001</v>
          </cell>
          <cell r="M3446" t="str">
            <v>C4384</v>
          </cell>
          <cell r="N3446" t="str">
            <v>Western Rihaniya\الريحانية غربي</v>
          </cell>
        </row>
        <row r="3447">
          <cell r="L3447" t="str">
            <v>SY080001</v>
          </cell>
          <cell r="M3447" t="str">
            <v>C4400</v>
          </cell>
          <cell r="N3447" t="str">
            <v>Western Tal Hamam\تل حمام غربي</v>
          </cell>
        </row>
        <row r="3448">
          <cell r="L3448" t="str">
            <v>SY080002</v>
          </cell>
          <cell r="M3448" t="str">
            <v>C4442</v>
          </cell>
          <cell r="N3448" t="str">
            <v>Adla\عدلة</v>
          </cell>
        </row>
        <row r="3449">
          <cell r="L3449" t="str">
            <v>SY080002</v>
          </cell>
          <cell r="M3449" t="str">
            <v>C4440</v>
          </cell>
          <cell r="N3449" t="str">
            <v>Eastern Elweh\العلوة الشرقية</v>
          </cell>
        </row>
        <row r="3450">
          <cell r="L3450" t="str">
            <v>SY080002</v>
          </cell>
          <cell r="M3450" t="str">
            <v>C4445</v>
          </cell>
          <cell r="N3450" t="str">
            <v>Eastern Henna\الحنة الشرقية</v>
          </cell>
        </row>
        <row r="3451">
          <cell r="L3451" t="str">
            <v>SY080002</v>
          </cell>
          <cell r="M3451" t="str">
            <v>C4438</v>
          </cell>
          <cell r="N3451" t="str">
            <v>Eastern Rashidiyeh\رشيدية شرقي</v>
          </cell>
        </row>
        <row r="3452">
          <cell r="L3452" t="str">
            <v>SY080002</v>
          </cell>
          <cell r="M3452" t="str">
            <v>C4441</v>
          </cell>
          <cell r="N3452" t="str">
            <v>Forty Seven\السبعة وأربعين</v>
          </cell>
        </row>
        <row r="3453">
          <cell r="L3453" t="str">
            <v>SY080002</v>
          </cell>
          <cell r="M3453" t="str">
            <v>C4439</v>
          </cell>
          <cell r="N3453" t="str">
            <v>Hweizeh\حويزية</v>
          </cell>
        </row>
        <row r="3454">
          <cell r="L3454" t="str">
            <v>SY080002</v>
          </cell>
          <cell r="M3454" t="str">
            <v>C4447</v>
          </cell>
          <cell r="N3454" t="str">
            <v>Kishkish Jabbur\كشكش جبور</v>
          </cell>
        </row>
        <row r="3455">
          <cell r="L3455" t="str">
            <v>SY080002</v>
          </cell>
          <cell r="M3455" t="str">
            <v>C4446</v>
          </cell>
          <cell r="N3455" t="str">
            <v>Shaddadah\الشدادة</v>
          </cell>
        </row>
        <row r="3456">
          <cell r="L3456" t="str">
            <v>SY080002</v>
          </cell>
          <cell r="M3456" t="str">
            <v>C4444</v>
          </cell>
          <cell r="N3456" t="str">
            <v>Tarnabet Elrafee\طرنبة الرفيع</v>
          </cell>
        </row>
        <row r="3457">
          <cell r="L3457" t="str">
            <v>SY080002</v>
          </cell>
          <cell r="M3457" t="str">
            <v>C4443</v>
          </cell>
          <cell r="N3457" t="str">
            <v>Western Jermez\جرمز غربي</v>
          </cell>
        </row>
        <row r="3458">
          <cell r="L3458" t="str">
            <v>SY080003</v>
          </cell>
          <cell r="M3458" t="str">
            <v>C4448</v>
          </cell>
          <cell r="N3458" t="str">
            <v>Elwet Eldisheisha\علوة الدشيشة</v>
          </cell>
        </row>
        <row r="3459">
          <cell r="L3459" t="str">
            <v>SY080003</v>
          </cell>
          <cell r="M3459" t="str">
            <v>C4449</v>
          </cell>
          <cell r="N3459" t="str">
            <v>Fadghami\الفدغمي</v>
          </cell>
        </row>
        <row r="3460">
          <cell r="L3460" t="str">
            <v>SY080003</v>
          </cell>
          <cell r="M3460" t="str">
            <v>C4453</v>
          </cell>
          <cell r="N3460" t="str">
            <v>Kishkish Zyanat\كشكش زيانات</v>
          </cell>
        </row>
        <row r="3461">
          <cell r="L3461" t="str">
            <v>SY080003</v>
          </cell>
          <cell r="M3461" t="str">
            <v>C4454</v>
          </cell>
          <cell r="N3461" t="str">
            <v>Markada\مركدة</v>
          </cell>
        </row>
        <row r="3462">
          <cell r="L3462" t="str">
            <v>SY080003</v>
          </cell>
          <cell r="M3462" t="str">
            <v>C4451</v>
          </cell>
          <cell r="N3462" t="str">
            <v>Shamasani\الشمساني</v>
          </cell>
        </row>
        <row r="3463">
          <cell r="L3463" t="str">
            <v>SY080003</v>
          </cell>
          <cell r="M3463" t="str">
            <v>C4450</v>
          </cell>
          <cell r="N3463" t="str">
            <v>Tal Sfuk\تل صفوك</v>
          </cell>
        </row>
        <row r="3464">
          <cell r="L3464" t="str">
            <v>SY080003</v>
          </cell>
          <cell r="M3464" t="str">
            <v>C4452</v>
          </cell>
          <cell r="N3464" t="str">
            <v>Thalja\الثلجة</v>
          </cell>
        </row>
        <row r="3465">
          <cell r="L3465" t="str">
            <v>SY080004</v>
          </cell>
          <cell r="M3465" t="str">
            <v>C4472</v>
          </cell>
          <cell r="N3465" t="str">
            <v>Adleh\العادلة</v>
          </cell>
        </row>
        <row r="3466">
          <cell r="L3466" t="str">
            <v>SY080004</v>
          </cell>
          <cell r="M3466" t="str">
            <v>C4456</v>
          </cell>
          <cell r="N3466" t="str">
            <v>Aseibek\الأصيبخ</v>
          </cell>
        </row>
        <row r="3467">
          <cell r="L3467" t="str">
            <v>SY080004</v>
          </cell>
          <cell r="M3467" t="str">
            <v>C4465</v>
          </cell>
          <cell r="N3467" t="str">
            <v>Atshana\العطشانة</v>
          </cell>
        </row>
        <row r="3468">
          <cell r="L3468" t="str">
            <v>SY080004</v>
          </cell>
          <cell r="M3468" t="str">
            <v>C4457</v>
          </cell>
          <cell r="N3468" t="str">
            <v>Bawab\البواب</v>
          </cell>
        </row>
        <row r="3469">
          <cell r="L3469" t="str">
            <v>SY080004</v>
          </cell>
          <cell r="M3469" t="str">
            <v>C4490</v>
          </cell>
          <cell r="N3469" t="str">
            <v>Big Hayahi\هياهي كبير</v>
          </cell>
        </row>
        <row r="3470">
          <cell r="L3470" t="str">
            <v>SY080004</v>
          </cell>
          <cell r="M3470" t="str">
            <v>C4494</v>
          </cell>
          <cell r="N3470" t="str">
            <v>Big Qaemqam\قائمقام كبير</v>
          </cell>
        </row>
        <row r="3471">
          <cell r="L3471" t="str">
            <v>SY080004</v>
          </cell>
          <cell r="M3471" t="str">
            <v>C4471</v>
          </cell>
          <cell r="N3471" t="str">
            <v>Bir Elhilu\بئر الحلو</v>
          </cell>
        </row>
        <row r="3472">
          <cell r="L3472" t="str">
            <v>SY080004</v>
          </cell>
          <cell r="M3472" t="str">
            <v>C4484</v>
          </cell>
          <cell r="N3472" t="str">
            <v>Bir Elhilu Elatshaneh\بئر الحلو العطشانة</v>
          </cell>
        </row>
        <row r="3473">
          <cell r="L3473" t="str">
            <v>SY080004</v>
          </cell>
          <cell r="M3473" t="str">
            <v>C4470</v>
          </cell>
          <cell r="N3473" t="str">
            <v>Bseiriyeh\البصيرية</v>
          </cell>
        </row>
        <row r="3474">
          <cell r="L3474" t="str">
            <v>SY080004</v>
          </cell>
          <cell r="M3474" t="str">
            <v>C4466</v>
          </cell>
          <cell r="N3474" t="str">
            <v>Bweir Bir Helo\البوير بئر الحلو</v>
          </cell>
        </row>
        <row r="3475">
          <cell r="L3475" t="str">
            <v>SY080004</v>
          </cell>
          <cell r="M3475" t="str">
            <v>C4459</v>
          </cell>
          <cell r="N3475" t="str">
            <v>Daffeh\دفــــة</v>
          </cell>
        </row>
        <row r="3476">
          <cell r="L3476" t="str">
            <v>SY080004</v>
          </cell>
          <cell r="M3476" t="str">
            <v>C4481</v>
          </cell>
          <cell r="N3476" t="str">
            <v>Darja\درجة</v>
          </cell>
        </row>
        <row r="3477">
          <cell r="L3477" t="str">
            <v>SY080004</v>
          </cell>
          <cell r="M3477" t="str">
            <v>C4478</v>
          </cell>
          <cell r="N3477" t="str">
            <v>Jasaa\الجسعة</v>
          </cell>
        </row>
        <row r="3478">
          <cell r="L3478" t="str">
            <v>SY080004</v>
          </cell>
          <cell r="M3478" t="str">
            <v>C4489</v>
          </cell>
          <cell r="N3478" t="str">
            <v>Kbeibat\كبيبات</v>
          </cell>
        </row>
        <row r="3479">
          <cell r="L3479" t="str">
            <v>SY080004</v>
          </cell>
          <cell r="M3479" t="str">
            <v>C4482</v>
          </cell>
          <cell r="N3479" t="str">
            <v>Kharab Abdel Sayed\خراب عبد السيد</v>
          </cell>
        </row>
        <row r="3480">
          <cell r="L3480" t="str">
            <v>SY080004</v>
          </cell>
          <cell r="M3480" t="str">
            <v>C4469</v>
          </cell>
          <cell r="N3480" t="str">
            <v>Kharab Ghazal\خراب غزال</v>
          </cell>
        </row>
        <row r="3481">
          <cell r="L3481" t="str">
            <v>SY080004</v>
          </cell>
          <cell r="M3481" t="str">
            <v>C4474</v>
          </cell>
          <cell r="N3481" t="str">
            <v>Kherbet Elrayes\خربة الريس</v>
          </cell>
        </row>
        <row r="3482">
          <cell r="L3482" t="str">
            <v>SY080004</v>
          </cell>
          <cell r="M3482" t="str">
            <v>C4455</v>
          </cell>
          <cell r="N3482" t="str">
            <v>Kherbet Elsweifat\خربة السويفات</v>
          </cell>
        </row>
        <row r="3483">
          <cell r="L3483" t="str">
            <v>SY080004</v>
          </cell>
          <cell r="M3483" t="str">
            <v>C4485</v>
          </cell>
          <cell r="N3483" t="str">
            <v>Kherbet Hawas\خربة حواس</v>
          </cell>
        </row>
        <row r="3484">
          <cell r="L3484" t="str">
            <v>SY080004</v>
          </cell>
          <cell r="M3484" t="str">
            <v>C4488</v>
          </cell>
          <cell r="N3484" t="str">
            <v>Little Hayahi\هياهي صغير</v>
          </cell>
        </row>
        <row r="3485">
          <cell r="L3485" t="str">
            <v>SY080004</v>
          </cell>
          <cell r="M3485" t="str">
            <v>C4492</v>
          </cell>
          <cell r="N3485" t="str">
            <v>Madinet Ati\مدينة عتي</v>
          </cell>
        </row>
        <row r="3486">
          <cell r="L3486" t="str">
            <v>SY080004</v>
          </cell>
          <cell r="M3486" t="str">
            <v>C4487</v>
          </cell>
          <cell r="N3486" t="str">
            <v>Meizleh\المعيزيلة</v>
          </cell>
        </row>
        <row r="3487">
          <cell r="L3487" t="str">
            <v>SY080004</v>
          </cell>
          <cell r="M3487" t="str">
            <v>C4493</v>
          </cell>
          <cell r="N3487" t="str">
            <v>Mithlit\مثاليث</v>
          </cell>
        </row>
        <row r="3488">
          <cell r="L3488" t="str">
            <v>SY080004</v>
          </cell>
          <cell r="M3488" t="str">
            <v>C4463</v>
          </cell>
          <cell r="N3488" t="str">
            <v>Northern Um Elrus \أم الروس شمالي</v>
          </cell>
        </row>
        <row r="3489">
          <cell r="L3489" t="str">
            <v>SY080004</v>
          </cell>
          <cell r="M3489" t="str">
            <v>C4491</v>
          </cell>
          <cell r="N3489" t="str">
            <v>Qaber Elabed\قبر العبد</v>
          </cell>
        </row>
        <row r="3490">
          <cell r="L3490" t="str">
            <v>SY080004</v>
          </cell>
          <cell r="M3490" t="str">
            <v>C4476</v>
          </cell>
          <cell r="N3490" t="str">
            <v>Rajm Eltafihi\رجم الطفيحي</v>
          </cell>
        </row>
        <row r="3491">
          <cell r="L3491" t="str">
            <v>SY080004</v>
          </cell>
          <cell r="M3491" t="str">
            <v>C4460</v>
          </cell>
          <cell r="N3491" t="str">
            <v>Said Bir Elhilu\سعيد بئر الحلو</v>
          </cell>
        </row>
        <row r="3492">
          <cell r="L3492" t="str">
            <v>SY080004</v>
          </cell>
          <cell r="M3492" t="str">
            <v>C4475</v>
          </cell>
          <cell r="N3492" t="str">
            <v>Sekman\السكمان</v>
          </cell>
        </row>
        <row r="3493">
          <cell r="L3493" t="str">
            <v>SY080004</v>
          </cell>
          <cell r="M3493" t="str">
            <v>C4473</v>
          </cell>
          <cell r="N3493" t="str">
            <v>Shokor\الشكر</v>
          </cell>
        </row>
        <row r="3494">
          <cell r="L3494" t="str">
            <v>SY080004</v>
          </cell>
          <cell r="M3494" t="str">
            <v>C4467</v>
          </cell>
          <cell r="N3494" t="str">
            <v>Sibat\السيباط</v>
          </cell>
        </row>
        <row r="3495">
          <cell r="L3495" t="str">
            <v>SY080004</v>
          </cell>
          <cell r="M3495" t="str">
            <v>C4477</v>
          </cell>
          <cell r="N3495" t="str">
            <v>Tal Brak\تل براك</v>
          </cell>
        </row>
        <row r="3496">
          <cell r="L3496" t="str">
            <v>SY080004</v>
          </cell>
          <cell r="M3496" t="str">
            <v>C4462</v>
          </cell>
          <cell r="N3496" t="str">
            <v>Tal Elabed\تل العبد</v>
          </cell>
        </row>
        <row r="3497">
          <cell r="L3497" t="str">
            <v>SY080004</v>
          </cell>
          <cell r="M3497" t="str">
            <v>C4461</v>
          </cell>
          <cell r="N3497" t="str">
            <v>Tal Elfaras\تل الفرس</v>
          </cell>
        </row>
        <row r="3498">
          <cell r="L3498" t="str">
            <v>SY080004</v>
          </cell>
          <cell r="M3498" t="str">
            <v>C4458</v>
          </cell>
          <cell r="N3498" t="str">
            <v>Tal Elsamen\تل السمن</v>
          </cell>
        </row>
        <row r="3499">
          <cell r="L3499" t="str">
            <v>SY080004</v>
          </cell>
          <cell r="M3499" t="str">
            <v>C4480</v>
          </cell>
          <cell r="N3499" t="str">
            <v>Tal Masti\تل مسطي</v>
          </cell>
        </row>
        <row r="3500">
          <cell r="L3500" t="str">
            <v>SY080004</v>
          </cell>
          <cell r="M3500" t="str">
            <v>C4486</v>
          </cell>
          <cell r="N3500" t="str">
            <v>Tal Shaaban\تل شعبان</v>
          </cell>
        </row>
        <row r="3501">
          <cell r="L3501" t="str">
            <v>SY080004</v>
          </cell>
          <cell r="M3501" t="str">
            <v>C4464</v>
          </cell>
          <cell r="N3501" t="str">
            <v>Um Eltawarij\أم الطواريج</v>
          </cell>
        </row>
        <row r="3502">
          <cell r="L3502" t="str">
            <v>SY080004</v>
          </cell>
          <cell r="M3502" t="str">
            <v>C4483</v>
          </cell>
          <cell r="N3502" t="str">
            <v>Um Hajra Qolo\أم حجرة قولو</v>
          </cell>
        </row>
        <row r="3503">
          <cell r="L3503" t="str">
            <v>SY080004</v>
          </cell>
          <cell r="M3503" t="str">
            <v>C4468</v>
          </cell>
          <cell r="N3503" t="str">
            <v>Upper Khweilid\خويلد فوقاني</v>
          </cell>
        </row>
        <row r="3504">
          <cell r="L3504" t="str">
            <v>SY080004</v>
          </cell>
          <cell r="M3504" t="str">
            <v>C4479</v>
          </cell>
          <cell r="N3504" t="str">
            <v>Western Gherban\سميحان غربي</v>
          </cell>
        </row>
        <row r="3505">
          <cell r="L3505" t="str">
            <v>SY080005</v>
          </cell>
          <cell r="M3505" t="str">
            <v>C4497</v>
          </cell>
          <cell r="N3505" t="str">
            <v>Areesheh\العريشة</v>
          </cell>
        </row>
        <row r="3506">
          <cell r="L3506" t="str">
            <v>SY080005</v>
          </cell>
          <cell r="M3506" t="str">
            <v>C4496</v>
          </cell>
          <cell r="N3506" t="str">
            <v>Gharb\الغرب</v>
          </cell>
        </row>
        <row r="3507">
          <cell r="L3507" t="str">
            <v>SY080005</v>
          </cell>
          <cell r="M3507" t="str">
            <v>C4495</v>
          </cell>
          <cell r="N3507" t="str">
            <v>Ghazalan\غزالان</v>
          </cell>
        </row>
        <row r="3508">
          <cell r="L3508" t="str">
            <v>SY080005</v>
          </cell>
          <cell r="M3508" t="str">
            <v>C4501</v>
          </cell>
          <cell r="N3508" t="str">
            <v>Hamadaniyeh\الحمدانية</v>
          </cell>
        </row>
        <row r="3509">
          <cell r="L3509" t="str">
            <v>SY080005</v>
          </cell>
          <cell r="M3509" t="str">
            <v>C4498</v>
          </cell>
          <cell r="N3509" t="str">
            <v>Hdadiyeh\الحدادية</v>
          </cell>
        </row>
        <row r="3510">
          <cell r="L3510" t="str">
            <v>SY080005</v>
          </cell>
          <cell r="M3510" t="str">
            <v>C4500</v>
          </cell>
          <cell r="N3510" t="str">
            <v>Hejiyeh\الحجية</v>
          </cell>
        </row>
        <row r="3511">
          <cell r="L3511" t="str">
            <v>SY080005</v>
          </cell>
          <cell r="M3511" t="str">
            <v>C4505</v>
          </cell>
          <cell r="N3511" t="str">
            <v>Manajid\مناجيد</v>
          </cell>
        </row>
        <row r="3512">
          <cell r="L3512" t="str">
            <v>SY080005</v>
          </cell>
          <cell r="M3512" t="str">
            <v>C4504</v>
          </cell>
          <cell r="N3512" t="str">
            <v>Metyaha\متياها</v>
          </cell>
        </row>
        <row r="3513">
          <cell r="L3513" t="str">
            <v>SY080005</v>
          </cell>
          <cell r="M3513" t="str">
            <v>C4503</v>
          </cell>
          <cell r="N3513" t="str">
            <v>Um Kheif\أم كهيف</v>
          </cell>
        </row>
        <row r="3514">
          <cell r="L3514" t="str">
            <v>SY080005</v>
          </cell>
          <cell r="M3514" t="str">
            <v>C4502</v>
          </cell>
          <cell r="N3514" t="str">
            <v>Um Madfaa\أم مدفع</v>
          </cell>
        </row>
        <row r="3515">
          <cell r="L3515" t="str">
            <v>SY080005</v>
          </cell>
          <cell r="M3515" t="str">
            <v>C4499</v>
          </cell>
          <cell r="N3515" t="str">
            <v>Zein Elmabraj\زين المبرج</v>
          </cell>
        </row>
        <row r="3516">
          <cell r="L3516" t="str">
            <v>SY080006</v>
          </cell>
          <cell r="M3516" t="str">
            <v>C4514</v>
          </cell>
          <cell r="N3516" t="str">
            <v>Abu Hjera Khawatneh\أبو حجيرة خواتنة</v>
          </cell>
        </row>
        <row r="3517">
          <cell r="L3517" t="str">
            <v>SY080006</v>
          </cell>
          <cell r="M3517" t="str">
            <v>C4512</v>
          </cell>
          <cell r="N3517" t="str">
            <v>Abu Wishwash\أبو وشاش</v>
          </cell>
        </row>
        <row r="3518">
          <cell r="L3518" t="str">
            <v>SY080006</v>
          </cell>
          <cell r="M3518" t="str">
            <v>C4518</v>
          </cell>
          <cell r="N3518" t="str">
            <v>Atshana\عطشانة</v>
          </cell>
        </row>
        <row r="3519">
          <cell r="L3519" t="str">
            <v>SY080006</v>
          </cell>
          <cell r="M3519" t="str">
            <v>C4520</v>
          </cell>
          <cell r="N3519" t="str">
            <v>Eastern Botha\بوثة شرقية</v>
          </cell>
        </row>
        <row r="3520">
          <cell r="L3520" t="str">
            <v>SY080006</v>
          </cell>
          <cell r="M3520" t="str">
            <v>C4507</v>
          </cell>
          <cell r="N3520" t="str">
            <v>Eastern Janabeh\جنبة شرقي</v>
          </cell>
        </row>
        <row r="3521">
          <cell r="L3521" t="str">
            <v>SY080006</v>
          </cell>
          <cell r="M3521" t="str">
            <v>C4509</v>
          </cell>
          <cell r="N3521" t="str">
            <v>Ghazala Elhole\غزالة الهول</v>
          </cell>
        </row>
        <row r="3522">
          <cell r="L3522" t="str">
            <v>SY080006</v>
          </cell>
          <cell r="M3522" t="str">
            <v>C4519</v>
          </cell>
          <cell r="N3522" t="str">
            <v>Hole\الهول</v>
          </cell>
        </row>
        <row r="3523">
          <cell r="L3523" t="str">
            <v>SY080006</v>
          </cell>
          <cell r="M3523" t="str">
            <v>C4506</v>
          </cell>
          <cell r="N3523" t="str">
            <v>Khan\الخان</v>
          </cell>
        </row>
        <row r="3524">
          <cell r="L3524" t="str">
            <v>SY080006</v>
          </cell>
          <cell r="M3524" t="str">
            <v>C4513</v>
          </cell>
          <cell r="N3524" t="str">
            <v>Khatuniya Bahra\خاتونية بحرة</v>
          </cell>
        </row>
        <row r="3525">
          <cell r="L3525" t="str">
            <v>SY080006</v>
          </cell>
          <cell r="M3525" t="str">
            <v>C4515</v>
          </cell>
          <cell r="N3525" t="str">
            <v>Khweitleh Hmud\خويتلة حمود</v>
          </cell>
        </row>
        <row r="3526">
          <cell r="L3526" t="str">
            <v>SY080006</v>
          </cell>
          <cell r="M3526" t="str">
            <v>C4508</v>
          </cell>
          <cell r="N3526" t="str">
            <v>Middle Janabeh\جنبه وسطى</v>
          </cell>
        </row>
        <row r="3527">
          <cell r="L3527" t="str">
            <v>SY080006</v>
          </cell>
          <cell r="M3527" t="str">
            <v>C4511</v>
          </cell>
          <cell r="N3527" t="str">
            <v>Motasarrefiyeh\المتصرفية</v>
          </cell>
        </row>
        <row r="3528">
          <cell r="L3528" t="str">
            <v>SY080006</v>
          </cell>
          <cell r="M3528" t="str">
            <v>C4517</v>
          </cell>
          <cell r="N3528" t="str">
            <v>Nafayel\النفايل</v>
          </cell>
        </row>
        <row r="3529">
          <cell r="L3529" t="str">
            <v>SY080006</v>
          </cell>
          <cell r="M3529" t="str">
            <v>C4521</v>
          </cell>
          <cell r="N3529" t="str">
            <v>Nazileh\نزيله</v>
          </cell>
        </row>
        <row r="3530">
          <cell r="L3530" t="str">
            <v>SY080006</v>
          </cell>
          <cell r="M3530" t="str">
            <v>C4523</v>
          </cell>
          <cell r="N3530" t="str">
            <v>Qattara\قطارة</v>
          </cell>
        </row>
        <row r="3531">
          <cell r="L3531" t="str">
            <v>SY080006</v>
          </cell>
          <cell r="M3531" t="str">
            <v>C4516</v>
          </cell>
          <cell r="N3531" t="str">
            <v>Shallala\شلالة</v>
          </cell>
        </row>
        <row r="3532">
          <cell r="L3532" t="str">
            <v>SY080006</v>
          </cell>
          <cell r="M3532" t="str">
            <v>C4510</v>
          </cell>
          <cell r="N3532" t="str">
            <v>Um Fakik\أم فكيك</v>
          </cell>
        </row>
        <row r="3533">
          <cell r="L3533" t="str">
            <v>SY080006</v>
          </cell>
          <cell r="M3533" t="str">
            <v>C4522</v>
          </cell>
          <cell r="N3533" t="str">
            <v>Western Mazraet Elhole\مزرعة الهول الغربية</v>
          </cell>
        </row>
        <row r="3534">
          <cell r="L3534" t="str">
            <v>SY080200</v>
          </cell>
          <cell r="M3534" t="str">
            <v>C4552</v>
          </cell>
          <cell r="N3534" t="str">
            <v>Abu Jala\أبو جلال</v>
          </cell>
        </row>
        <row r="3535">
          <cell r="L3535" t="str">
            <v>SY080200</v>
          </cell>
          <cell r="M3535" t="str">
            <v>C4543</v>
          </cell>
          <cell r="N3535" t="str">
            <v>Abu Rasin Qameshli\أبو راسين قامشلي</v>
          </cell>
        </row>
        <row r="3536">
          <cell r="L3536" t="str">
            <v>SY080200</v>
          </cell>
          <cell r="M3536" t="str">
            <v>C4542</v>
          </cell>
          <cell r="N3536" t="str">
            <v>Abu Thweil\أبو ذويل</v>
          </cell>
        </row>
        <row r="3537">
          <cell r="L3537" t="str">
            <v>SY080200</v>
          </cell>
          <cell r="M3537" t="str">
            <v>C4551</v>
          </cell>
          <cell r="N3537" t="str">
            <v>Akula Qameshli\عاكولة قامشلي</v>
          </cell>
        </row>
        <row r="3538">
          <cell r="L3538" t="str">
            <v>SY080200</v>
          </cell>
          <cell r="M3538" t="str">
            <v>C4572</v>
          </cell>
          <cell r="N3538" t="str">
            <v>Al-Qusayr\القصير</v>
          </cell>
        </row>
        <row r="3539">
          <cell r="L3539" t="str">
            <v>SY080200</v>
          </cell>
          <cell r="M3539" t="str">
            <v>C6366</v>
          </cell>
          <cell r="N3539" t="str">
            <v>Amer\عامر</v>
          </cell>
        </row>
        <row r="3540">
          <cell r="L3540" t="str">
            <v>SY080200</v>
          </cell>
          <cell r="M3540" t="str">
            <v>C4528</v>
          </cell>
          <cell r="N3540" t="str">
            <v>Ath-Thawrah\الثورة</v>
          </cell>
        </row>
        <row r="3541">
          <cell r="L3541" t="str">
            <v>SY080200</v>
          </cell>
          <cell r="M3541" t="str">
            <v>C4574</v>
          </cell>
          <cell r="N3541" t="str">
            <v>Big Bawe\باوع كبير</v>
          </cell>
        </row>
        <row r="3542">
          <cell r="L3542" t="str">
            <v>SY080200</v>
          </cell>
          <cell r="M3542" t="str">
            <v>C4544</v>
          </cell>
          <cell r="N3542" t="str">
            <v>Big Dalawiya\دلاوية كبيرة</v>
          </cell>
        </row>
        <row r="3543">
          <cell r="L3543" t="str">
            <v>SY080200</v>
          </cell>
          <cell r="M3543" t="str">
            <v>C4539</v>
          </cell>
          <cell r="N3543" t="str">
            <v>Big Dankhiyeh\دمخية كبيرة</v>
          </cell>
        </row>
        <row r="3544">
          <cell r="L3544" t="str">
            <v>SY080200</v>
          </cell>
          <cell r="M3544" t="str">
            <v>C4527</v>
          </cell>
          <cell r="N3544" t="str">
            <v>Big Sweidiyeh\سويدية كبيرة</v>
          </cell>
        </row>
        <row r="3545">
          <cell r="L3545" t="str">
            <v>SY080200</v>
          </cell>
          <cell r="M3545" t="str">
            <v>C4557</v>
          </cell>
          <cell r="N3545" t="str">
            <v>Buladiyeh\البولادية</v>
          </cell>
        </row>
        <row r="3546">
          <cell r="L3546" t="str">
            <v>SY080200</v>
          </cell>
          <cell r="M3546" t="str">
            <v>C4549</v>
          </cell>
          <cell r="N3546" t="str">
            <v>Dalali\دلالي</v>
          </cell>
        </row>
        <row r="3547">
          <cell r="L3547" t="str">
            <v>SY080200</v>
          </cell>
          <cell r="M3547" t="str">
            <v>C4530</v>
          </cell>
          <cell r="N3547" t="str">
            <v>Dudan\دودان</v>
          </cell>
        </row>
        <row r="3548">
          <cell r="L3548" t="str">
            <v>SY080200</v>
          </cell>
          <cell r="M3548" t="str">
            <v>C4583</v>
          </cell>
          <cell r="N3548" t="str">
            <v>Ghaybi\غيبي</v>
          </cell>
        </row>
        <row r="3549">
          <cell r="L3549" t="str">
            <v>SY080200</v>
          </cell>
          <cell r="M3549" t="str">
            <v>C4569</v>
          </cell>
          <cell r="N3549" t="str">
            <v>Hamu\حامـــو</v>
          </cell>
        </row>
        <row r="3550">
          <cell r="L3550" t="str">
            <v>SY080200</v>
          </cell>
          <cell r="M3550" t="str">
            <v>C4578</v>
          </cell>
          <cell r="N3550" t="str">
            <v>Haram Hassan\هرم حسن</v>
          </cell>
        </row>
        <row r="3551">
          <cell r="L3551" t="str">
            <v>SY080200</v>
          </cell>
          <cell r="M3551" t="str">
            <v>C4577</v>
          </cell>
          <cell r="N3551" t="str">
            <v>Haram Sheikho\هرم شيخو</v>
          </cell>
        </row>
        <row r="3552">
          <cell r="L3552" t="str">
            <v>SY080200</v>
          </cell>
          <cell r="M3552" t="str">
            <v>C4526</v>
          </cell>
          <cell r="N3552" t="str">
            <v>Hatemiyeh\الحاتمية</v>
          </cell>
        </row>
        <row r="3553">
          <cell r="L3553" t="str">
            <v>SY080200</v>
          </cell>
          <cell r="M3553" t="str">
            <v>C4582</v>
          </cell>
          <cell r="N3553" t="str">
            <v>Hayahi\هياهي</v>
          </cell>
        </row>
        <row r="3554">
          <cell r="L3554" t="str">
            <v>SY080200</v>
          </cell>
          <cell r="M3554" t="str">
            <v>C4554</v>
          </cell>
          <cell r="N3554" t="str">
            <v>Jaddue\جدوع</v>
          </cell>
        </row>
        <row r="3555">
          <cell r="L3555" t="str">
            <v>SY080200</v>
          </cell>
          <cell r="M3555" t="str">
            <v>C4566</v>
          </cell>
          <cell r="N3555" t="str">
            <v>Jermez\جرمز</v>
          </cell>
        </row>
        <row r="3556">
          <cell r="L3556" t="str">
            <v>SY080200</v>
          </cell>
          <cell r="M3556" t="str">
            <v>C4548</v>
          </cell>
          <cell r="N3556" t="str">
            <v>Jokha\جوخة</v>
          </cell>
        </row>
        <row r="3557">
          <cell r="L3557" t="str">
            <v>SY080200</v>
          </cell>
          <cell r="M3557" t="str">
            <v>C4567</v>
          </cell>
          <cell r="N3557" t="str">
            <v>Kherbet Amu \خربة عمو</v>
          </cell>
        </row>
        <row r="3558">
          <cell r="L3558" t="str">
            <v>SY080200</v>
          </cell>
          <cell r="M3558" t="str">
            <v>C4563</v>
          </cell>
          <cell r="N3558" t="str">
            <v>Kherbet Antar\خربة عنتر</v>
          </cell>
        </row>
        <row r="3559">
          <cell r="L3559" t="str">
            <v>SY080200</v>
          </cell>
          <cell r="M3559" t="str">
            <v>C4558</v>
          </cell>
          <cell r="N3559" t="str">
            <v>Kherbet Daher\خربة ضاهر</v>
          </cell>
        </row>
        <row r="3560">
          <cell r="L3560" t="str">
            <v>SY080200</v>
          </cell>
          <cell r="M3560" t="str">
            <v>C4535</v>
          </cell>
          <cell r="N3560" t="str">
            <v>Kherbet Elqdi\خربة القاضي</v>
          </cell>
        </row>
        <row r="3561">
          <cell r="L3561" t="str">
            <v>SY080200</v>
          </cell>
          <cell r="M3561" t="str">
            <v>C4545</v>
          </cell>
          <cell r="N3561" t="str">
            <v>Kherbet Tami\خربة تمو</v>
          </cell>
        </row>
        <row r="3562">
          <cell r="L3562" t="str">
            <v>SY080200</v>
          </cell>
          <cell r="M3562" t="str">
            <v>C4536</v>
          </cell>
          <cell r="N3562" t="str">
            <v>Kita\الكيطة</v>
          </cell>
        </row>
        <row r="3563">
          <cell r="L3563" t="str">
            <v>SY080200</v>
          </cell>
          <cell r="M3563" t="str">
            <v>C4529</v>
          </cell>
          <cell r="N3563" t="str">
            <v>Little Sweidiyeh\سويدية صغيرة</v>
          </cell>
        </row>
        <row r="3564">
          <cell r="L3564" t="str">
            <v>SY080200</v>
          </cell>
          <cell r="M3564" t="str">
            <v>C4579</v>
          </cell>
          <cell r="N3564" t="str">
            <v>Maryuza\مريوزة</v>
          </cell>
        </row>
        <row r="3565">
          <cell r="L3565" t="str">
            <v>SY080200</v>
          </cell>
          <cell r="M3565" t="str">
            <v>C4576</v>
          </cell>
          <cell r="N3565" t="str">
            <v>Mluk Sray\ملوك سراي</v>
          </cell>
        </row>
        <row r="3566">
          <cell r="L3566" t="str">
            <v>SY080200</v>
          </cell>
          <cell r="M3566" t="str">
            <v>C4581</v>
          </cell>
          <cell r="N3566" t="str">
            <v>Naqara\نقارة</v>
          </cell>
        </row>
        <row r="3567">
          <cell r="L3567" t="str">
            <v>SY080200</v>
          </cell>
          <cell r="M3567" t="str">
            <v>C4537</v>
          </cell>
          <cell r="N3567" t="str">
            <v>Nejem\النجم</v>
          </cell>
        </row>
        <row r="3568">
          <cell r="L3568" t="str">
            <v>SY080200</v>
          </cell>
          <cell r="M3568" t="str">
            <v>C4564</v>
          </cell>
          <cell r="N3568" t="str">
            <v>Quamishli\القامشلي</v>
          </cell>
        </row>
        <row r="3569">
          <cell r="L3569" t="str">
            <v>SY080200</v>
          </cell>
          <cell r="M3569" t="str">
            <v>C4532</v>
          </cell>
          <cell r="N3569" t="str">
            <v>Rashwaniyeh\الرشوانية</v>
          </cell>
        </row>
        <row r="3570">
          <cell r="L3570" t="str">
            <v>SY080200</v>
          </cell>
          <cell r="M3570" t="str">
            <v>C4565</v>
          </cell>
          <cell r="N3570" t="str">
            <v>Razaza\رزازة</v>
          </cell>
        </row>
        <row r="3571">
          <cell r="L3571" t="str">
            <v>SY080200</v>
          </cell>
          <cell r="M3571" t="str">
            <v>C4560</v>
          </cell>
          <cell r="N3571" t="str">
            <v>Rehiyeh\رحية</v>
          </cell>
        </row>
        <row r="3572">
          <cell r="L3572" t="str">
            <v>SY080200</v>
          </cell>
          <cell r="M3572" t="str">
            <v>C4553</v>
          </cell>
          <cell r="N3572" t="str">
            <v>Rejm\الرجم</v>
          </cell>
        </row>
        <row r="3573">
          <cell r="L3573" t="str">
            <v>SY080200</v>
          </cell>
          <cell r="M3573" t="str">
            <v>C4538</v>
          </cell>
          <cell r="N3573" t="str">
            <v>Rikabiyeh\الركابية</v>
          </cell>
        </row>
        <row r="3574">
          <cell r="L3574" t="str">
            <v>SY080200</v>
          </cell>
          <cell r="M3574" t="str">
            <v>C4570</v>
          </cell>
          <cell r="N3574" t="str">
            <v>Safieh Qameshli\صافية قامشلي</v>
          </cell>
        </row>
        <row r="3575">
          <cell r="L3575" t="str">
            <v>SY080200</v>
          </cell>
          <cell r="M3575" t="str">
            <v>C4541</v>
          </cell>
          <cell r="N3575" t="str">
            <v>Salhiyeh\صالحية</v>
          </cell>
        </row>
        <row r="3576">
          <cell r="L3576" t="str">
            <v>SY080200</v>
          </cell>
          <cell r="M3576" t="str">
            <v>C4525</v>
          </cell>
          <cell r="N3576" t="str">
            <v>Shamasiyeh\شماسية</v>
          </cell>
        </row>
        <row r="3577">
          <cell r="L3577" t="str">
            <v>SY080200</v>
          </cell>
          <cell r="M3577" t="str">
            <v>C4568</v>
          </cell>
          <cell r="N3577" t="str">
            <v>Shark\الشرك</v>
          </cell>
        </row>
        <row r="3578">
          <cell r="L3578" t="str">
            <v>SY080200</v>
          </cell>
          <cell r="M3578" t="str">
            <v>C4546</v>
          </cell>
          <cell r="N3578" t="str">
            <v>Takht Elshmasiyeh\تخت الشماسية</v>
          </cell>
        </row>
        <row r="3579">
          <cell r="L3579" t="str">
            <v>SY080200</v>
          </cell>
          <cell r="M3579" t="str">
            <v>C4561</v>
          </cell>
          <cell r="N3579" t="str">
            <v>Tal Eid\تل عيد</v>
          </cell>
        </row>
        <row r="3580">
          <cell r="L3580" t="str">
            <v>SY080200</v>
          </cell>
          <cell r="M3580" t="str">
            <v>C4531</v>
          </cell>
          <cell r="N3580" t="str">
            <v>Tal Elthahab Qameshli\تل الذهب قامشلي</v>
          </cell>
        </row>
        <row r="3581">
          <cell r="L3581" t="str">
            <v>SY080200</v>
          </cell>
          <cell r="M3581" t="str">
            <v>C4559</v>
          </cell>
          <cell r="N3581" t="str">
            <v>Tal Elthum\تل الثوم</v>
          </cell>
        </row>
        <row r="3582">
          <cell r="L3582" t="str">
            <v>SY080200</v>
          </cell>
          <cell r="M3582" t="str">
            <v>C4556</v>
          </cell>
          <cell r="N3582" t="str">
            <v>Tal Eltiben\تل التبن</v>
          </cell>
        </row>
        <row r="3583">
          <cell r="L3583" t="str">
            <v>SY080200</v>
          </cell>
          <cell r="M3583" t="str">
            <v>C4534</v>
          </cell>
          <cell r="N3583" t="str">
            <v>Tal Fares\تل فارس</v>
          </cell>
        </row>
        <row r="3584">
          <cell r="L3584" t="str">
            <v>SY080200</v>
          </cell>
          <cell r="M3584" t="str">
            <v>C4540</v>
          </cell>
          <cell r="N3584" t="str">
            <v>Tal Kif Anz\تل كيف عنز</v>
          </cell>
        </row>
        <row r="3585">
          <cell r="L3585" t="str">
            <v>SY080200</v>
          </cell>
          <cell r="M3585" t="str">
            <v>C4573</v>
          </cell>
          <cell r="N3585" t="str">
            <v>Tal Odeh Qamishli\تل عودة قامشلي</v>
          </cell>
        </row>
        <row r="3586">
          <cell r="L3586" t="str">
            <v>SY080200</v>
          </cell>
          <cell r="M3586" t="str">
            <v>C4550</v>
          </cell>
          <cell r="N3586" t="str">
            <v>Tal Sheer Qamishli\تل شعير قامشلي</v>
          </cell>
        </row>
        <row r="3587">
          <cell r="L3587" t="str">
            <v>SY080200</v>
          </cell>
          <cell r="M3587" t="str">
            <v>C4533</v>
          </cell>
          <cell r="N3587" t="str">
            <v>Tal Teir\تل طير</v>
          </cell>
        </row>
        <row r="3588">
          <cell r="L3588" t="str">
            <v>SY080200</v>
          </cell>
          <cell r="M3588" t="str">
            <v>C4555</v>
          </cell>
          <cell r="N3588" t="str">
            <v>Tartab\طرطب</v>
          </cell>
        </row>
        <row r="3589">
          <cell r="L3589" t="str">
            <v>SY080200</v>
          </cell>
          <cell r="M3589" t="str">
            <v>C4524</v>
          </cell>
          <cell r="N3589" t="str">
            <v>Tuffahiyeh\التفاحية</v>
          </cell>
        </row>
        <row r="3590">
          <cell r="L3590" t="str">
            <v>SY080200</v>
          </cell>
          <cell r="M3590" t="str">
            <v>C4575</v>
          </cell>
          <cell r="N3590" t="str">
            <v>Um Elfursan\أم الفرسان</v>
          </cell>
        </row>
        <row r="3591">
          <cell r="L3591" t="str">
            <v>SY080200</v>
          </cell>
          <cell r="M3591" t="str">
            <v>C4562</v>
          </cell>
          <cell r="N3591" t="str">
            <v>Upper Barku\بركو فوقاني</v>
          </cell>
        </row>
        <row r="3592">
          <cell r="L3592" t="str">
            <v>SY080200</v>
          </cell>
          <cell r="M3592" t="str">
            <v>C4547</v>
          </cell>
          <cell r="N3592" t="str">
            <v>Upper Big Um Jfar \أم جفار فوقاني كبير</v>
          </cell>
        </row>
        <row r="3593">
          <cell r="L3593" t="str">
            <v>SY080200</v>
          </cell>
          <cell r="M3593" t="str">
            <v>C4580</v>
          </cell>
          <cell r="N3593" t="str">
            <v>Wattutiyeh\وطوطية</v>
          </cell>
        </row>
        <row r="3594">
          <cell r="L3594" t="str">
            <v>SY080200</v>
          </cell>
          <cell r="M3594" t="str">
            <v>C4571</v>
          </cell>
          <cell r="N3594" t="str">
            <v>Western Tal Steeh\تل سطيح غربي</v>
          </cell>
        </row>
        <row r="3595">
          <cell r="L3595" t="str">
            <v>SY080201</v>
          </cell>
          <cell r="M3595" t="str">
            <v>C4622</v>
          </cell>
          <cell r="N3595" t="str">
            <v>Abu Khashab\أبو خشب</v>
          </cell>
        </row>
        <row r="3596">
          <cell r="L3596" t="str">
            <v>SY080201</v>
          </cell>
          <cell r="M3596" t="str">
            <v>C4617</v>
          </cell>
          <cell r="N3596" t="str">
            <v>Abu Khazaf\أبو خزف</v>
          </cell>
        </row>
        <row r="3597">
          <cell r="L3597" t="str">
            <v>SY080201</v>
          </cell>
          <cell r="M3597" t="str">
            <v>C4607</v>
          </cell>
          <cell r="N3597" t="str">
            <v>Abu Tweineh\أبو توينة</v>
          </cell>
        </row>
        <row r="3598">
          <cell r="L3598" t="str">
            <v>SY080201</v>
          </cell>
          <cell r="M3598" t="str">
            <v>C4663</v>
          </cell>
          <cell r="N3598" t="str">
            <v>Akula Tal Hmis\عاكولة تل حميس</v>
          </cell>
        </row>
        <row r="3599">
          <cell r="L3599" t="str">
            <v>SY080201</v>
          </cell>
          <cell r="M3599" t="str">
            <v>C4634</v>
          </cell>
          <cell r="N3599" t="str">
            <v>Amara Eltawil\عمارة الطويل</v>
          </cell>
        </row>
        <row r="3600">
          <cell r="L3600" t="str">
            <v>SY080201</v>
          </cell>
          <cell r="M3600" t="str">
            <v>C4649</v>
          </cell>
          <cell r="N3600" t="str">
            <v>Ashwan\عشوان</v>
          </cell>
        </row>
        <row r="3601">
          <cell r="L3601" t="str">
            <v>SY080201</v>
          </cell>
          <cell r="M3601" t="str">
            <v>C4642</v>
          </cell>
          <cell r="N3601" t="str">
            <v>Bardeh\الباردة</v>
          </cell>
        </row>
        <row r="3602">
          <cell r="L3602" t="str">
            <v>SY080201</v>
          </cell>
          <cell r="M3602" t="str">
            <v>C4621</v>
          </cell>
          <cell r="N3602" t="str">
            <v>Big Balqis\بلقيس كبيرة</v>
          </cell>
        </row>
        <row r="3603">
          <cell r="L3603" t="str">
            <v>SY080201</v>
          </cell>
          <cell r="M3603" t="str">
            <v>C4652</v>
          </cell>
          <cell r="N3603" t="str">
            <v>Big Hajiyeh\حاجية كبيرة</v>
          </cell>
        </row>
        <row r="3604">
          <cell r="L3604" t="str">
            <v>SY080201</v>
          </cell>
          <cell r="M3604" t="str">
            <v>C4655</v>
          </cell>
          <cell r="N3604" t="str">
            <v>Big Hanjur\حنوة كبيرة</v>
          </cell>
        </row>
        <row r="3605">
          <cell r="L3605" t="str">
            <v>SY080201</v>
          </cell>
          <cell r="M3605" t="str">
            <v>C4608</v>
          </cell>
          <cell r="N3605" t="str">
            <v>Big Lower Haswiyeh\حصوية تحتاني كبير</v>
          </cell>
        </row>
        <row r="3606">
          <cell r="L3606" t="str">
            <v>SY080201</v>
          </cell>
          <cell r="M3606" t="str">
            <v>C4660</v>
          </cell>
          <cell r="N3606" t="str">
            <v>Big Sharmukh\شرموخ كبير</v>
          </cell>
        </row>
        <row r="3607">
          <cell r="L3607" t="str">
            <v>SY080201</v>
          </cell>
          <cell r="M3607" t="str">
            <v>C4664</v>
          </cell>
          <cell r="N3607" t="str">
            <v>Bikaret Elhilaiya\بكارة الهلالية</v>
          </cell>
        </row>
        <row r="3608">
          <cell r="L3608" t="str">
            <v>SY080201</v>
          </cell>
          <cell r="M3608" t="str">
            <v>C4648</v>
          </cell>
          <cell r="N3608" t="str">
            <v>Damdam\دمدم</v>
          </cell>
        </row>
        <row r="3609">
          <cell r="L3609" t="str">
            <v>SY080201</v>
          </cell>
          <cell r="M3609" t="str">
            <v>C4675</v>
          </cell>
          <cell r="N3609" t="str">
            <v>Eastern Cordoba\قرطبة شرقية</v>
          </cell>
        </row>
        <row r="3610">
          <cell r="L3610" t="str">
            <v>SY080201</v>
          </cell>
          <cell r="M3610" t="str">
            <v>C4600</v>
          </cell>
          <cell r="N3610" t="str">
            <v>Eastern Granada\غرناطة شرقية</v>
          </cell>
        </row>
        <row r="3611">
          <cell r="L3611" t="str">
            <v>SY080201</v>
          </cell>
          <cell r="M3611" t="str">
            <v>C4653</v>
          </cell>
          <cell r="N3611" t="str">
            <v>Eastern Harset Elrad\حارسة الرد الشرقية</v>
          </cell>
        </row>
        <row r="3612">
          <cell r="L3612" t="str">
            <v>SY080201</v>
          </cell>
          <cell r="M3612" t="str">
            <v>C4674</v>
          </cell>
          <cell r="N3612" t="str">
            <v>Eastern Palestine\فلسطين الشرقية</v>
          </cell>
        </row>
        <row r="3613">
          <cell r="L3613" t="str">
            <v>SY080201</v>
          </cell>
          <cell r="M3613" t="str">
            <v>C4633</v>
          </cell>
          <cell r="N3613" t="str">
            <v>Eastern Tal Steeh\تل سطيح شرقي</v>
          </cell>
        </row>
        <row r="3614">
          <cell r="L3614" t="str">
            <v>SY080201</v>
          </cell>
          <cell r="M3614" t="str">
            <v>C4665</v>
          </cell>
          <cell r="N3614" t="str">
            <v>Eskandarun\اسكندرون</v>
          </cell>
        </row>
        <row r="3615">
          <cell r="L3615" t="str">
            <v>SY080201</v>
          </cell>
          <cell r="M3615" t="str">
            <v>C4669</v>
          </cell>
          <cell r="N3615" t="str">
            <v>Farfara Tal Hmis\فرفرة تل حميس</v>
          </cell>
        </row>
        <row r="3616">
          <cell r="L3616" t="str">
            <v>SY080201</v>
          </cell>
          <cell r="M3616" t="str">
            <v>C4613</v>
          </cell>
          <cell r="N3616" t="str">
            <v>Festat\الفسطاط</v>
          </cell>
        </row>
        <row r="3617">
          <cell r="L3617" t="str">
            <v>SY080201</v>
          </cell>
          <cell r="M3617" t="str">
            <v>C4610</v>
          </cell>
          <cell r="N3617" t="str">
            <v>Fokhariyeh\الفخارية</v>
          </cell>
        </row>
        <row r="3618">
          <cell r="L3618" t="str">
            <v>SY080201</v>
          </cell>
          <cell r="M3618" t="str">
            <v>C4615</v>
          </cell>
          <cell r="N3618" t="str">
            <v>Ghassan\غسان</v>
          </cell>
        </row>
        <row r="3619">
          <cell r="L3619" t="str">
            <v>SY080201</v>
          </cell>
          <cell r="M3619" t="str">
            <v>C4679</v>
          </cell>
          <cell r="N3619" t="str">
            <v>Hamdan\همدان</v>
          </cell>
        </row>
        <row r="3620">
          <cell r="L3620" t="str">
            <v>SY080201</v>
          </cell>
          <cell r="M3620" t="str">
            <v>C4602</v>
          </cell>
          <cell r="N3620" t="str">
            <v>Hdadiyeh Tal Hmeis\الحدادية تل حميس</v>
          </cell>
        </row>
        <row r="3621">
          <cell r="L3621" t="str">
            <v>SY080201</v>
          </cell>
          <cell r="M3621" t="str">
            <v>C4596</v>
          </cell>
          <cell r="N3621" t="str">
            <v>Hdeibiyeh\الحديبية</v>
          </cell>
        </row>
        <row r="3622">
          <cell r="L3622" t="str">
            <v>SY080201</v>
          </cell>
          <cell r="M3622" t="str">
            <v>C4641</v>
          </cell>
          <cell r="N3622" t="str">
            <v>Hseiniyeh Tal Hmeis\الحسينية تل حميس</v>
          </cell>
        </row>
        <row r="3623">
          <cell r="L3623" t="str">
            <v>SY080201</v>
          </cell>
          <cell r="M3623" t="str">
            <v>C4637</v>
          </cell>
          <cell r="N3623" t="str">
            <v>Jamiliya\الجميلية</v>
          </cell>
        </row>
        <row r="3624">
          <cell r="L3624" t="str">
            <v>SY080201</v>
          </cell>
          <cell r="M3624" t="str">
            <v>C4668</v>
          </cell>
          <cell r="N3624" t="str">
            <v>Kdeimiyat\كديميات</v>
          </cell>
        </row>
        <row r="3625">
          <cell r="L3625" t="str">
            <v>SY080201</v>
          </cell>
          <cell r="M3625" t="str">
            <v>C4614</v>
          </cell>
          <cell r="N3625" t="str">
            <v>Khansaa\الخنساء</v>
          </cell>
        </row>
        <row r="3626">
          <cell r="L3626" t="str">
            <v>SY080201</v>
          </cell>
          <cell r="M3626" t="str">
            <v>C4625</v>
          </cell>
          <cell r="N3626" t="str">
            <v>Kharab Askar\خراب عسكر</v>
          </cell>
        </row>
        <row r="3627">
          <cell r="L3627" t="str">
            <v>SY080201</v>
          </cell>
          <cell r="M3627" t="str">
            <v>C4590</v>
          </cell>
          <cell r="N3627" t="str">
            <v>Kharab Elmahar\خراب المهار</v>
          </cell>
        </row>
        <row r="3628">
          <cell r="L3628" t="str">
            <v>SY080201</v>
          </cell>
          <cell r="M3628" t="str">
            <v>C4593</v>
          </cell>
          <cell r="N3628" t="str">
            <v>Kharijet Tal Hmis\خريجة تل حميس</v>
          </cell>
        </row>
        <row r="3629">
          <cell r="L3629" t="str">
            <v>SY080201</v>
          </cell>
          <cell r="M3629" t="str">
            <v>C4646</v>
          </cell>
          <cell r="N3629" t="str">
            <v>Kharnubi Hisu\خرنوبي حسو</v>
          </cell>
        </row>
        <row r="3630">
          <cell r="L3630" t="str">
            <v>SY080201</v>
          </cell>
          <cell r="M3630" t="str">
            <v>C4661</v>
          </cell>
          <cell r="N3630" t="str">
            <v>Kharnubieh Nayef\خرنوبية نايف</v>
          </cell>
        </row>
        <row r="3631">
          <cell r="L3631" t="str">
            <v>SY080201</v>
          </cell>
          <cell r="M3631" t="str">
            <v>C4659</v>
          </cell>
          <cell r="N3631" t="str">
            <v>Khawla Elazwar\خولة الأزور</v>
          </cell>
        </row>
        <row r="3632">
          <cell r="L3632" t="str">
            <v>SY080201</v>
          </cell>
          <cell r="M3632" t="str">
            <v>C4589</v>
          </cell>
          <cell r="N3632" t="str">
            <v>Khazaa\خزاعة</v>
          </cell>
        </row>
        <row r="3633">
          <cell r="L3633" t="str">
            <v>SY080201</v>
          </cell>
          <cell r="M3633" t="str">
            <v>C4612</v>
          </cell>
          <cell r="N3633" t="str">
            <v>Kherbet Elahmir\خربة الأحيمر</v>
          </cell>
        </row>
        <row r="3634">
          <cell r="L3634" t="str">
            <v>SY080201</v>
          </cell>
          <cell r="M3634" t="str">
            <v>C4616</v>
          </cell>
          <cell r="N3634" t="str">
            <v>Kherbet Nura\خربة نورا</v>
          </cell>
        </row>
        <row r="3635">
          <cell r="L3635" t="str">
            <v>SY080201</v>
          </cell>
          <cell r="M3635" t="str">
            <v>C4629</v>
          </cell>
          <cell r="N3635" t="str">
            <v>Khweitleh Reidat\خويتلة رعيدات</v>
          </cell>
        </row>
        <row r="3636">
          <cell r="L3636" t="str">
            <v>SY080201</v>
          </cell>
          <cell r="M3636" t="str">
            <v>C4676</v>
          </cell>
          <cell r="N3636" t="str">
            <v>Kinana\كنانة</v>
          </cell>
        </row>
        <row r="3637">
          <cell r="L3637" t="str">
            <v>SY080201</v>
          </cell>
          <cell r="M3637" t="str">
            <v>C4619</v>
          </cell>
          <cell r="N3637" t="str">
            <v>Led Tal Hmis\اللد تل حميس</v>
          </cell>
        </row>
        <row r="3638">
          <cell r="L3638" t="str">
            <v>SY080201</v>
          </cell>
          <cell r="M3638" t="str">
            <v>C4631</v>
          </cell>
          <cell r="N3638" t="str">
            <v>Little Eastern Balqis\بلقيس صغيرة شرقية</v>
          </cell>
        </row>
        <row r="3639">
          <cell r="L3639" t="str">
            <v>SY080201</v>
          </cell>
          <cell r="M3639" t="str">
            <v>C4657</v>
          </cell>
          <cell r="N3639" t="str">
            <v>Little Hajiyeh \حاجية صغيرة</v>
          </cell>
        </row>
        <row r="3640">
          <cell r="L3640" t="str">
            <v>SY080201</v>
          </cell>
          <cell r="M3640" t="str">
            <v>C4662</v>
          </cell>
          <cell r="N3640" t="str">
            <v>Little Sharmukh\شرموخ صغير</v>
          </cell>
        </row>
        <row r="3641">
          <cell r="L3641" t="str">
            <v>SY080201</v>
          </cell>
          <cell r="M3641" t="str">
            <v>C4584</v>
          </cell>
          <cell r="N3641" t="str">
            <v>Little Tal Bustan\تل بستان صغير</v>
          </cell>
        </row>
        <row r="3642">
          <cell r="L3642" t="str">
            <v>SY080201</v>
          </cell>
          <cell r="M3642" t="str">
            <v>C4603</v>
          </cell>
          <cell r="N3642" t="str">
            <v>Little Upper Haswiyeh\حصوية فوقاني صغير</v>
          </cell>
        </row>
        <row r="3643">
          <cell r="L3643" t="str">
            <v>SY080201</v>
          </cell>
          <cell r="M3643" t="str">
            <v>C4588</v>
          </cell>
          <cell r="N3643" t="str">
            <v>Little Zorma\زوما الصغرى</v>
          </cell>
        </row>
        <row r="3644">
          <cell r="L3644" t="str">
            <v>SY080201</v>
          </cell>
          <cell r="M3644" t="str">
            <v>C4670</v>
          </cell>
          <cell r="N3644" t="str">
            <v>Madinet Rehiyeh\مدينة رحية</v>
          </cell>
        </row>
        <row r="3645">
          <cell r="L3645" t="str">
            <v>SY080201</v>
          </cell>
          <cell r="M3645" t="str">
            <v>C4667</v>
          </cell>
          <cell r="N3645" t="str">
            <v>Mathluthet Hamzeh\مثلوثة حمزة</v>
          </cell>
        </row>
        <row r="3646">
          <cell r="L3646" t="str">
            <v>SY080201</v>
          </cell>
          <cell r="M3646" t="str">
            <v>C4654</v>
          </cell>
          <cell r="N3646" t="str">
            <v>Middle Sharmukh\شرموخ وسطاني</v>
          </cell>
        </row>
        <row r="3647">
          <cell r="L3647" t="str">
            <v>SY080201</v>
          </cell>
          <cell r="M3647" t="str">
            <v>C4671</v>
          </cell>
          <cell r="N3647" t="str">
            <v>Mjerinat Mahal\مجيرينات محل</v>
          </cell>
        </row>
        <row r="3648">
          <cell r="L3648" t="str">
            <v>SY080201</v>
          </cell>
          <cell r="M3648" t="str">
            <v>C4681</v>
          </cell>
          <cell r="N3648" t="str">
            <v>Msheirfet Elhomor\مشيرفة الحمر</v>
          </cell>
        </row>
        <row r="3649">
          <cell r="L3649" t="str">
            <v>SY080201</v>
          </cell>
          <cell r="M3649" t="str">
            <v>C4672</v>
          </cell>
          <cell r="N3649" t="str">
            <v>Naem Elhyar\ناعم الهيار</v>
          </cell>
        </row>
        <row r="3650">
          <cell r="L3650" t="str">
            <v>SY080201</v>
          </cell>
          <cell r="M3650" t="str">
            <v>C4673</v>
          </cell>
          <cell r="N3650" t="str">
            <v>Nasibeh Elmazeniyeh\نسيبة المازنية</v>
          </cell>
        </row>
        <row r="3651">
          <cell r="L3651" t="str">
            <v>SY080201</v>
          </cell>
          <cell r="M3651" t="str">
            <v>C4595</v>
          </cell>
          <cell r="N3651" t="str">
            <v>Okath\عكاظ</v>
          </cell>
        </row>
        <row r="3652">
          <cell r="L3652" t="str">
            <v>SY080201</v>
          </cell>
          <cell r="M3652" t="str">
            <v>C4609</v>
          </cell>
          <cell r="N3652" t="str">
            <v>Qadessiyeh\القادسية</v>
          </cell>
        </row>
        <row r="3653">
          <cell r="L3653" t="str">
            <v>SY080201</v>
          </cell>
          <cell r="M3653" t="str">
            <v>C4678</v>
          </cell>
          <cell r="N3653" t="str">
            <v>Qayrawan Tal Hmis\قيروان تل حميس</v>
          </cell>
        </row>
        <row r="3654">
          <cell r="L3654" t="str">
            <v>SY080201</v>
          </cell>
          <cell r="M3654" t="str">
            <v>C4623</v>
          </cell>
          <cell r="N3654" t="str">
            <v>Rabeeah Tal Hmis\ربيعة تل حميس</v>
          </cell>
        </row>
        <row r="3655">
          <cell r="L3655" t="str">
            <v>SY080201</v>
          </cell>
          <cell r="M3655" t="str">
            <v>C4599</v>
          </cell>
          <cell r="N3655" t="str">
            <v>Rashidiyeh\الراشدية</v>
          </cell>
        </row>
        <row r="3656">
          <cell r="L3656" t="str">
            <v>SY080201</v>
          </cell>
          <cell r="M3656" t="str">
            <v>C4636</v>
          </cell>
          <cell r="N3656" t="str">
            <v>Rashidiyeh Tal Hmis\رشيدية تل حميس</v>
          </cell>
        </row>
        <row r="3657">
          <cell r="L3657" t="str">
            <v>SY080201</v>
          </cell>
          <cell r="M3657" t="str">
            <v>C4644</v>
          </cell>
          <cell r="N3657" t="str">
            <v>Rasm Eldrue\رسم الدروع</v>
          </cell>
        </row>
        <row r="3658">
          <cell r="L3658" t="str">
            <v>SY080201</v>
          </cell>
          <cell r="M3658" t="str">
            <v>C4638</v>
          </cell>
          <cell r="N3658" t="str">
            <v>Rehiyeh Madineh\رحية مدينة</v>
          </cell>
        </row>
        <row r="3659">
          <cell r="L3659" t="str">
            <v>SY080201</v>
          </cell>
          <cell r="M3659" t="str">
            <v>C4635</v>
          </cell>
          <cell r="N3659" t="str">
            <v>Rehiyeh Sawda\رحية السودا</v>
          </cell>
        </row>
        <row r="3660">
          <cell r="L3660" t="str">
            <v>SY080201</v>
          </cell>
          <cell r="M3660" t="str">
            <v>C4628</v>
          </cell>
          <cell r="N3660" t="str">
            <v>Sadiyeh\السعدية</v>
          </cell>
        </row>
        <row r="3661">
          <cell r="L3661" t="str">
            <v>SY080201</v>
          </cell>
          <cell r="M3661" t="str">
            <v>C4606</v>
          </cell>
          <cell r="N3661" t="str">
            <v>Safana W Akrasha\سفانة وعكرشة</v>
          </cell>
        </row>
        <row r="3662">
          <cell r="L3662" t="str">
            <v>SY080201</v>
          </cell>
          <cell r="M3662" t="str">
            <v>C4650</v>
          </cell>
          <cell r="N3662" t="str">
            <v>Salima\سليمى</v>
          </cell>
        </row>
        <row r="3663">
          <cell r="L3663" t="str">
            <v>SY080201</v>
          </cell>
          <cell r="M3663" t="str">
            <v>C4618</v>
          </cell>
          <cell r="N3663" t="str">
            <v>Shamdiniyeh\الشمدينية</v>
          </cell>
        </row>
        <row r="3664">
          <cell r="L3664" t="str">
            <v>SY080201</v>
          </cell>
          <cell r="M3664" t="str">
            <v>C4643</v>
          </cell>
          <cell r="N3664" t="str">
            <v>Shora\الشورى</v>
          </cell>
        </row>
        <row r="3665">
          <cell r="L3665" t="str">
            <v>SY080201</v>
          </cell>
          <cell r="M3665" t="str">
            <v>C4624</v>
          </cell>
          <cell r="N3665" t="str">
            <v>Skiriyeh\سكيرية</v>
          </cell>
        </row>
        <row r="3666">
          <cell r="L3666" t="str">
            <v>SY080201</v>
          </cell>
          <cell r="M3666" t="str">
            <v>C4647</v>
          </cell>
          <cell r="N3666" t="str">
            <v>Taef\الطائف</v>
          </cell>
        </row>
        <row r="3667">
          <cell r="L3667" t="str">
            <v>SY080201</v>
          </cell>
          <cell r="M3667" t="str">
            <v>C4594</v>
          </cell>
          <cell r="N3667" t="str">
            <v>Taghleb\تغلب</v>
          </cell>
        </row>
        <row r="3668">
          <cell r="L3668" t="str">
            <v>SY080201</v>
          </cell>
          <cell r="M3668" t="str">
            <v>C4611</v>
          </cell>
          <cell r="N3668" t="str">
            <v>Tal Ahmed\تل أحمد</v>
          </cell>
        </row>
        <row r="3669">
          <cell r="L3669" t="str">
            <v>SY080201</v>
          </cell>
          <cell r="M3669" t="str">
            <v>C4598</v>
          </cell>
          <cell r="N3669" t="str">
            <v>Tal Anbar\تل عنبر</v>
          </cell>
        </row>
        <row r="3670">
          <cell r="L3670" t="str">
            <v>SY080201</v>
          </cell>
          <cell r="M3670" t="str">
            <v>C4586</v>
          </cell>
          <cell r="N3670" t="str">
            <v>Tal Ehmeir\تل احيمر</v>
          </cell>
        </row>
        <row r="3671">
          <cell r="L3671" t="str">
            <v>SY080201</v>
          </cell>
          <cell r="M3671" t="str">
            <v>C4597</v>
          </cell>
          <cell r="N3671" t="str">
            <v>Tal Ghazal\تل غزال</v>
          </cell>
        </row>
        <row r="3672">
          <cell r="L3672" t="str">
            <v>SY080201</v>
          </cell>
          <cell r="M3672" t="str">
            <v>C4639</v>
          </cell>
          <cell r="N3672" t="str">
            <v>Tal Hmis\تل حميس</v>
          </cell>
        </row>
        <row r="3673">
          <cell r="L3673" t="str">
            <v>SY080201</v>
          </cell>
          <cell r="M3673" t="str">
            <v>C4585</v>
          </cell>
          <cell r="N3673" t="str">
            <v>Tal Iss\تل عيس</v>
          </cell>
        </row>
        <row r="3674">
          <cell r="L3674" t="str">
            <v>SY080201</v>
          </cell>
          <cell r="M3674" t="str">
            <v>C4632</v>
          </cell>
          <cell r="N3674" t="str">
            <v>Tal Maaruf\تل معروف</v>
          </cell>
        </row>
        <row r="3675">
          <cell r="L3675" t="str">
            <v>SY080201</v>
          </cell>
          <cell r="M3675" t="str">
            <v>C4640</v>
          </cell>
          <cell r="N3675" t="str">
            <v>Tal Maha\تل مها</v>
          </cell>
        </row>
        <row r="3676">
          <cell r="L3676" t="str">
            <v>SY080201</v>
          </cell>
          <cell r="M3676" t="str">
            <v>C4658</v>
          </cell>
          <cell r="N3676" t="str">
            <v>Tamim\تميم</v>
          </cell>
        </row>
        <row r="3677">
          <cell r="L3677" t="str">
            <v>SY080201</v>
          </cell>
          <cell r="M3677" t="str">
            <v>C4605</v>
          </cell>
          <cell r="N3677" t="str">
            <v>Tamna Elbariyeh\طامنة البرية</v>
          </cell>
        </row>
        <row r="3678">
          <cell r="L3678" t="str">
            <v>SY080201</v>
          </cell>
          <cell r="M3678" t="str">
            <v>C4601</v>
          </cell>
          <cell r="N3678" t="str">
            <v>Tarahiyeh - Sheikh Salem\طراحية_شيخ سالم</v>
          </cell>
        </row>
        <row r="3679">
          <cell r="L3679" t="str">
            <v>SY080201</v>
          </cell>
          <cell r="M3679" t="str">
            <v>C4591</v>
          </cell>
          <cell r="N3679" t="str">
            <v>Tawarij Elghaanah\طواريج الغرقانة</v>
          </cell>
        </row>
        <row r="3680">
          <cell r="L3680" t="str">
            <v>SY080201</v>
          </cell>
          <cell r="M3680" t="str">
            <v>C4645</v>
          </cell>
          <cell r="N3680" t="str">
            <v>Tharan\الظهران</v>
          </cell>
        </row>
        <row r="3681">
          <cell r="L3681" t="str">
            <v>SY080201</v>
          </cell>
          <cell r="M3681" t="str">
            <v>C4592</v>
          </cell>
          <cell r="N3681" t="str">
            <v>Tuffahiyeh Tal Hmis\تفاحية تل حميس</v>
          </cell>
        </row>
        <row r="3682">
          <cell r="L3682" t="str">
            <v>SY080201</v>
          </cell>
          <cell r="M3682" t="str">
            <v>C4630</v>
          </cell>
          <cell r="N3682" t="str">
            <v>Um Gadir\أم غدير</v>
          </cell>
        </row>
        <row r="3683">
          <cell r="L3683" t="str">
            <v>SY080201</v>
          </cell>
          <cell r="M3683" t="str">
            <v>C4666</v>
          </cell>
          <cell r="N3683" t="str">
            <v>Umaya\أمية</v>
          </cell>
        </row>
        <row r="3684">
          <cell r="L3684" t="str">
            <v>SY080201</v>
          </cell>
          <cell r="M3684" t="str">
            <v>C4680</v>
          </cell>
          <cell r="N3684" t="str">
            <v>Wael\وائل</v>
          </cell>
        </row>
        <row r="3685">
          <cell r="L3685" t="str">
            <v>SY080201</v>
          </cell>
          <cell r="M3685" t="str">
            <v>C4626</v>
          </cell>
          <cell r="N3685" t="str">
            <v>Wahabiyeh\الوهابية</v>
          </cell>
        </row>
        <row r="3686">
          <cell r="L3686" t="str">
            <v>SY080201</v>
          </cell>
          <cell r="M3686" t="str">
            <v>C4656</v>
          </cell>
          <cell r="N3686" t="str">
            <v>Western Harset Elrad\حارسة الرد الغربية</v>
          </cell>
        </row>
        <row r="3687">
          <cell r="L3687" t="str">
            <v>SY080201</v>
          </cell>
          <cell r="M3687" t="str">
            <v>C4627</v>
          </cell>
          <cell r="N3687" t="str">
            <v>Western Tuhama\تهامة غربية</v>
          </cell>
        </row>
        <row r="3688">
          <cell r="L3688" t="str">
            <v>SY080201</v>
          </cell>
          <cell r="M3688" t="str">
            <v>C4677</v>
          </cell>
          <cell r="N3688" t="str">
            <v>Yathreb\يثرب</v>
          </cell>
        </row>
        <row r="3689">
          <cell r="L3689" t="str">
            <v>SY080201</v>
          </cell>
          <cell r="M3689" t="str">
            <v>C4651</v>
          </cell>
          <cell r="N3689" t="str">
            <v>Zahraa\الزهراء</v>
          </cell>
        </row>
        <row r="3690">
          <cell r="L3690" t="str">
            <v>SY080201</v>
          </cell>
          <cell r="M3690" t="str">
            <v>C4604</v>
          </cell>
          <cell r="N3690" t="str">
            <v>Zarqaa\الزرقاء</v>
          </cell>
        </row>
        <row r="3691">
          <cell r="L3691" t="str">
            <v>SY080201</v>
          </cell>
          <cell r="M3691" t="str">
            <v>C4620</v>
          </cell>
          <cell r="N3691" t="str">
            <v>Zbaa\الزباء</v>
          </cell>
        </row>
        <row r="3692">
          <cell r="L3692" t="str">
            <v>SY080201</v>
          </cell>
          <cell r="M3692" t="str">
            <v>C4587</v>
          </cell>
          <cell r="N3692" t="str">
            <v>Zubayda\زبيدة</v>
          </cell>
        </row>
        <row r="3693">
          <cell r="L3693" t="str">
            <v>SY080202</v>
          </cell>
          <cell r="M3693" t="str">
            <v>C4687</v>
          </cell>
          <cell r="N3693" t="str">
            <v>Abu Khinjar\أبو خنجر</v>
          </cell>
        </row>
        <row r="3694">
          <cell r="L3694" t="str">
            <v>SY080202</v>
          </cell>
          <cell r="M3694" t="str">
            <v>C4701</v>
          </cell>
          <cell r="N3694" t="str">
            <v>Amara\عمارة</v>
          </cell>
        </row>
        <row r="3695">
          <cell r="L3695" t="str">
            <v>SY080202</v>
          </cell>
          <cell r="M3695" t="str">
            <v>C4688</v>
          </cell>
          <cell r="N3695" t="str">
            <v>Amuda\عامودا</v>
          </cell>
        </row>
        <row r="3696">
          <cell r="L3696" t="str">
            <v>SY080202</v>
          </cell>
          <cell r="M3696" t="str">
            <v>C4730</v>
          </cell>
          <cell r="N3696" t="str">
            <v>Bab Elkheir\باب الخير</v>
          </cell>
        </row>
        <row r="3697">
          <cell r="L3697" t="str">
            <v>SY080202</v>
          </cell>
          <cell r="M3697" t="str">
            <v>C4705</v>
          </cell>
          <cell r="N3697" t="str">
            <v>Bardeh\باردة</v>
          </cell>
        </row>
        <row r="3698">
          <cell r="L3698" t="str">
            <v>SY080202</v>
          </cell>
          <cell r="M3698" t="str">
            <v>C4703</v>
          </cell>
          <cell r="N3698" t="str">
            <v>Billet Bkara\بلة بكارة</v>
          </cell>
        </row>
        <row r="3699">
          <cell r="L3699" t="str">
            <v>SY080202</v>
          </cell>
          <cell r="M3699" t="str">
            <v>C4697</v>
          </cell>
          <cell r="N3699" t="str">
            <v>Dar\دار</v>
          </cell>
        </row>
        <row r="3700">
          <cell r="L3700" t="str">
            <v>SY080202</v>
          </cell>
          <cell r="M3700" t="str">
            <v>C4728</v>
          </cell>
          <cell r="N3700" t="str">
            <v>Deir Mary\دير ماري</v>
          </cell>
        </row>
        <row r="3701">
          <cell r="L3701" t="str">
            <v>SY080202</v>
          </cell>
          <cell r="M3701" t="str">
            <v>C4712</v>
          </cell>
          <cell r="N3701" t="str">
            <v>Dikiyeh\ديكية</v>
          </cell>
        </row>
        <row r="3702">
          <cell r="L3702" t="str">
            <v>SY080202</v>
          </cell>
          <cell r="M3702" t="str">
            <v>C4690</v>
          </cell>
          <cell r="N3702" t="str">
            <v>Fares\الفارس</v>
          </cell>
        </row>
        <row r="3703">
          <cell r="L3703" t="str">
            <v>SY080202</v>
          </cell>
          <cell r="M3703" t="str">
            <v>C4735</v>
          </cell>
          <cell r="N3703" t="str">
            <v>Fokhar\فخار</v>
          </cell>
        </row>
        <row r="3704">
          <cell r="L3704" t="str">
            <v>SY080202</v>
          </cell>
          <cell r="M3704" t="str">
            <v>C4691</v>
          </cell>
          <cell r="N3704" t="str">
            <v>Haj Bakari\حاج بكاري</v>
          </cell>
        </row>
        <row r="3705">
          <cell r="L3705" t="str">
            <v>SY080202</v>
          </cell>
          <cell r="M3705" t="str">
            <v>C4682</v>
          </cell>
          <cell r="N3705" t="str">
            <v>Haj Naser\حاج ناصر</v>
          </cell>
        </row>
        <row r="3706">
          <cell r="L3706" t="str">
            <v>SY080202</v>
          </cell>
          <cell r="M3706" t="str">
            <v>C4692</v>
          </cell>
          <cell r="N3706" t="str">
            <v>Hallaba\الحلابة</v>
          </cell>
        </row>
        <row r="3707">
          <cell r="L3707" t="str">
            <v>SY080202</v>
          </cell>
          <cell r="M3707" t="str">
            <v>C4685</v>
          </cell>
          <cell r="N3707" t="str">
            <v>Hasba\الحصبة</v>
          </cell>
        </row>
        <row r="3708">
          <cell r="L3708" t="str">
            <v>SY080202</v>
          </cell>
          <cell r="M3708" t="str">
            <v>C4689</v>
          </cell>
          <cell r="N3708" t="str">
            <v>Hettin Amuda\حطين عامودا</v>
          </cell>
        </row>
        <row r="3709">
          <cell r="L3709" t="str">
            <v>SY080202</v>
          </cell>
          <cell r="M3709" t="str">
            <v>C4729</v>
          </cell>
          <cell r="N3709" t="str">
            <v>Jaberiyeh Amudeh\الجابرية عاموده</v>
          </cell>
        </row>
        <row r="3710">
          <cell r="L3710" t="str">
            <v>SY080202</v>
          </cell>
          <cell r="M3710" t="str">
            <v>C4719</v>
          </cell>
          <cell r="N3710" t="str">
            <v>Jalaq\جلق</v>
          </cell>
        </row>
        <row r="3711">
          <cell r="L3711" t="str">
            <v>SY080202</v>
          </cell>
          <cell r="M3711" t="str">
            <v>C4683</v>
          </cell>
          <cell r="N3711" t="str">
            <v>Jorhariyeh\جوهرية</v>
          </cell>
        </row>
        <row r="3712">
          <cell r="L3712" t="str">
            <v>SY080202</v>
          </cell>
          <cell r="M3712" t="str">
            <v>C4710</v>
          </cell>
          <cell r="N3712" t="str">
            <v>Karawan\الكروان</v>
          </cell>
        </row>
        <row r="3713">
          <cell r="L3713" t="str">
            <v>SY080202</v>
          </cell>
          <cell r="M3713" t="str">
            <v>C4714</v>
          </cell>
          <cell r="N3713" t="str">
            <v>Khaled\خالد</v>
          </cell>
        </row>
        <row r="3714">
          <cell r="L3714" t="str">
            <v>SY080202</v>
          </cell>
          <cell r="M3714" t="str">
            <v>C4725</v>
          </cell>
          <cell r="N3714" t="str">
            <v>Kherbet Elsawda\خربة السودة</v>
          </cell>
        </row>
        <row r="3715">
          <cell r="L3715" t="str">
            <v>SY080202</v>
          </cell>
          <cell r="M3715" t="str">
            <v>C4715</v>
          </cell>
          <cell r="N3715" t="str">
            <v>Kherbet Sheib Amuda\خربة شعيب عامودا</v>
          </cell>
        </row>
        <row r="3716">
          <cell r="L3716" t="str">
            <v>SY080202</v>
          </cell>
          <cell r="M3716" t="str">
            <v>C4720</v>
          </cell>
          <cell r="N3716" t="str">
            <v>Khorzeh\خرزة</v>
          </cell>
        </row>
        <row r="3717">
          <cell r="L3717" t="str">
            <v>SY080202</v>
          </cell>
          <cell r="M3717" t="str">
            <v>C4740</v>
          </cell>
          <cell r="N3717" t="str">
            <v>Kinda\كنده</v>
          </cell>
        </row>
        <row r="3718">
          <cell r="L3718" t="str">
            <v>SY080202</v>
          </cell>
          <cell r="M3718" t="str">
            <v>C4737</v>
          </cell>
          <cell r="N3718" t="str">
            <v>Koub\كعوب</v>
          </cell>
        </row>
        <row r="3719">
          <cell r="L3719" t="str">
            <v>SY080202</v>
          </cell>
          <cell r="M3719" t="str">
            <v>C4702</v>
          </cell>
          <cell r="N3719" t="str">
            <v>Lower Bustan\بستان تحتاني</v>
          </cell>
        </row>
        <row r="3720">
          <cell r="L3720" t="str">
            <v>SY080202</v>
          </cell>
          <cell r="M3720" t="str">
            <v>C4698</v>
          </cell>
          <cell r="N3720" t="str">
            <v>Lower Hasda\حاصدة تحتاني</v>
          </cell>
        </row>
        <row r="3721">
          <cell r="L3721" t="str">
            <v>SY080202</v>
          </cell>
          <cell r="M3721" t="str">
            <v>C4696</v>
          </cell>
          <cell r="N3721" t="str">
            <v>Lower Tal Arus\تل عروس تحتاني</v>
          </cell>
        </row>
        <row r="3722">
          <cell r="L3722" t="str">
            <v>SY080202</v>
          </cell>
          <cell r="M3722" t="str">
            <v>C4708</v>
          </cell>
          <cell r="N3722" t="str">
            <v>Lower Um Elosud\أم الأسود تحتاني</v>
          </cell>
        </row>
        <row r="3723">
          <cell r="L3723" t="str">
            <v>SY080202</v>
          </cell>
          <cell r="M3723" t="str">
            <v>C4731</v>
          </cell>
          <cell r="N3723" t="str">
            <v>Markab\مركب</v>
          </cell>
        </row>
        <row r="3724">
          <cell r="L3724" t="str">
            <v>SY080202</v>
          </cell>
          <cell r="M3724" t="str">
            <v>C4734</v>
          </cell>
          <cell r="N3724" t="str">
            <v>Mashad\مشهد</v>
          </cell>
        </row>
        <row r="3725">
          <cell r="L3725" t="str">
            <v>SY080202</v>
          </cell>
          <cell r="M3725" t="str">
            <v>C4733</v>
          </cell>
          <cell r="N3725" t="str">
            <v>Mustafa\مصطفى</v>
          </cell>
        </row>
        <row r="3726">
          <cell r="L3726" t="str">
            <v>SY080202</v>
          </cell>
          <cell r="M3726" t="str">
            <v>C4741</v>
          </cell>
          <cell r="N3726" t="str">
            <v>Nif\نيف</v>
          </cell>
        </row>
        <row r="3727">
          <cell r="L3727" t="str">
            <v>SY080202</v>
          </cell>
          <cell r="M3727" t="str">
            <v>C4732</v>
          </cell>
          <cell r="N3727" t="str">
            <v>Qaber Ali\قبر علي</v>
          </cell>
        </row>
        <row r="3728">
          <cell r="L3728" t="str">
            <v>SY080202</v>
          </cell>
          <cell r="M3728" t="str">
            <v>C4736</v>
          </cell>
          <cell r="N3728" t="str">
            <v>Qadah\قدح</v>
          </cell>
        </row>
        <row r="3729">
          <cell r="L3729" t="str">
            <v>SY080202</v>
          </cell>
          <cell r="M3729" t="str">
            <v>C4739</v>
          </cell>
          <cell r="N3729" t="str">
            <v>Qayrawan Amuda\قيروان عامودا</v>
          </cell>
        </row>
        <row r="3730">
          <cell r="L3730" t="str">
            <v>SY080202</v>
          </cell>
          <cell r="M3730" t="str">
            <v>C4738</v>
          </cell>
          <cell r="N3730" t="str">
            <v>Qleiah\قليعة</v>
          </cell>
        </row>
        <row r="3731">
          <cell r="L3731" t="str">
            <v>SY080202</v>
          </cell>
          <cell r="M3731" t="str">
            <v>C4724</v>
          </cell>
          <cell r="N3731" t="str">
            <v>Raya Qabli\راية قبلي</v>
          </cell>
        </row>
        <row r="3732">
          <cell r="L3732" t="str">
            <v>SY080202</v>
          </cell>
          <cell r="M3732" t="str">
            <v>C4721</v>
          </cell>
          <cell r="N3732" t="str">
            <v>Rayat Elkhalil\راية خليل</v>
          </cell>
        </row>
        <row r="3733">
          <cell r="L3733" t="str">
            <v>SY080202</v>
          </cell>
          <cell r="M3733" t="str">
            <v>C4726</v>
          </cell>
          <cell r="N3733" t="str">
            <v>Rihaniyet Amuda\ريحانية عامودا</v>
          </cell>
        </row>
        <row r="3734">
          <cell r="L3734" t="str">
            <v>SY080202</v>
          </cell>
          <cell r="M3734" t="str">
            <v>C4718</v>
          </cell>
          <cell r="N3734" t="str">
            <v>Sabahiyeh\صباحية</v>
          </cell>
        </row>
        <row r="3735">
          <cell r="L3735" t="str">
            <v>SY080202</v>
          </cell>
          <cell r="M3735" t="str">
            <v>C4707</v>
          </cell>
          <cell r="N3735" t="str">
            <v>Sardaq\سرادق</v>
          </cell>
        </row>
        <row r="3736">
          <cell r="L3736" t="str">
            <v>SY080202</v>
          </cell>
          <cell r="M3736" t="str">
            <v>C4711</v>
          </cell>
          <cell r="N3736" t="str">
            <v>Sfira Amuda\صفيرة عاموده</v>
          </cell>
        </row>
        <row r="3737">
          <cell r="L3737" t="str">
            <v>SY080202</v>
          </cell>
          <cell r="M3737" t="str">
            <v>C4727</v>
          </cell>
          <cell r="N3737" t="str">
            <v>Shajra\شجرة</v>
          </cell>
        </row>
        <row r="3738">
          <cell r="L3738" t="str">
            <v>SY080202</v>
          </cell>
          <cell r="M3738" t="str">
            <v>C4706</v>
          </cell>
          <cell r="N3738" t="str">
            <v>Tal Ahmar\تل أحمر</v>
          </cell>
        </row>
        <row r="3739">
          <cell r="L3739" t="str">
            <v>SY080202</v>
          </cell>
          <cell r="M3739" t="str">
            <v>C4695</v>
          </cell>
          <cell r="N3739" t="str">
            <v>Tal Arbid\تل عربيد</v>
          </cell>
        </row>
        <row r="3740">
          <cell r="L3740" t="str">
            <v>SY080202</v>
          </cell>
          <cell r="M3740" t="str">
            <v>C4704</v>
          </cell>
          <cell r="N3740" t="str">
            <v>Tal Aswad Amudeh\تل أسود عاموده</v>
          </cell>
        </row>
        <row r="3741">
          <cell r="L3741" t="str">
            <v>SY080202</v>
          </cell>
          <cell r="M3741" t="str">
            <v>C4700</v>
          </cell>
          <cell r="N3741" t="str">
            <v>Tal Eshq\تل عشق</v>
          </cell>
        </row>
        <row r="3742">
          <cell r="L3742" t="str">
            <v>SY080202</v>
          </cell>
          <cell r="M3742" t="str">
            <v>C4693</v>
          </cell>
          <cell r="N3742" t="str">
            <v>Tal Habash\تل حبش</v>
          </cell>
        </row>
        <row r="3743">
          <cell r="L3743" t="str">
            <v>SY080202</v>
          </cell>
          <cell r="M3743" t="str">
            <v>C4686</v>
          </cell>
          <cell r="N3743" t="str">
            <v>Tal Khaled\تل خالد</v>
          </cell>
        </row>
        <row r="3744">
          <cell r="L3744" t="str">
            <v>SY080202</v>
          </cell>
          <cell r="M3744" t="str">
            <v>C4684</v>
          </cell>
          <cell r="N3744" t="str">
            <v>Tal Khanzir\تل خنزير</v>
          </cell>
        </row>
        <row r="3745">
          <cell r="L3745" t="str">
            <v>SY080202</v>
          </cell>
          <cell r="M3745" t="str">
            <v>C4699</v>
          </cell>
          <cell r="N3745" t="str">
            <v>Talil\تليل</v>
          </cell>
        </row>
        <row r="3746">
          <cell r="L3746" t="str">
            <v>SY080202</v>
          </cell>
          <cell r="M3746" t="str">
            <v>C4694</v>
          </cell>
          <cell r="N3746" t="str">
            <v>Tor Elyas\طور الياس</v>
          </cell>
        </row>
        <row r="3747">
          <cell r="L3747" t="str">
            <v>SY080202</v>
          </cell>
          <cell r="M3747" t="str">
            <v>C4716</v>
          </cell>
          <cell r="N3747" t="str">
            <v>Um Enab\ام العنب</v>
          </cell>
        </row>
        <row r="3748">
          <cell r="L3748" t="str">
            <v>SY080202</v>
          </cell>
          <cell r="M3748" t="str">
            <v>C4717</v>
          </cell>
          <cell r="N3748" t="str">
            <v>Um Rabee\ام الربيع</v>
          </cell>
        </row>
        <row r="3749">
          <cell r="L3749" t="str">
            <v>SY080202</v>
          </cell>
          <cell r="M3749" t="str">
            <v>C4713</v>
          </cell>
          <cell r="N3749" t="str">
            <v>Upper Bustan\بستان فوقاني</v>
          </cell>
        </row>
        <row r="3750">
          <cell r="L3750" t="str">
            <v>SY080202</v>
          </cell>
          <cell r="M3750" t="str">
            <v>C4709</v>
          </cell>
          <cell r="N3750" t="str">
            <v>Upper Kherbet Ghazal  \خربة غزال فوقاني</v>
          </cell>
        </row>
        <row r="3751">
          <cell r="L3751" t="str">
            <v>SY080202</v>
          </cell>
          <cell r="M3751" t="str">
            <v>C4723</v>
          </cell>
          <cell r="N3751" t="str">
            <v>Wardiyeh Amudeh\الوردية عاموده</v>
          </cell>
        </row>
        <row r="3752">
          <cell r="L3752" t="str">
            <v>SY080202</v>
          </cell>
          <cell r="M3752" t="str">
            <v>C4722</v>
          </cell>
          <cell r="N3752" t="str">
            <v>Western Raya\راية غربي</v>
          </cell>
        </row>
        <row r="3753">
          <cell r="L3753" t="str">
            <v>SY080203</v>
          </cell>
          <cell r="M3753" t="str">
            <v>C4784</v>
          </cell>
          <cell r="N3753" t="str">
            <v>Abtak Upper Hreith\ابطخ فوقاني حريث</v>
          </cell>
        </row>
        <row r="3754">
          <cell r="L3754" t="str">
            <v>SY080203</v>
          </cell>
          <cell r="M3754" t="str">
            <v>C4767</v>
          </cell>
          <cell r="N3754" t="str">
            <v>Abteik \الابيطخ</v>
          </cell>
        </row>
        <row r="3755">
          <cell r="L3755" t="str">
            <v>SY080203</v>
          </cell>
          <cell r="M3755" t="str">
            <v>C4754</v>
          </cell>
          <cell r="N3755" t="str">
            <v>Abu Ghadir\أبو غدير</v>
          </cell>
        </row>
        <row r="3756">
          <cell r="L3756" t="str">
            <v>SY080203</v>
          </cell>
          <cell r="M3756" t="str">
            <v>C4772</v>
          </cell>
          <cell r="N3756" t="str">
            <v>Alsayed Ali\السيد_كندك سيد</v>
          </cell>
        </row>
        <row r="3757">
          <cell r="L3757" t="str">
            <v>SY080203</v>
          </cell>
          <cell r="M3757" t="str">
            <v>C4785</v>
          </cell>
          <cell r="N3757" t="str">
            <v>Balij\بليج</v>
          </cell>
        </row>
        <row r="3758">
          <cell r="L3758" t="str">
            <v>SY080203</v>
          </cell>
          <cell r="M3758" t="str">
            <v>C4756</v>
          </cell>
          <cell r="N3758" t="str">
            <v>Bayandur\بياندور</v>
          </cell>
        </row>
        <row r="3759">
          <cell r="L3759" t="str">
            <v>SY080203</v>
          </cell>
          <cell r="M3759" t="str">
            <v>C4763</v>
          </cell>
          <cell r="N3759" t="str">
            <v>Big Bayaza\بيازة كبيرة</v>
          </cell>
        </row>
        <row r="3760">
          <cell r="L3760" t="str">
            <v>SY080203</v>
          </cell>
          <cell r="M3760" t="str">
            <v>C4745</v>
          </cell>
          <cell r="N3760" t="str">
            <v>Big Khazneh\خزنة كبيرة</v>
          </cell>
        </row>
        <row r="3761">
          <cell r="L3761" t="str">
            <v>SY080203</v>
          </cell>
          <cell r="M3761" t="str">
            <v>C4796</v>
          </cell>
          <cell r="N3761" t="str">
            <v>Big Lilan\ليلان كبير</v>
          </cell>
        </row>
        <row r="3762">
          <cell r="L3762" t="str">
            <v>SY080203</v>
          </cell>
          <cell r="M3762" t="str">
            <v>C4789</v>
          </cell>
          <cell r="N3762" t="str">
            <v>Bsheiriyeh Qahtaniya\البشيرية قحطانية</v>
          </cell>
        </row>
        <row r="3763">
          <cell r="L3763" t="str">
            <v>SY080203</v>
          </cell>
          <cell r="M3763" t="str">
            <v>C4743</v>
          </cell>
          <cell r="N3763" t="str">
            <v>Bweir Qahtaniya\البوير قحطانية</v>
          </cell>
        </row>
        <row r="3764">
          <cell r="L3764" t="str">
            <v>SY080203</v>
          </cell>
          <cell r="M3764" t="str">
            <v>C4744</v>
          </cell>
          <cell r="N3764" t="str">
            <v>Eheimer\الاحيمر</v>
          </cell>
        </row>
        <row r="3765">
          <cell r="L3765" t="str">
            <v>SY080203</v>
          </cell>
          <cell r="M3765" t="str">
            <v>C4779</v>
          </cell>
          <cell r="N3765" t="str">
            <v>Hbeis\حبيس</v>
          </cell>
        </row>
        <row r="3766">
          <cell r="L3766" t="str">
            <v>SY080203</v>
          </cell>
          <cell r="M3766" t="str">
            <v>C4768</v>
          </cell>
          <cell r="N3766" t="str">
            <v>Hilweh\حلوة</v>
          </cell>
        </row>
        <row r="3767">
          <cell r="L3767" t="str">
            <v>SY080203</v>
          </cell>
          <cell r="M3767" t="str">
            <v>C4755</v>
          </cell>
          <cell r="N3767" t="str">
            <v>Karimeh\الكريمة</v>
          </cell>
        </row>
        <row r="3768">
          <cell r="L3768" t="str">
            <v>SY080203</v>
          </cell>
          <cell r="M3768" t="str">
            <v>C4758</v>
          </cell>
          <cell r="N3768" t="str">
            <v>Kharab Elabed\خراب العبد</v>
          </cell>
        </row>
        <row r="3769">
          <cell r="L3769" t="str">
            <v>SY080203</v>
          </cell>
          <cell r="M3769" t="str">
            <v>C4783</v>
          </cell>
          <cell r="N3769" t="str">
            <v>Kherbet Elteir Qahtaniyeh\خربة الطير قحطانية</v>
          </cell>
        </row>
        <row r="3770">
          <cell r="L3770" t="str">
            <v>SY080203</v>
          </cell>
          <cell r="M3770" t="str">
            <v>C4747</v>
          </cell>
          <cell r="N3770" t="str">
            <v>Kherbet Elthibeh Qahtaiyeh\خربة الذيبة قحطانية</v>
          </cell>
        </row>
        <row r="3771">
          <cell r="L3771" t="str">
            <v>SY080203</v>
          </cell>
          <cell r="M3771" t="str">
            <v>C4749</v>
          </cell>
          <cell r="N3771" t="str">
            <v>Kherbet Khalil\خربة خليل</v>
          </cell>
        </row>
        <row r="3772">
          <cell r="L3772" t="str">
            <v>SY080203</v>
          </cell>
          <cell r="M3772" t="str">
            <v>C4752</v>
          </cell>
          <cell r="N3772" t="str">
            <v>Kherbet Thyabiyeh\خربة ذيابية</v>
          </cell>
        </row>
        <row r="3773">
          <cell r="L3773" t="str">
            <v>SY080203</v>
          </cell>
          <cell r="M3773" t="str">
            <v>C4748</v>
          </cell>
          <cell r="N3773" t="str">
            <v>Khweitleh Eljawaleh\خويتلة الجوالة</v>
          </cell>
        </row>
        <row r="3774">
          <cell r="L3774" t="str">
            <v>SY080203</v>
          </cell>
          <cell r="M3774" t="str">
            <v>C4762</v>
          </cell>
          <cell r="N3774" t="str">
            <v>Little Bayaza\بيازة صغيرة</v>
          </cell>
        </row>
        <row r="3775">
          <cell r="L3775" t="str">
            <v>SY080203</v>
          </cell>
          <cell r="M3775" t="str">
            <v>C4776</v>
          </cell>
          <cell r="N3775" t="str">
            <v>Lower Ghariqa\غريقة تحتاني</v>
          </cell>
        </row>
        <row r="3776">
          <cell r="L3776" t="str">
            <v>SY080203</v>
          </cell>
          <cell r="M3776" t="str">
            <v>C4766</v>
          </cell>
          <cell r="N3776" t="str">
            <v>Lower Khweitleh\خويتلة السفلي</v>
          </cell>
        </row>
        <row r="3777">
          <cell r="L3777" t="str">
            <v>SY080203</v>
          </cell>
          <cell r="M3777" t="str">
            <v>C4773</v>
          </cell>
          <cell r="N3777" t="str">
            <v>Lower New Siha\سيحة جديدة تحتاني</v>
          </cell>
        </row>
        <row r="3778">
          <cell r="L3778" t="str">
            <v>SY080203</v>
          </cell>
          <cell r="M3778" t="str">
            <v>C4799</v>
          </cell>
          <cell r="N3778" t="str">
            <v>Lower Qutba\قطبة تحتاني</v>
          </cell>
        </row>
        <row r="3779">
          <cell r="L3779" t="str">
            <v>SY080203</v>
          </cell>
          <cell r="M3779" t="str">
            <v>C4793</v>
          </cell>
          <cell r="N3779" t="str">
            <v>Lower Western Araja\العرجة غربية تحتاني</v>
          </cell>
        </row>
        <row r="3780">
          <cell r="L3780" t="str">
            <v>SY080203</v>
          </cell>
          <cell r="M3780" t="str">
            <v>C4794</v>
          </cell>
          <cell r="N3780" t="str">
            <v>Mahrakan\محركان</v>
          </cell>
        </row>
        <row r="3781">
          <cell r="L3781" t="str">
            <v>SY080203</v>
          </cell>
          <cell r="M3781" t="str">
            <v>C4798</v>
          </cell>
          <cell r="N3781" t="str">
            <v>Malabas\ملاعباس</v>
          </cell>
        </row>
        <row r="3782">
          <cell r="L3782" t="str">
            <v>SY080203</v>
          </cell>
          <cell r="M3782" t="str">
            <v>C4780</v>
          </cell>
          <cell r="N3782" t="str">
            <v>Manathra\المناذرة</v>
          </cell>
        </row>
        <row r="3783">
          <cell r="L3783" t="str">
            <v>SY080203</v>
          </cell>
          <cell r="M3783" t="str">
            <v>C4769</v>
          </cell>
          <cell r="N3783" t="str">
            <v>Mandub\المندوب</v>
          </cell>
        </row>
        <row r="3784">
          <cell r="L3784" t="str">
            <v>SY080203</v>
          </cell>
          <cell r="M3784" t="str">
            <v>C4797</v>
          </cell>
          <cell r="N3784" t="str">
            <v>Morjana\مرجانة</v>
          </cell>
        </row>
        <row r="3785">
          <cell r="L3785" t="str">
            <v>SY080203</v>
          </cell>
          <cell r="M3785" t="str">
            <v>C4800</v>
          </cell>
          <cell r="N3785" t="str">
            <v>Msheirfeh Qahtaniyeh\مشيرفة قحطانية</v>
          </cell>
        </row>
        <row r="3786">
          <cell r="L3786" t="str">
            <v>SY080203</v>
          </cell>
          <cell r="M3786" t="str">
            <v>C4801</v>
          </cell>
          <cell r="N3786" t="str">
            <v>Nabbuah\نبوعة</v>
          </cell>
        </row>
        <row r="3787">
          <cell r="L3787" t="str">
            <v>SY080203</v>
          </cell>
          <cell r="M3787" t="str">
            <v>C4751</v>
          </cell>
          <cell r="N3787" t="str">
            <v>Qahtaniyyeh\القحطانية</v>
          </cell>
        </row>
        <row r="3788">
          <cell r="L3788" t="str">
            <v>SY080203</v>
          </cell>
          <cell r="M3788" t="str">
            <v>C4795</v>
          </cell>
          <cell r="N3788" t="str">
            <v>Qutba\قطبة</v>
          </cell>
        </row>
        <row r="3789">
          <cell r="L3789" t="str">
            <v>SY080203</v>
          </cell>
          <cell r="M3789" t="str">
            <v>C4770</v>
          </cell>
          <cell r="N3789" t="str">
            <v>Rotan\روتان</v>
          </cell>
        </row>
        <row r="3790">
          <cell r="L3790" t="str">
            <v>SY080203</v>
          </cell>
          <cell r="M3790" t="str">
            <v>C4790</v>
          </cell>
          <cell r="N3790" t="str">
            <v>Safieh Qahtaniyeh\صافية قحطانية</v>
          </cell>
        </row>
        <row r="3791">
          <cell r="L3791" t="str">
            <v>SY080203</v>
          </cell>
          <cell r="M3791" t="str">
            <v>C4781</v>
          </cell>
          <cell r="N3791" t="str">
            <v>Shalhumiyeh\الشلهومية</v>
          </cell>
        </row>
        <row r="3792">
          <cell r="L3792" t="str">
            <v>SY080203</v>
          </cell>
          <cell r="M3792" t="str">
            <v>C4775</v>
          </cell>
          <cell r="N3792" t="str">
            <v>Shil\سحيل</v>
          </cell>
        </row>
        <row r="3793">
          <cell r="L3793" t="str">
            <v>SY080203</v>
          </cell>
          <cell r="M3793" t="str">
            <v>C4746</v>
          </cell>
          <cell r="N3793" t="str">
            <v>Sofiyeh\صوفية</v>
          </cell>
        </row>
        <row r="3794">
          <cell r="L3794" t="str">
            <v>SY080203</v>
          </cell>
          <cell r="M3794" t="str">
            <v>C4760</v>
          </cell>
          <cell r="N3794" t="str">
            <v>Suqiyeh\سوقية</v>
          </cell>
        </row>
        <row r="3795">
          <cell r="L3795" t="str">
            <v>SY080203</v>
          </cell>
          <cell r="M3795" t="str">
            <v>C4791</v>
          </cell>
          <cell r="N3795" t="str">
            <v>Tal Barham\تل برهم</v>
          </cell>
        </row>
        <row r="3796">
          <cell r="L3796" t="str">
            <v>SY080203</v>
          </cell>
          <cell r="M3796" t="str">
            <v>C4792</v>
          </cell>
          <cell r="N3796" t="str">
            <v>Tal Brie - Krie Brie\تل بري_كري بري</v>
          </cell>
        </row>
        <row r="3797">
          <cell r="L3797" t="str">
            <v>SY080203</v>
          </cell>
          <cell r="M3797" t="str">
            <v>C4757</v>
          </cell>
          <cell r="N3797" t="str">
            <v>Tal Elsayed\تل السيد</v>
          </cell>
        </row>
        <row r="3798">
          <cell r="L3798" t="str">
            <v>SY080203</v>
          </cell>
          <cell r="M3798" t="str">
            <v>C4765</v>
          </cell>
          <cell r="N3798" t="str">
            <v>Tal Jihad\تل جهاد</v>
          </cell>
        </row>
        <row r="3799">
          <cell r="L3799" t="str">
            <v>SY080203</v>
          </cell>
          <cell r="M3799" t="str">
            <v>C4778</v>
          </cell>
          <cell r="N3799" t="str">
            <v>Tal Kharnub\تل خرنوب</v>
          </cell>
        </row>
        <row r="3800">
          <cell r="L3800" t="str">
            <v>SY080203</v>
          </cell>
          <cell r="M3800" t="str">
            <v>C4782</v>
          </cell>
          <cell r="N3800" t="str">
            <v>Tal Khatun Qahtaniya\تل خاتون قحطانية</v>
          </cell>
        </row>
        <row r="3801">
          <cell r="L3801" t="str">
            <v>SY080203</v>
          </cell>
          <cell r="M3801" t="str">
            <v>C4788</v>
          </cell>
          <cell r="N3801" t="str">
            <v>Tal Odeh Qahtaniya\تل عودة قحطانية</v>
          </cell>
        </row>
        <row r="3802">
          <cell r="L3802" t="str">
            <v>SY080203</v>
          </cell>
          <cell r="M3802" t="str">
            <v>C4777</v>
          </cell>
          <cell r="N3802" t="str">
            <v>Tal Sheer Qahtaniyeh\تل شعير قحطانية</v>
          </cell>
        </row>
        <row r="3803">
          <cell r="L3803" t="str">
            <v>SY080203</v>
          </cell>
          <cell r="M3803" t="str">
            <v>C4742</v>
          </cell>
          <cell r="N3803" t="str">
            <v>Tal Srat\تل صراة</v>
          </cell>
        </row>
        <row r="3804">
          <cell r="L3804" t="str">
            <v>SY080203</v>
          </cell>
          <cell r="M3804" t="str">
            <v>C4759</v>
          </cell>
          <cell r="N3804" t="str">
            <v>Tal Ziwan\تل زيوان</v>
          </cell>
        </row>
        <row r="3805">
          <cell r="L3805" t="str">
            <v>SY080203</v>
          </cell>
          <cell r="M3805" t="str">
            <v>C4753</v>
          </cell>
          <cell r="N3805" t="str">
            <v>Tanuriyeh\التنورية</v>
          </cell>
        </row>
        <row r="3806">
          <cell r="L3806" t="str">
            <v>SY080203</v>
          </cell>
          <cell r="M3806" t="str">
            <v>C4771</v>
          </cell>
          <cell r="N3806" t="str">
            <v>Tawil\طويل</v>
          </cell>
        </row>
        <row r="3807">
          <cell r="L3807" t="str">
            <v>SY080203</v>
          </cell>
          <cell r="M3807" t="str">
            <v>C4761</v>
          </cell>
          <cell r="N3807" t="str">
            <v>Um Jfar\أم جفار</v>
          </cell>
        </row>
        <row r="3808">
          <cell r="L3808" t="str">
            <v>SY080203</v>
          </cell>
          <cell r="M3808" t="str">
            <v>C4764</v>
          </cell>
          <cell r="N3808" t="str">
            <v>Um Krein\أم كرين</v>
          </cell>
        </row>
        <row r="3809">
          <cell r="L3809" t="str">
            <v>SY080203</v>
          </cell>
          <cell r="M3809" t="str">
            <v>C4774</v>
          </cell>
          <cell r="N3809" t="str">
            <v>Upper Ghariqa\غريقة فوقاني</v>
          </cell>
        </row>
        <row r="3810">
          <cell r="L3810" t="str">
            <v>SY080203</v>
          </cell>
          <cell r="M3810" t="str">
            <v>C4787</v>
          </cell>
          <cell r="N3810" t="str">
            <v>Upper Siha\سيحة فوقـاني</v>
          </cell>
        </row>
        <row r="3811">
          <cell r="L3811" t="str">
            <v>SY080203</v>
          </cell>
          <cell r="M3811" t="str">
            <v>C4750</v>
          </cell>
          <cell r="N3811" t="str">
            <v>Waara\الوعرة</v>
          </cell>
        </row>
        <row r="3812">
          <cell r="L3812" t="str">
            <v>SY080203</v>
          </cell>
          <cell r="M3812" t="str">
            <v>C4786</v>
          </cell>
          <cell r="N3812" t="str">
            <v>Zorfafa\زورافــــا</v>
          </cell>
        </row>
        <row r="3813">
          <cell r="L3813" t="str">
            <v>SY080300</v>
          </cell>
          <cell r="M3813" t="str">
            <v>C4847</v>
          </cell>
          <cell r="N3813" t="str">
            <v>Abu Qeir\أبو قير</v>
          </cell>
        </row>
        <row r="3814">
          <cell r="L3814" t="str">
            <v>SY080300</v>
          </cell>
          <cell r="M3814" t="str">
            <v>C4830</v>
          </cell>
          <cell r="N3814" t="str">
            <v>Akka\عكا</v>
          </cell>
        </row>
        <row r="3815">
          <cell r="L3815" t="str">
            <v>SY080300</v>
          </cell>
          <cell r="M3815" t="str">
            <v>C4881</v>
          </cell>
          <cell r="N3815" t="str">
            <v>Al-Malikeyyeh\المالكية</v>
          </cell>
        </row>
        <row r="3816">
          <cell r="L3816" t="str">
            <v>SY080300</v>
          </cell>
          <cell r="M3816" t="str">
            <v>C4884</v>
          </cell>
          <cell r="N3816" t="str">
            <v>Bab Elhawa\باب الهوا</v>
          </cell>
        </row>
        <row r="3817">
          <cell r="L3817" t="str">
            <v>SY080300</v>
          </cell>
          <cell r="M3817" t="str">
            <v>C4804</v>
          </cell>
          <cell r="N3817" t="str">
            <v>Batra\البتراء</v>
          </cell>
        </row>
        <row r="3818">
          <cell r="L3818" t="str">
            <v>SY080300</v>
          </cell>
          <cell r="M3818" t="str">
            <v>C4802</v>
          </cell>
          <cell r="N3818" t="str">
            <v>Beit Hannun\بيت حنون</v>
          </cell>
        </row>
        <row r="3819">
          <cell r="L3819" t="str">
            <v>SY080300</v>
          </cell>
          <cell r="M3819" t="str">
            <v>C4894</v>
          </cell>
          <cell r="N3819" t="str">
            <v>Big Mala Marz\ملا مرز كبير</v>
          </cell>
        </row>
        <row r="3820">
          <cell r="L3820" t="str">
            <v>SY080300</v>
          </cell>
          <cell r="M3820" t="str">
            <v>C4811</v>
          </cell>
          <cell r="N3820" t="str">
            <v>Bostan\البستان</v>
          </cell>
        </row>
        <row r="3821">
          <cell r="L3821" t="str">
            <v>SY080300</v>
          </cell>
          <cell r="M3821" t="str">
            <v>C4857</v>
          </cell>
          <cell r="N3821" t="str">
            <v>Deir Dijla\دير دجلة</v>
          </cell>
        </row>
        <row r="3822">
          <cell r="L3822" t="str">
            <v>SY080300</v>
          </cell>
          <cell r="M3822" t="str">
            <v>C4855</v>
          </cell>
          <cell r="N3822" t="str">
            <v>Deir Yassin\دير ياسين</v>
          </cell>
        </row>
        <row r="3823">
          <cell r="L3823" t="str">
            <v>SY080300</v>
          </cell>
          <cell r="M3823" t="str">
            <v>C4834</v>
          </cell>
          <cell r="N3823" t="str">
            <v>Eastern Sweidiyeh\سويدية شرقية</v>
          </cell>
        </row>
        <row r="3824">
          <cell r="L3824" t="str">
            <v>SY080300</v>
          </cell>
          <cell r="M3824" t="str">
            <v>C4888</v>
          </cell>
          <cell r="N3824" t="str">
            <v>Ein Diwar\عين ديوار</v>
          </cell>
        </row>
        <row r="3825">
          <cell r="L3825" t="str">
            <v>SY080300</v>
          </cell>
          <cell r="M3825" t="str">
            <v>C4864</v>
          </cell>
          <cell r="N3825" t="str">
            <v>Ein Elkhadra\عين الخضراء</v>
          </cell>
        </row>
        <row r="3826">
          <cell r="L3826" t="str">
            <v>SY080300</v>
          </cell>
          <cell r="M3826" t="str">
            <v>C4883</v>
          </cell>
          <cell r="N3826" t="str">
            <v>Esmailiyeh\الاسماعيلية</v>
          </cell>
        </row>
        <row r="3827">
          <cell r="L3827" t="str">
            <v>SY080300</v>
          </cell>
          <cell r="M3827" t="str">
            <v>C4843</v>
          </cell>
          <cell r="N3827" t="str">
            <v>Fardos\الفردوس</v>
          </cell>
        </row>
        <row r="3828">
          <cell r="L3828" t="str">
            <v>SY080300</v>
          </cell>
          <cell r="M3828" t="str">
            <v>C4861</v>
          </cell>
          <cell r="N3828" t="str">
            <v>Fidaa\الفداء</v>
          </cell>
        </row>
        <row r="3829">
          <cell r="L3829" t="str">
            <v>SY080300</v>
          </cell>
          <cell r="M3829" t="str">
            <v>C4876</v>
          </cell>
          <cell r="N3829" t="str">
            <v>First Tal Elthahab Malkiyeh\تل الذهب الأولى مالكية</v>
          </cell>
        </row>
        <row r="3830">
          <cell r="L3830" t="str">
            <v>SY080300</v>
          </cell>
          <cell r="M3830" t="str">
            <v>C4859</v>
          </cell>
          <cell r="N3830" t="str">
            <v>Ghassaniyeh\الغسانية</v>
          </cell>
        </row>
        <row r="3831">
          <cell r="L3831" t="str">
            <v>SY080300</v>
          </cell>
          <cell r="M3831" t="str">
            <v>C4839</v>
          </cell>
          <cell r="N3831" t="str">
            <v>Haifa Elmalkiyeh\حيفا المالكية</v>
          </cell>
        </row>
        <row r="3832">
          <cell r="L3832" t="str">
            <v>SY080300</v>
          </cell>
          <cell r="M3832" t="str">
            <v>C4820</v>
          </cell>
          <cell r="N3832" t="str">
            <v>Hallaq\حــلاق</v>
          </cell>
        </row>
        <row r="3833">
          <cell r="L3833" t="str">
            <v>SY080300</v>
          </cell>
          <cell r="M3833" t="str">
            <v>C4805</v>
          </cell>
          <cell r="N3833" t="str">
            <v>Hama\الهامة</v>
          </cell>
        </row>
        <row r="3834">
          <cell r="L3834" t="str">
            <v>SY080300</v>
          </cell>
          <cell r="M3834" t="str">
            <v>C4819</v>
          </cell>
          <cell r="N3834" t="str">
            <v>Hamam\الحمام</v>
          </cell>
        </row>
        <row r="3835">
          <cell r="L3835" t="str">
            <v>SY080300</v>
          </cell>
          <cell r="M3835" t="str">
            <v>C4890</v>
          </cell>
          <cell r="N3835" t="str">
            <v>Hassaniyeh\الحسانية</v>
          </cell>
        </row>
        <row r="3836">
          <cell r="L3836" t="str">
            <v>SY080300</v>
          </cell>
          <cell r="M3836" t="str">
            <v>C4832</v>
          </cell>
          <cell r="N3836" t="str">
            <v>Hikmiyeh\الحكمية</v>
          </cell>
        </row>
        <row r="3837">
          <cell r="L3837" t="str">
            <v>SY080300</v>
          </cell>
          <cell r="M3837" t="str">
            <v>C4862</v>
          </cell>
          <cell r="N3837" t="str">
            <v>Hinnawiyeh\حناوية</v>
          </cell>
        </row>
        <row r="3838">
          <cell r="L3838" t="str">
            <v>SY080300</v>
          </cell>
          <cell r="M3838" t="str">
            <v>C4873</v>
          </cell>
          <cell r="N3838" t="str">
            <v>Hiyaka\حياكة</v>
          </cell>
        </row>
        <row r="3839">
          <cell r="L3839" t="str">
            <v>SY080300</v>
          </cell>
          <cell r="M3839" t="str">
            <v>C4899</v>
          </cell>
          <cell r="N3839" t="str">
            <v>Hozon Castle \قلعة الحصن</v>
          </cell>
        </row>
        <row r="3840">
          <cell r="L3840" t="str">
            <v>SY080300</v>
          </cell>
          <cell r="M3840" t="str">
            <v>C4837</v>
          </cell>
          <cell r="N3840" t="str">
            <v>Jisr\الجسر</v>
          </cell>
        </row>
        <row r="3841">
          <cell r="L3841" t="str">
            <v>SY080300</v>
          </cell>
          <cell r="M3841" t="str">
            <v>C4897</v>
          </cell>
          <cell r="N3841" t="str">
            <v>Karbela\كربلاء</v>
          </cell>
        </row>
        <row r="3842">
          <cell r="L3842" t="str">
            <v>SY080300</v>
          </cell>
          <cell r="M3842" t="str">
            <v>C4817</v>
          </cell>
          <cell r="N3842" t="str">
            <v>Khan Eljabal\خان الجبل</v>
          </cell>
        </row>
        <row r="3843">
          <cell r="L3843" t="str">
            <v>SY080300</v>
          </cell>
          <cell r="M3843" t="str">
            <v>C4823</v>
          </cell>
          <cell r="N3843" t="str">
            <v>Kharab Abu Ghaleb\خراب أبو غالب</v>
          </cell>
        </row>
        <row r="3844">
          <cell r="L3844" t="str">
            <v>SY080300</v>
          </cell>
          <cell r="M3844" t="str">
            <v>C4879</v>
          </cell>
          <cell r="N3844" t="str">
            <v>Kharab Bonyan\خراب بنيان</v>
          </cell>
        </row>
        <row r="3845">
          <cell r="L3845" t="str">
            <v>SY080300</v>
          </cell>
          <cell r="M3845" t="str">
            <v>C4806</v>
          </cell>
          <cell r="N3845" t="str">
            <v>Kherbet Abbas\خربة عباس</v>
          </cell>
        </row>
        <row r="3846">
          <cell r="L3846" t="str">
            <v>SY080300</v>
          </cell>
          <cell r="M3846" t="str">
            <v>C4870</v>
          </cell>
          <cell r="N3846" t="str">
            <v>Kherbet Adnan\خربة عدنان</v>
          </cell>
        </row>
        <row r="3847">
          <cell r="L3847" t="str">
            <v>SY080300</v>
          </cell>
          <cell r="M3847" t="str">
            <v>C4853</v>
          </cell>
          <cell r="N3847" t="str">
            <v>Kisweh\الكسوة</v>
          </cell>
        </row>
        <row r="3848">
          <cell r="L3848" t="str">
            <v>SY080300</v>
          </cell>
          <cell r="M3848" t="str">
            <v>C4885</v>
          </cell>
          <cell r="N3848" t="str">
            <v>Kofeh\الكوفة</v>
          </cell>
        </row>
        <row r="3849">
          <cell r="L3849" t="str">
            <v>SY080300</v>
          </cell>
          <cell r="M3849" t="str">
            <v>C4842</v>
          </cell>
          <cell r="N3849" t="str">
            <v>Lower Arar\عرعور تحتاني</v>
          </cell>
        </row>
        <row r="3850">
          <cell r="L3850" t="str">
            <v>SY080300</v>
          </cell>
          <cell r="M3850" t="str">
            <v>C4833</v>
          </cell>
          <cell r="N3850" t="str">
            <v>Lower Rmeilan\رميلان تحتاني</v>
          </cell>
        </row>
        <row r="3851">
          <cell r="L3851" t="str">
            <v>SY080300</v>
          </cell>
          <cell r="M3851" t="str">
            <v>C4835</v>
          </cell>
          <cell r="N3851" t="str">
            <v>Lower Sweidiyeh\سويدية تحتاني</v>
          </cell>
        </row>
        <row r="3852">
          <cell r="L3852" t="str">
            <v>SY080300</v>
          </cell>
          <cell r="M3852" t="str">
            <v>C4809</v>
          </cell>
          <cell r="N3852" t="str">
            <v>Lower Tal Khanzir\تل خنزير تحتاني</v>
          </cell>
        </row>
        <row r="3853">
          <cell r="L3853" t="str">
            <v>SY080300</v>
          </cell>
          <cell r="M3853" t="str">
            <v>C4841</v>
          </cell>
          <cell r="N3853" t="str">
            <v>Maabada\المعبدة</v>
          </cell>
        </row>
        <row r="3854">
          <cell r="L3854" t="str">
            <v>SY080300</v>
          </cell>
          <cell r="M3854" t="str">
            <v>C4816</v>
          </cell>
          <cell r="N3854" t="str">
            <v>Mamduha\الممدوحة</v>
          </cell>
        </row>
        <row r="3855">
          <cell r="L3855" t="str">
            <v>SY080300</v>
          </cell>
          <cell r="M3855" t="str">
            <v>C4824</v>
          </cell>
          <cell r="N3855" t="str">
            <v>Mansura\المنصورة</v>
          </cell>
        </row>
        <row r="3856">
          <cell r="L3856" t="str">
            <v>SY080300</v>
          </cell>
          <cell r="M3856" t="str">
            <v>C4891</v>
          </cell>
          <cell r="N3856" t="str">
            <v>Marj Elakhdar\مرج الأخضر</v>
          </cell>
        </row>
        <row r="3857">
          <cell r="L3857" t="str">
            <v>SY080300</v>
          </cell>
          <cell r="M3857" t="str">
            <v>C4827</v>
          </cell>
          <cell r="N3857" t="str">
            <v>Marja\المرجـــة</v>
          </cell>
        </row>
        <row r="3858">
          <cell r="L3858" t="str">
            <v>SY080300</v>
          </cell>
          <cell r="M3858" t="str">
            <v>C4898</v>
          </cell>
          <cell r="N3858" t="str">
            <v>Mazraet Eljamus\مزرعة الجاموس</v>
          </cell>
        </row>
        <row r="3859">
          <cell r="L3859" t="str">
            <v>SY080300</v>
          </cell>
          <cell r="M3859" t="str">
            <v>C4895</v>
          </cell>
          <cell r="N3859" t="str">
            <v>Mazraet Msallam\مزرعة مسلم</v>
          </cell>
        </row>
        <row r="3860">
          <cell r="L3860" t="str">
            <v>SY080300</v>
          </cell>
          <cell r="M3860" t="str">
            <v>C4803</v>
          </cell>
          <cell r="N3860" t="str">
            <v>Mreijat\المريجات</v>
          </cell>
        </row>
        <row r="3861">
          <cell r="L3861" t="str">
            <v>SY080300</v>
          </cell>
          <cell r="M3861" t="str">
            <v>C4889</v>
          </cell>
          <cell r="N3861" t="str">
            <v>Murtafiah\المرتفعة</v>
          </cell>
        </row>
        <row r="3862">
          <cell r="L3862" t="str">
            <v>SY080300</v>
          </cell>
          <cell r="M3862" t="str">
            <v>C4836</v>
          </cell>
          <cell r="N3862" t="str">
            <v>Mustafawiyeh\المصطفاوية</v>
          </cell>
        </row>
        <row r="3863">
          <cell r="L3863" t="str">
            <v>SY080300</v>
          </cell>
          <cell r="M3863" t="str">
            <v>C4893</v>
          </cell>
          <cell r="N3863" t="str">
            <v>Mzeireb\مزيريب</v>
          </cell>
        </row>
        <row r="3864">
          <cell r="L3864" t="str">
            <v>SY080300</v>
          </cell>
          <cell r="M3864" t="str">
            <v>C4821</v>
          </cell>
          <cell r="N3864" t="str">
            <v>Najaf\النجف</v>
          </cell>
        </row>
        <row r="3865">
          <cell r="L3865" t="str">
            <v>SY080300</v>
          </cell>
          <cell r="M3865" t="str">
            <v>C4892</v>
          </cell>
          <cell r="N3865" t="str">
            <v>Qalqilya\قلقيلية</v>
          </cell>
        </row>
        <row r="3866">
          <cell r="L3866" t="str">
            <v>SY080300</v>
          </cell>
          <cell r="M3866" t="str">
            <v>C4896</v>
          </cell>
          <cell r="N3866" t="str">
            <v>Qasr Eldib\قصر الذيب</v>
          </cell>
        </row>
        <row r="3867">
          <cell r="L3867" t="str">
            <v>SY080300</v>
          </cell>
          <cell r="M3867" t="str">
            <v>C4845</v>
          </cell>
          <cell r="N3867" t="str">
            <v>Qaysariyeh\القيصرية</v>
          </cell>
        </row>
        <row r="3868">
          <cell r="L3868" t="str">
            <v>SY080300</v>
          </cell>
          <cell r="M3868" t="str">
            <v>C4812</v>
          </cell>
          <cell r="N3868" t="str">
            <v>Raghdan\رغدان</v>
          </cell>
        </row>
        <row r="3869">
          <cell r="L3869" t="str">
            <v>SY080300</v>
          </cell>
          <cell r="M3869" t="str">
            <v>C4877</v>
          </cell>
          <cell r="N3869" t="str">
            <v>Raheiba\الرحيبة</v>
          </cell>
        </row>
        <row r="3870">
          <cell r="L3870" t="str">
            <v>SY080300</v>
          </cell>
          <cell r="M3870" t="str">
            <v>C4867</v>
          </cell>
          <cell r="N3870" t="str">
            <v>Rashidiyeh Malikiyeh\الرشيدية مالكية</v>
          </cell>
        </row>
        <row r="3871">
          <cell r="L3871" t="str">
            <v>SY080300</v>
          </cell>
          <cell r="M3871" t="str">
            <v>C4815</v>
          </cell>
          <cell r="N3871" t="str">
            <v>Rihaniya Malekiyeh\الريحانية مالكية</v>
          </cell>
        </row>
        <row r="3872">
          <cell r="L3872" t="str">
            <v>SY080300</v>
          </cell>
          <cell r="M3872" t="str">
            <v>C4868</v>
          </cell>
          <cell r="N3872" t="str">
            <v>Sabe Jfar\سبع جفار</v>
          </cell>
        </row>
        <row r="3873">
          <cell r="L3873" t="str">
            <v>SY080300</v>
          </cell>
          <cell r="M3873" t="str">
            <v>C4863</v>
          </cell>
          <cell r="N3873" t="str">
            <v>Safh Malekiyeh\السفح مالكية</v>
          </cell>
        </row>
        <row r="3874">
          <cell r="L3874" t="str">
            <v>SY080300</v>
          </cell>
          <cell r="M3874" t="str">
            <v>C4808</v>
          </cell>
          <cell r="N3874" t="str">
            <v>Saideh\السعيدة</v>
          </cell>
        </row>
        <row r="3875">
          <cell r="L3875" t="str">
            <v>SY080300</v>
          </cell>
          <cell r="M3875" t="str">
            <v>C4829</v>
          </cell>
          <cell r="N3875" t="str">
            <v>Second Tal Elthahab Malkiyeh\تل الذهب الثانية مالكية</v>
          </cell>
        </row>
        <row r="3876">
          <cell r="L3876" t="str">
            <v>SY080300</v>
          </cell>
          <cell r="M3876" t="str">
            <v>C4810</v>
          </cell>
          <cell r="N3876" t="str">
            <v>Sehiyeh\الصحية</v>
          </cell>
        </row>
        <row r="3877">
          <cell r="L3877" t="str">
            <v>SY080300</v>
          </cell>
          <cell r="M3877" t="str">
            <v>C4856</v>
          </cell>
          <cell r="N3877" t="str">
            <v>Shamsiyeh\الشمسية</v>
          </cell>
        </row>
        <row r="3878">
          <cell r="L3878" t="str">
            <v>SY080300</v>
          </cell>
          <cell r="M3878" t="str">
            <v>C4825</v>
          </cell>
          <cell r="N3878" t="str">
            <v>Sharm El Sheikh\شرم الشيخ</v>
          </cell>
        </row>
        <row r="3879">
          <cell r="L3879" t="str">
            <v>SY080300</v>
          </cell>
          <cell r="M3879" t="str">
            <v>C4838</v>
          </cell>
          <cell r="N3879" t="str">
            <v>Sheikh Ibrahim\شيخ ابراهيم</v>
          </cell>
        </row>
        <row r="3880">
          <cell r="L3880" t="str">
            <v>SY080300</v>
          </cell>
          <cell r="M3880" t="str">
            <v>C4875</v>
          </cell>
          <cell r="N3880" t="str">
            <v>Sinjar Malikiyeh\سنجار مالكية</v>
          </cell>
        </row>
        <row r="3881">
          <cell r="L3881" t="str">
            <v>SY080300</v>
          </cell>
          <cell r="M3881" t="str">
            <v>C4822</v>
          </cell>
          <cell r="N3881" t="str">
            <v>Tabaqa\الطبقة</v>
          </cell>
        </row>
        <row r="3882">
          <cell r="L3882" t="str">
            <v>SY080300</v>
          </cell>
          <cell r="M3882" t="str">
            <v>C4818</v>
          </cell>
          <cell r="N3882" t="str">
            <v>Tal Adas\تل عدس</v>
          </cell>
        </row>
        <row r="3883">
          <cell r="L3883" t="str">
            <v>SY080300</v>
          </cell>
          <cell r="M3883" t="str">
            <v>C4854</v>
          </cell>
          <cell r="N3883" t="str">
            <v>Tal Aswad Malkiyeh\تل أسود مالكية</v>
          </cell>
        </row>
        <row r="3884">
          <cell r="L3884" t="str">
            <v>SY080300</v>
          </cell>
          <cell r="M3884" t="str">
            <v>C4851</v>
          </cell>
          <cell r="N3884" t="str">
            <v>Tal Elahmar\تل الأحمر</v>
          </cell>
        </row>
        <row r="3885">
          <cell r="L3885" t="str">
            <v>SY080300</v>
          </cell>
          <cell r="M3885" t="str">
            <v>C4850</v>
          </cell>
          <cell r="N3885" t="str">
            <v>Tal Elasfar\تل الأصفر</v>
          </cell>
        </row>
        <row r="3886">
          <cell r="L3886" t="str">
            <v>SY080300</v>
          </cell>
          <cell r="M3886" t="str">
            <v>C4874</v>
          </cell>
          <cell r="N3886" t="str">
            <v>Tal Elawar\تل الأعور</v>
          </cell>
        </row>
        <row r="3887">
          <cell r="L3887" t="str">
            <v>SY080300</v>
          </cell>
          <cell r="M3887" t="str">
            <v>C4886</v>
          </cell>
          <cell r="N3887" t="str">
            <v>Tal Eldiq\تل الضيق</v>
          </cell>
        </row>
        <row r="3888">
          <cell r="L3888" t="str">
            <v>SY080300</v>
          </cell>
          <cell r="M3888" t="str">
            <v>C4871</v>
          </cell>
          <cell r="N3888" t="str">
            <v>Tal Eldurra\تل الدرة</v>
          </cell>
        </row>
        <row r="3889">
          <cell r="L3889" t="str">
            <v>SY080300</v>
          </cell>
          <cell r="M3889" t="str">
            <v>C4848</v>
          </cell>
          <cell r="N3889" t="str">
            <v>Tal Elfukhar\تل الفخار</v>
          </cell>
        </row>
        <row r="3890">
          <cell r="L3890" t="str">
            <v>SY080300</v>
          </cell>
          <cell r="M3890" t="str">
            <v>C4869</v>
          </cell>
          <cell r="N3890" t="str">
            <v>Tal Elhawa Malkiyeh\تل الهوى مالكية</v>
          </cell>
        </row>
        <row r="3891">
          <cell r="L3891" t="str">
            <v>SY080300</v>
          </cell>
          <cell r="M3891" t="str">
            <v>C4844</v>
          </cell>
          <cell r="N3891" t="str">
            <v>Tal Elomara\تل الأمراء</v>
          </cell>
        </row>
        <row r="3892">
          <cell r="L3892" t="str">
            <v>SY080300</v>
          </cell>
          <cell r="M3892" t="str">
            <v>C4882</v>
          </cell>
          <cell r="N3892" t="str">
            <v>Tal Elsedeq\تل الصدق</v>
          </cell>
        </row>
        <row r="3893">
          <cell r="L3893" t="str">
            <v>SY080300</v>
          </cell>
          <cell r="M3893" t="str">
            <v>C4880</v>
          </cell>
          <cell r="N3893" t="str">
            <v>Tal Elshams\تل الشمس</v>
          </cell>
        </row>
        <row r="3894">
          <cell r="L3894" t="str">
            <v>SY080300</v>
          </cell>
          <cell r="M3894" t="str">
            <v>C4846</v>
          </cell>
          <cell r="N3894" t="str">
            <v>Tal Hadid\تل حديد</v>
          </cell>
        </row>
        <row r="3895">
          <cell r="L3895" t="str">
            <v>SY080300</v>
          </cell>
          <cell r="M3895" t="str">
            <v>C4872</v>
          </cell>
          <cell r="N3895" t="str">
            <v>Tal Hamdan\تل حمدان</v>
          </cell>
        </row>
        <row r="3896">
          <cell r="L3896" t="str">
            <v>SY080300</v>
          </cell>
          <cell r="M3896" t="str">
            <v>C4849</v>
          </cell>
          <cell r="N3896" t="str">
            <v>Tal Jmal\تل جمال</v>
          </cell>
        </row>
        <row r="3897">
          <cell r="L3897" t="str">
            <v>SY080300</v>
          </cell>
          <cell r="M3897" t="str">
            <v>C4852</v>
          </cell>
          <cell r="N3897" t="str">
            <v>Tal Umaya\تل أمية</v>
          </cell>
        </row>
        <row r="3898">
          <cell r="L3898" t="str">
            <v>SY080300</v>
          </cell>
          <cell r="M3898" t="str">
            <v>C4828</v>
          </cell>
          <cell r="N3898" t="str">
            <v>Tal Zyara\تل زيارة</v>
          </cell>
        </row>
        <row r="3899">
          <cell r="L3899" t="str">
            <v>SY080300</v>
          </cell>
          <cell r="M3899" t="str">
            <v>C4826</v>
          </cell>
          <cell r="N3899" t="str">
            <v>Taleeah\الطليعة</v>
          </cell>
        </row>
        <row r="3900">
          <cell r="L3900" t="str">
            <v>SY080300</v>
          </cell>
          <cell r="M3900" t="str">
            <v>C4860</v>
          </cell>
          <cell r="N3900" t="str">
            <v>Tlin\التلين</v>
          </cell>
        </row>
        <row r="3901">
          <cell r="L3901" t="str">
            <v>SY080300</v>
          </cell>
          <cell r="M3901" t="str">
            <v>C4814</v>
          </cell>
          <cell r="N3901" t="str">
            <v>Tubiyeh\الطويبة</v>
          </cell>
        </row>
        <row r="3902">
          <cell r="L3902" t="str">
            <v>SY080300</v>
          </cell>
          <cell r="M3902" t="str">
            <v>C4887</v>
          </cell>
          <cell r="N3902" t="str">
            <v>Tunisiyeh\التونسية</v>
          </cell>
        </row>
        <row r="3903">
          <cell r="L3903" t="str">
            <v>SY080300</v>
          </cell>
          <cell r="M3903" t="str">
            <v>C4831</v>
          </cell>
          <cell r="N3903" t="str">
            <v>Um Tlul\أم تلول</v>
          </cell>
        </row>
        <row r="3904">
          <cell r="L3904" t="str">
            <v>SY080300</v>
          </cell>
          <cell r="M3904" t="str">
            <v>C4813</v>
          </cell>
          <cell r="N3904" t="str">
            <v>Upper Rmeilan\رميلان فوقاني</v>
          </cell>
        </row>
        <row r="3905">
          <cell r="L3905" t="str">
            <v>SY080300</v>
          </cell>
          <cell r="M3905" t="str">
            <v>C4840</v>
          </cell>
          <cell r="N3905" t="str">
            <v>Upper Sweidiyeh\سويدية فوقـاني</v>
          </cell>
        </row>
        <row r="3906">
          <cell r="L3906" t="str">
            <v>SY080300</v>
          </cell>
          <cell r="M3906" t="str">
            <v>C4807</v>
          </cell>
          <cell r="N3906" t="str">
            <v>Upper Tal Khanzir\تل خنزير فوقاني</v>
          </cell>
        </row>
        <row r="3907">
          <cell r="L3907" t="str">
            <v>SY080300</v>
          </cell>
          <cell r="M3907" t="str">
            <v>C4865</v>
          </cell>
          <cell r="N3907" t="str">
            <v>Yanbue\الينبوع</v>
          </cell>
        </row>
        <row r="3908">
          <cell r="L3908" t="str">
            <v>SY080300</v>
          </cell>
          <cell r="M3908" t="str">
            <v>C4866</v>
          </cell>
          <cell r="N3908" t="str">
            <v>Yusefiyeh\اليوسفية</v>
          </cell>
        </row>
        <row r="3909">
          <cell r="L3909" t="str">
            <v>SY080300</v>
          </cell>
          <cell r="M3909" t="str">
            <v>C4858</v>
          </cell>
          <cell r="N3909" t="str">
            <v>Zahraa Malekiyeh\الزهراء مالكية</v>
          </cell>
        </row>
        <row r="3910">
          <cell r="L3910" t="str">
            <v>SY080300</v>
          </cell>
          <cell r="M3910" t="str">
            <v>C4878</v>
          </cell>
          <cell r="N3910" t="str">
            <v>Zheiriyeh\زهيرية</v>
          </cell>
        </row>
        <row r="3911">
          <cell r="L3911" t="str">
            <v>SY080301</v>
          </cell>
          <cell r="M3911" t="str">
            <v>C4923</v>
          </cell>
          <cell r="N3911" t="str">
            <v>Abbasiyeh\العباسية</v>
          </cell>
        </row>
        <row r="3912">
          <cell r="L3912" t="str">
            <v>SY080301</v>
          </cell>
          <cell r="M3912" t="str">
            <v>C4933</v>
          </cell>
          <cell r="N3912" t="str">
            <v>Abra\عابرة</v>
          </cell>
        </row>
        <row r="3913">
          <cell r="L3913" t="str">
            <v>SY080301</v>
          </cell>
          <cell r="M3913" t="str">
            <v>C4917</v>
          </cell>
          <cell r="N3913" t="str">
            <v>Abu Baker\أبو بكر</v>
          </cell>
        </row>
        <row r="3914">
          <cell r="L3914" t="str">
            <v>SY080301</v>
          </cell>
          <cell r="M3914" t="str">
            <v>C4900</v>
          </cell>
          <cell r="N3914" t="str">
            <v>Abu Ejeileh\أبو عجيلة</v>
          </cell>
        </row>
        <row r="3915">
          <cell r="L3915" t="str">
            <v>SY080301</v>
          </cell>
          <cell r="M3915" t="str">
            <v>C4909</v>
          </cell>
          <cell r="N3915" t="str">
            <v>Abu Obaida\أبو عبيدة</v>
          </cell>
        </row>
        <row r="3916">
          <cell r="L3916" t="str">
            <v>SY080301</v>
          </cell>
          <cell r="M3916" t="str">
            <v>C4906</v>
          </cell>
          <cell r="N3916" t="str">
            <v>Asaliyeh\عسيلة</v>
          </cell>
        </row>
        <row r="3917">
          <cell r="L3917" t="str">
            <v>SY080301</v>
          </cell>
          <cell r="M3917" t="str">
            <v>C4915</v>
          </cell>
          <cell r="N3917" t="str">
            <v>Ataba\عتبة</v>
          </cell>
        </row>
        <row r="3918">
          <cell r="L3918" t="str">
            <v>SY080301</v>
          </cell>
          <cell r="M3918" t="str">
            <v>C4905</v>
          </cell>
          <cell r="N3918" t="str">
            <v>Bab Elhadid\باب الحديد</v>
          </cell>
        </row>
        <row r="3919">
          <cell r="L3919" t="str">
            <v>SY080301</v>
          </cell>
          <cell r="M3919" t="str">
            <v>C4928</v>
          </cell>
          <cell r="N3919" t="str">
            <v>Baqla\باقـــلا</v>
          </cell>
        </row>
        <row r="3920">
          <cell r="L3920" t="str">
            <v>SY080301</v>
          </cell>
          <cell r="M3920" t="str">
            <v>C4902</v>
          </cell>
          <cell r="N3920" t="str">
            <v>Dayr Hafir\دير حافر</v>
          </cell>
        </row>
        <row r="3921">
          <cell r="L3921" t="str">
            <v>SY080301</v>
          </cell>
          <cell r="M3921" t="str">
            <v>C4922</v>
          </cell>
          <cell r="N3921" t="str">
            <v>Deir Ayub\دير أيوب</v>
          </cell>
        </row>
        <row r="3922">
          <cell r="L3922" t="str">
            <v>SY080301</v>
          </cell>
          <cell r="M3922" t="str">
            <v>C4934</v>
          </cell>
          <cell r="N3922" t="str">
            <v>Deir Elghosn\دير الغصن</v>
          </cell>
        </row>
        <row r="3923">
          <cell r="L3923" t="str">
            <v>SY080301</v>
          </cell>
          <cell r="M3923" t="str">
            <v>C4913</v>
          </cell>
          <cell r="N3923" t="str">
            <v>Ghafqiyeh\الغافقية</v>
          </cell>
        </row>
        <row r="3924">
          <cell r="L3924" t="str">
            <v>SY080301</v>
          </cell>
          <cell r="M3924" t="str">
            <v>C4927</v>
          </cell>
          <cell r="N3924" t="str">
            <v>Hafethiyeh\الحافظية</v>
          </cell>
        </row>
        <row r="3925">
          <cell r="L3925" t="str">
            <v>SY080301</v>
          </cell>
          <cell r="M3925" t="str">
            <v>C4908</v>
          </cell>
          <cell r="N3925" t="str">
            <v>Hamra\الحمراء</v>
          </cell>
        </row>
        <row r="3926">
          <cell r="L3926" t="str">
            <v>SY080301</v>
          </cell>
          <cell r="M3926" t="str">
            <v>C4914</v>
          </cell>
          <cell r="N3926" t="str">
            <v>Hseiniyeh Jawadiyeh\الحسينية جوادية</v>
          </cell>
        </row>
        <row r="3927">
          <cell r="L3927" t="str">
            <v>SY080301</v>
          </cell>
          <cell r="M3927" t="str">
            <v>C4901</v>
          </cell>
          <cell r="N3927" t="str">
            <v>Jaberiyeh Jawadiyeh\الجابرية جوادية</v>
          </cell>
        </row>
        <row r="3928">
          <cell r="L3928" t="str">
            <v>SY080301</v>
          </cell>
          <cell r="M3928" t="str">
            <v>C4919</v>
          </cell>
          <cell r="N3928" t="str">
            <v>Jawadiyah\الجوادية</v>
          </cell>
        </row>
        <row r="3929">
          <cell r="L3929" t="str">
            <v>SY080301</v>
          </cell>
          <cell r="M3929" t="str">
            <v>C4929</v>
          </cell>
          <cell r="N3929" t="str">
            <v>Kherbet Balak\خربة بلك</v>
          </cell>
        </row>
        <row r="3930">
          <cell r="L3930" t="str">
            <v>SY080301</v>
          </cell>
          <cell r="M3930" t="str">
            <v>C4907</v>
          </cell>
          <cell r="N3930" t="str">
            <v>Khsheiniyeh\خشينية</v>
          </cell>
        </row>
        <row r="3931">
          <cell r="L3931" t="str">
            <v>SY080301</v>
          </cell>
          <cell r="M3931" t="str">
            <v>C4936</v>
          </cell>
          <cell r="N3931" t="str">
            <v>Mashuq\معشوق</v>
          </cell>
        </row>
        <row r="3932">
          <cell r="L3932" t="str">
            <v>SY080301</v>
          </cell>
          <cell r="M3932" t="str">
            <v>C4932</v>
          </cell>
          <cell r="N3932" t="str">
            <v>Msheirfet Jawadiyeh\المشيرفة جوادية</v>
          </cell>
        </row>
        <row r="3933">
          <cell r="L3933" t="str">
            <v>SY080301</v>
          </cell>
          <cell r="M3933" t="str">
            <v>C4925</v>
          </cell>
          <cell r="N3933" t="str">
            <v>Old Deir\الدير القديم</v>
          </cell>
        </row>
        <row r="3934">
          <cell r="L3934" t="str">
            <v>SY080301</v>
          </cell>
          <cell r="M3934" t="str">
            <v>C4937</v>
          </cell>
          <cell r="N3934" t="str">
            <v>Qasemiyeh\قاسمية</v>
          </cell>
        </row>
        <row r="3935">
          <cell r="L3935" t="str">
            <v>SY080301</v>
          </cell>
          <cell r="M3935" t="str">
            <v>C4935</v>
          </cell>
          <cell r="N3935" t="str">
            <v>Qneitra\قنيطرة</v>
          </cell>
        </row>
        <row r="3936">
          <cell r="L3936" t="str">
            <v>SY080301</v>
          </cell>
          <cell r="M3936" t="str">
            <v>C4921</v>
          </cell>
          <cell r="N3936" t="str">
            <v>Rabeeah Eljawadiyeh\ربيعة الجوادية</v>
          </cell>
        </row>
        <row r="3937">
          <cell r="L3937" t="str">
            <v>SY080301</v>
          </cell>
          <cell r="M3937" t="str">
            <v>C4918</v>
          </cell>
          <cell r="N3937" t="str">
            <v>Raha\الرهاء</v>
          </cell>
        </row>
        <row r="3938">
          <cell r="L3938" t="str">
            <v>SY080301</v>
          </cell>
          <cell r="M3938" t="str">
            <v>C4931</v>
          </cell>
          <cell r="N3938" t="str">
            <v>Salhiyeh\الصالحية</v>
          </cell>
        </row>
        <row r="3939">
          <cell r="L3939" t="str">
            <v>SY080301</v>
          </cell>
          <cell r="M3939" t="str">
            <v>C4903</v>
          </cell>
          <cell r="N3939" t="str">
            <v>Shabak\شبك</v>
          </cell>
        </row>
        <row r="3940">
          <cell r="L3940" t="str">
            <v>SY080301</v>
          </cell>
          <cell r="M3940" t="str">
            <v>C4911</v>
          </cell>
          <cell r="N3940" t="str">
            <v>Tal Elatshan\تل العطشان</v>
          </cell>
        </row>
        <row r="3941">
          <cell r="L3941" t="str">
            <v>SY080301</v>
          </cell>
          <cell r="M3941" t="str">
            <v>C4904</v>
          </cell>
          <cell r="N3941" t="str">
            <v>Tal Elhasanat\تل الحسنات</v>
          </cell>
        </row>
        <row r="3942">
          <cell r="L3942" t="str">
            <v>SY080301</v>
          </cell>
          <cell r="M3942" t="str">
            <v>C4920</v>
          </cell>
          <cell r="N3942" t="str">
            <v>Tal Khalil Jawadiyeh\تل خليل جوادية</v>
          </cell>
        </row>
        <row r="3943">
          <cell r="L3943" t="str">
            <v>SY080301</v>
          </cell>
          <cell r="M3943" t="str">
            <v>C4926</v>
          </cell>
          <cell r="N3943" t="str">
            <v>Tal Mrad\تل مراد</v>
          </cell>
        </row>
        <row r="3944">
          <cell r="L3944" t="str">
            <v>SY080301</v>
          </cell>
          <cell r="M3944" t="str">
            <v>C4924</v>
          </cell>
          <cell r="N3944" t="str">
            <v>Tawakol\التوكل</v>
          </cell>
        </row>
        <row r="3945">
          <cell r="L3945" t="str">
            <v>SY080301</v>
          </cell>
          <cell r="M3945" t="str">
            <v>C4930</v>
          </cell>
          <cell r="N3945" t="str">
            <v>Thaheriya\الظاهرية</v>
          </cell>
        </row>
        <row r="3946">
          <cell r="L3946" t="str">
            <v>SY080301</v>
          </cell>
          <cell r="M3946" t="str">
            <v>C4912</v>
          </cell>
          <cell r="N3946" t="str">
            <v>Um Elrumman\أم الرمان</v>
          </cell>
        </row>
        <row r="3947">
          <cell r="L3947" t="str">
            <v>SY080301</v>
          </cell>
          <cell r="M3947" t="str">
            <v>C4916</v>
          </cell>
          <cell r="N3947" t="str">
            <v>Um Rejim\أم رجيم</v>
          </cell>
        </row>
        <row r="3948">
          <cell r="L3948" t="str">
            <v>SY080301</v>
          </cell>
          <cell r="M3948" t="str">
            <v>C4910</v>
          </cell>
          <cell r="N3948" t="str">
            <v>Upper Amarat\عمارات فوقاني</v>
          </cell>
        </row>
        <row r="3949">
          <cell r="L3949" t="str">
            <v>SY080302</v>
          </cell>
          <cell r="M3949" t="str">
            <v>C4970</v>
          </cell>
          <cell r="N3949" t="str">
            <v>Adnan\عدنان</v>
          </cell>
        </row>
        <row r="3950">
          <cell r="L3950" t="str">
            <v>SY080302</v>
          </cell>
          <cell r="M3950" t="str">
            <v>C4974</v>
          </cell>
          <cell r="N3950" t="str">
            <v>Akhodalsheh\أخودلشة</v>
          </cell>
        </row>
        <row r="3951">
          <cell r="L3951" t="str">
            <v>SY080302</v>
          </cell>
          <cell r="M3951" t="str">
            <v>C4959</v>
          </cell>
          <cell r="N3951" t="str">
            <v>Ali Agha\علي آغا</v>
          </cell>
        </row>
        <row r="3952">
          <cell r="L3952" t="str">
            <v>SY080302</v>
          </cell>
          <cell r="M3952" t="str">
            <v>C4946</v>
          </cell>
          <cell r="N3952" t="str">
            <v>Alyana\عليانة</v>
          </cell>
        </row>
        <row r="3953">
          <cell r="L3953" t="str">
            <v>SY080302</v>
          </cell>
          <cell r="M3953" t="str">
            <v>C4983</v>
          </cell>
          <cell r="N3953" t="str">
            <v>Big Masud\مسعود كبير</v>
          </cell>
        </row>
        <row r="3954">
          <cell r="L3954" t="str">
            <v>SY080302</v>
          </cell>
          <cell r="M3954" t="str">
            <v>C4953</v>
          </cell>
          <cell r="N3954" t="str">
            <v>Big Shofa\الشوفة الكبيرة</v>
          </cell>
        </row>
        <row r="3955">
          <cell r="L3955" t="str">
            <v>SY080302</v>
          </cell>
          <cell r="M3955" t="str">
            <v>C4950</v>
          </cell>
          <cell r="N3955" t="str">
            <v>Botheh\البوثة</v>
          </cell>
        </row>
        <row r="3956">
          <cell r="L3956" t="str">
            <v>SY080302</v>
          </cell>
          <cell r="M3956" t="str">
            <v>C4979</v>
          </cell>
          <cell r="N3956" t="str">
            <v>Eastern Fattumeh\فطومة شرقية</v>
          </cell>
        </row>
        <row r="3957">
          <cell r="L3957" t="str">
            <v>SY080302</v>
          </cell>
          <cell r="M3957" t="str">
            <v>C4968</v>
          </cell>
          <cell r="N3957" t="str">
            <v>Fadghamiyeh\الفدغمية</v>
          </cell>
        </row>
        <row r="3958">
          <cell r="L3958" t="str">
            <v>SY080302</v>
          </cell>
          <cell r="M3958" t="str">
            <v>C4943</v>
          </cell>
          <cell r="N3958" t="str">
            <v>First Tal Elo\تل علو الأولى</v>
          </cell>
        </row>
        <row r="3959">
          <cell r="L3959" t="str">
            <v>SY080302</v>
          </cell>
          <cell r="M3959" t="str">
            <v>C4976</v>
          </cell>
          <cell r="N3959" t="str">
            <v>Haddad\حداد</v>
          </cell>
        </row>
        <row r="3960">
          <cell r="L3960" t="str">
            <v>SY080302</v>
          </cell>
          <cell r="M3960" t="str">
            <v>C4939</v>
          </cell>
          <cell r="N3960" t="str">
            <v>Harma\الهرمة</v>
          </cell>
        </row>
        <row r="3961">
          <cell r="L3961" t="str">
            <v>SY080302</v>
          </cell>
          <cell r="M3961" t="str">
            <v>C4966</v>
          </cell>
          <cell r="N3961" t="str">
            <v>Hasna\الحسناء</v>
          </cell>
        </row>
        <row r="3962">
          <cell r="L3962" t="str">
            <v>SY080302</v>
          </cell>
          <cell r="M3962" t="str">
            <v>C4981</v>
          </cell>
          <cell r="N3962" t="str">
            <v>Hozan\هوازن</v>
          </cell>
        </row>
        <row r="3963">
          <cell r="L3963" t="str">
            <v>SY080302</v>
          </cell>
          <cell r="M3963" t="str">
            <v>C4963</v>
          </cell>
          <cell r="N3963" t="str">
            <v>Hreishieh\الحريشية</v>
          </cell>
        </row>
        <row r="3964">
          <cell r="L3964" t="str">
            <v>SY080302</v>
          </cell>
          <cell r="M3964" t="str">
            <v>C4961</v>
          </cell>
          <cell r="N3964" t="str">
            <v>Hurriyeh\الحرية</v>
          </cell>
        </row>
        <row r="3965">
          <cell r="L3965" t="str">
            <v>SY080302</v>
          </cell>
          <cell r="M3965" t="str">
            <v>C4945</v>
          </cell>
          <cell r="N3965" t="str">
            <v>Hweira\الهويرة</v>
          </cell>
        </row>
        <row r="3966">
          <cell r="L3966" t="str">
            <v>SY080302</v>
          </cell>
          <cell r="M3966" t="str">
            <v>C4965</v>
          </cell>
          <cell r="N3966" t="str">
            <v>Jneidiyeh\الجنيدية</v>
          </cell>
        </row>
        <row r="3967">
          <cell r="L3967" t="str">
            <v>SY080302</v>
          </cell>
          <cell r="M3967" t="str">
            <v>C4978</v>
          </cell>
          <cell r="N3967" t="str">
            <v>Kharab Eljir\خراب الجير</v>
          </cell>
        </row>
        <row r="3968">
          <cell r="L3968" t="str">
            <v>SY080302</v>
          </cell>
          <cell r="M3968" t="str">
            <v>C4947</v>
          </cell>
          <cell r="N3968" t="str">
            <v>Kharab Hassan\خراب حسن</v>
          </cell>
        </row>
        <row r="3969">
          <cell r="L3969" t="str">
            <v>SY080302</v>
          </cell>
          <cell r="M3969" t="str">
            <v>C4942</v>
          </cell>
          <cell r="N3969" t="str">
            <v>Kherbet Elabid\خربة العبيد</v>
          </cell>
        </row>
        <row r="3970">
          <cell r="L3970" t="str">
            <v>SY080302</v>
          </cell>
          <cell r="M3970" t="str">
            <v>C4977</v>
          </cell>
          <cell r="N3970" t="str">
            <v>Khweitleh Yarubiyeh\خويتلة يعربية</v>
          </cell>
        </row>
        <row r="3971">
          <cell r="L3971" t="str">
            <v>SY080302</v>
          </cell>
          <cell r="M3971" t="str">
            <v>C4955</v>
          </cell>
          <cell r="N3971" t="str">
            <v>Lower Kherbet Elbir\خربة البير تحتاني</v>
          </cell>
        </row>
        <row r="3972">
          <cell r="L3972" t="str">
            <v>SY080302</v>
          </cell>
          <cell r="M3972" t="str">
            <v>C4971</v>
          </cell>
          <cell r="N3972" t="str">
            <v>Lower Um Kheif\أم كهيف تحتاني</v>
          </cell>
        </row>
        <row r="3973">
          <cell r="L3973" t="str">
            <v>SY080302</v>
          </cell>
          <cell r="M3973" t="str">
            <v>C4962</v>
          </cell>
          <cell r="N3973" t="str">
            <v>Middle Sehrij\صهريج وسطاني</v>
          </cell>
        </row>
        <row r="3974">
          <cell r="L3974" t="str">
            <v>SY080302</v>
          </cell>
          <cell r="M3974" t="str">
            <v>C4982</v>
          </cell>
          <cell r="N3974" t="str">
            <v>Mostariha\مستريحة</v>
          </cell>
        </row>
        <row r="3975">
          <cell r="L3975" t="str">
            <v>SY080302</v>
          </cell>
          <cell r="M3975" t="str">
            <v>C4980</v>
          </cell>
          <cell r="N3975" t="str">
            <v>Quraish\قريش</v>
          </cell>
        </row>
        <row r="3976">
          <cell r="L3976" t="str">
            <v>SY080302</v>
          </cell>
          <cell r="M3976" t="str">
            <v>C4956</v>
          </cell>
          <cell r="N3976" t="str">
            <v>Safa\الصفا</v>
          </cell>
        </row>
        <row r="3977">
          <cell r="L3977" t="str">
            <v>SY080302</v>
          </cell>
          <cell r="M3977" t="str">
            <v>C4944</v>
          </cell>
          <cell r="N3977" t="str">
            <v>Second Tal Elo\تل علو الثانية</v>
          </cell>
        </row>
        <row r="3978">
          <cell r="L3978" t="str">
            <v>SY080302</v>
          </cell>
          <cell r="M3978" t="str">
            <v>C4948</v>
          </cell>
          <cell r="N3978" t="str">
            <v>Shafaniyeh\الشعفانية</v>
          </cell>
        </row>
        <row r="3979">
          <cell r="L3979" t="str">
            <v>SY080302</v>
          </cell>
          <cell r="M3979" t="str">
            <v>C4952</v>
          </cell>
          <cell r="N3979" t="str">
            <v>Sleiman Sari\سليمان ساري</v>
          </cell>
        </row>
        <row r="3980">
          <cell r="L3980" t="str">
            <v>SY080302</v>
          </cell>
          <cell r="M3980" t="str">
            <v>C4957</v>
          </cell>
          <cell r="N3980" t="str">
            <v>Tal Arab\تل عرب</v>
          </cell>
        </row>
        <row r="3981">
          <cell r="L3981" t="str">
            <v>SY080302</v>
          </cell>
          <cell r="M3981" t="str">
            <v>C4960</v>
          </cell>
          <cell r="N3981" t="str">
            <v>Tal Dweim\تل دويم</v>
          </cell>
        </row>
        <row r="3982">
          <cell r="L3982" t="str">
            <v>SY080302</v>
          </cell>
          <cell r="M3982" t="str">
            <v>C4975</v>
          </cell>
          <cell r="N3982" t="str">
            <v>Tal Eltamer\تل التمر</v>
          </cell>
        </row>
        <row r="3983">
          <cell r="L3983" t="str">
            <v>SY080302</v>
          </cell>
          <cell r="M3983" t="str">
            <v>C4951</v>
          </cell>
          <cell r="N3983" t="str">
            <v>Tal Mashan\تل مشحن</v>
          </cell>
        </row>
        <row r="3984">
          <cell r="L3984" t="str">
            <v>SY080302</v>
          </cell>
          <cell r="M3984" t="str">
            <v>C4954</v>
          </cell>
          <cell r="N3984" t="str">
            <v>Tameriyeh\التامرية</v>
          </cell>
        </row>
        <row r="3985">
          <cell r="L3985" t="str">
            <v>SY080302</v>
          </cell>
          <cell r="M3985" t="str">
            <v>C4964</v>
          </cell>
          <cell r="N3985" t="str">
            <v>Thaqif\ثقيف</v>
          </cell>
        </row>
        <row r="3986">
          <cell r="L3986" t="str">
            <v>SY080302</v>
          </cell>
          <cell r="M3986" t="str">
            <v>C4941</v>
          </cell>
          <cell r="N3986" t="str">
            <v>Um Eledam\أم العظام</v>
          </cell>
        </row>
        <row r="3987">
          <cell r="L3987" t="str">
            <v>SY080302</v>
          </cell>
          <cell r="M3987" t="str">
            <v>C4940</v>
          </cell>
          <cell r="N3987" t="str">
            <v>Um Hbal\أم حبال</v>
          </cell>
        </row>
        <row r="3988">
          <cell r="L3988" t="str">
            <v>SY080302</v>
          </cell>
          <cell r="M3988" t="str">
            <v>C4967</v>
          </cell>
          <cell r="N3988" t="str">
            <v>Upper Abu Manasib\أبو مناصب فوقاني</v>
          </cell>
        </row>
        <row r="3989">
          <cell r="L3989" t="str">
            <v>SY080302</v>
          </cell>
          <cell r="M3989" t="str">
            <v>C4972</v>
          </cell>
          <cell r="N3989" t="str">
            <v>Upper Eastern Arja\عرجة شرقية فوقاني</v>
          </cell>
        </row>
        <row r="3990">
          <cell r="L3990" t="str">
            <v>SY080302</v>
          </cell>
          <cell r="M3990" t="str">
            <v>C4958</v>
          </cell>
          <cell r="N3990" t="str">
            <v>Upper Kherbet Elbir\خربة البير فوقاني</v>
          </cell>
        </row>
        <row r="3991">
          <cell r="L3991" t="str">
            <v>SY080302</v>
          </cell>
          <cell r="M3991" t="str">
            <v>C4949</v>
          </cell>
          <cell r="N3991" t="str">
            <v>Upper Tal Elo\تل علوفوقاني</v>
          </cell>
        </row>
        <row r="3992">
          <cell r="L3992" t="str">
            <v>SY080302</v>
          </cell>
          <cell r="M3992" t="str">
            <v>C4973</v>
          </cell>
          <cell r="N3992" t="str">
            <v>Upper Um Kheif\أم كهيف فوقاني</v>
          </cell>
        </row>
        <row r="3993">
          <cell r="L3993" t="str">
            <v>SY080302</v>
          </cell>
          <cell r="M3993" t="str">
            <v>C4938</v>
          </cell>
          <cell r="N3993" t="str">
            <v>Western Jadaawi\جدعاوي غربي</v>
          </cell>
        </row>
        <row r="3994">
          <cell r="L3994" t="str">
            <v>SY080302</v>
          </cell>
          <cell r="M3994" t="str">
            <v>C4969</v>
          </cell>
          <cell r="N3994" t="str">
            <v>Ya'robiyah\اليعربية</v>
          </cell>
        </row>
        <row r="3995">
          <cell r="L3995" t="str">
            <v>SY080400</v>
          </cell>
          <cell r="M3995" t="str">
            <v>C5005</v>
          </cell>
          <cell r="N3995" t="str">
            <v>Abu Rasin\ابو راسين</v>
          </cell>
        </row>
        <row r="3996">
          <cell r="L3996" t="str">
            <v>SY080400</v>
          </cell>
          <cell r="M3996" t="str">
            <v>C4998</v>
          </cell>
          <cell r="N3996" t="str">
            <v>Abu Shakhat\أبو شاخات</v>
          </cell>
        </row>
        <row r="3997">
          <cell r="L3997" t="str">
            <v>SY080400</v>
          </cell>
          <cell r="M3997" t="str">
            <v>C4997</v>
          </cell>
          <cell r="N3997" t="str">
            <v>Ahras\الأهراس</v>
          </cell>
        </row>
        <row r="3998">
          <cell r="L3998" t="str">
            <v>SY080400</v>
          </cell>
          <cell r="M3998" t="str">
            <v>C4996</v>
          </cell>
          <cell r="N3998" t="str">
            <v>Ajla\عاجلة</v>
          </cell>
        </row>
        <row r="3999">
          <cell r="L3999" t="str">
            <v>SY080400</v>
          </cell>
          <cell r="M3999" t="str">
            <v>C5019</v>
          </cell>
          <cell r="N3999" t="str">
            <v>Arshet Ras El Ein\العريشة رأس العين</v>
          </cell>
        </row>
        <row r="4000">
          <cell r="L4000" t="str">
            <v>SY080400</v>
          </cell>
          <cell r="M4000" t="str">
            <v>C5009</v>
          </cell>
          <cell r="N4000" t="str">
            <v>Assadiya\الأسدية</v>
          </cell>
        </row>
        <row r="4001">
          <cell r="L4001" t="str">
            <v>SY080400</v>
          </cell>
          <cell r="M4001" t="str">
            <v>C5000</v>
          </cell>
          <cell r="N4001" t="str">
            <v>Big Abu Jarada \أبو جرادة كبير</v>
          </cell>
        </row>
        <row r="4002">
          <cell r="L4002" t="str">
            <v>SY080400</v>
          </cell>
          <cell r="M4002" t="str">
            <v>C5020</v>
          </cell>
          <cell r="N4002" t="str">
            <v>Big Arada\عرادة كبيرة</v>
          </cell>
        </row>
        <row r="4003">
          <cell r="L4003" t="str">
            <v>SY080400</v>
          </cell>
          <cell r="M4003" t="str">
            <v>C6370</v>
          </cell>
          <cell r="N4003" t="str">
            <v>Bir Noah\بئر نوح</v>
          </cell>
        </row>
        <row r="4004">
          <cell r="L4004" t="str">
            <v>SY080400</v>
          </cell>
          <cell r="M4004" t="str">
            <v>C4986</v>
          </cell>
          <cell r="N4004" t="str">
            <v>Dahmaa\الدهماء</v>
          </cell>
        </row>
        <row r="4005">
          <cell r="L4005" t="str">
            <v>SY080400</v>
          </cell>
          <cell r="M4005" t="str">
            <v>C4999</v>
          </cell>
          <cell r="N4005" t="str">
            <v>Dardara\دردارة</v>
          </cell>
        </row>
        <row r="4006">
          <cell r="L4006" t="str">
            <v>SY080400</v>
          </cell>
          <cell r="M4006" t="str">
            <v>C5016</v>
          </cell>
          <cell r="N4006" t="str">
            <v>Dawoodiyeh\داودية</v>
          </cell>
        </row>
        <row r="4007">
          <cell r="L4007" t="str">
            <v>SY080400</v>
          </cell>
          <cell r="M4007" t="str">
            <v>C6367</v>
          </cell>
          <cell r="N4007" t="str">
            <v>Eastern Alyeh\العالية الشرقية</v>
          </cell>
        </row>
        <row r="4008">
          <cell r="L4008" t="str">
            <v>SY080400</v>
          </cell>
          <cell r="M4008" t="str">
            <v>C5013</v>
          </cell>
          <cell r="N4008" t="str">
            <v>Eastern Tal Sinan\تل سنان شرقي</v>
          </cell>
        </row>
        <row r="4009">
          <cell r="L4009" t="str">
            <v>SY080400</v>
          </cell>
          <cell r="M4009" t="str">
            <v>C4985</v>
          </cell>
          <cell r="N4009" t="str">
            <v>Hakimeh\حكيمة</v>
          </cell>
        </row>
        <row r="4010">
          <cell r="L4010" t="str">
            <v>SY080400</v>
          </cell>
          <cell r="M4010" t="str">
            <v>C4987</v>
          </cell>
          <cell r="N4010" t="str">
            <v>Kabsh\الكبش</v>
          </cell>
        </row>
        <row r="4011">
          <cell r="L4011" t="str">
            <v>SY080400</v>
          </cell>
          <cell r="M4011" t="str">
            <v>C5010</v>
          </cell>
          <cell r="N4011" t="str">
            <v>Kherbet Hamid\خربة حميد</v>
          </cell>
        </row>
        <row r="4012">
          <cell r="L4012" t="str">
            <v>SY080400</v>
          </cell>
          <cell r="M4012" t="str">
            <v>C5004</v>
          </cell>
          <cell r="N4012" t="str">
            <v>Kherbet Jamu\خربة جمو</v>
          </cell>
        </row>
        <row r="4013">
          <cell r="L4013" t="str">
            <v>SY080400</v>
          </cell>
          <cell r="M4013" t="str">
            <v>C5022</v>
          </cell>
          <cell r="N4013" t="str">
            <v>Kisreh\كسرة</v>
          </cell>
        </row>
        <row r="4014">
          <cell r="L4014" t="str">
            <v>SY080400</v>
          </cell>
          <cell r="M4014" t="str">
            <v>C5027</v>
          </cell>
          <cell r="N4014" t="str">
            <v>Mabruka\مبروكة</v>
          </cell>
        </row>
        <row r="4015">
          <cell r="L4015" t="str">
            <v>SY080400</v>
          </cell>
          <cell r="M4015" t="str">
            <v>C5017</v>
          </cell>
          <cell r="N4015" t="str">
            <v>Manajir\المناجير</v>
          </cell>
        </row>
        <row r="4016">
          <cell r="L4016" t="str">
            <v>SY080400</v>
          </cell>
          <cell r="M4016" t="str">
            <v>C5025</v>
          </cell>
          <cell r="N4016" t="str">
            <v>Masjid\مسجد</v>
          </cell>
        </row>
        <row r="4017">
          <cell r="L4017" t="str">
            <v>SY080400</v>
          </cell>
          <cell r="M4017" t="str">
            <v>C5026</v>
          </cell>
          <cell r="N4017" t="str">
            <v>Mbarkiyeh\مباركية</v>
          </cell>
        </row>
        <row r="4018">
          <cell r="L4018" t="str">
            <v>SY080400</v>
          </cell>
          <cell r="M4018" t="str">
            <v>C5024</v>
          </cell>
          <cell r="N4018" t="str">
            <v>Mjeibreh\مجيبرة</v>
          </cell>
        </row>
        <row r="4019">
          <cell r="L4019" t="str">
            <v>SY080400</v>
          </cell>
          <cell r="M4019" t="str">
            <v>C5023</v>
          </cell>
          <cell r="N4019" t="str">
            <v>Modan\مدان</v>
          </cell>
        </row>
        <row r="4020">
          <cell r="L4020" t="str">
            <v>SY080400</v>
          </cell>
          <cell r="M4020" t="str">
            <v>C5021</v>
          </cell>
          <cell r="N4020" t="str">
            <v>Qotniyeh\قطينة</v>
          </cell>
        </row>
        <row r="4021">
          <cell r="L4021" t="str">
            <v>SY080400</v>
          </cell>
          <cell r="M4021" t="str">
            <v>C4988</v>
          </cell>
          <cell r="N4021" t="str">
            <v>Ras Al Ain\رأس العين</v>
          </cell>
        </row>
        <row r="4022">
          <cell r="L4022" t="str">
            <v>SY080400</v>
          </cell>
          <cell r="M4022" t="str">
            <v>C5007</v>
          </cell>
          <cell r="N4022" t="str">
            <v>Rawya\الراوية</v>
          </cell>
        </row>
        <row r="4023">
          <cell r="L4023" t="str">
            <v>SY080400</v>
          </cell>
          <cell r="M4023" t="str">
            <v>C4989</v>
          </cell>
          <cell r="N4023" t="str">
            <v>Safh Ras El Ein\السفح راس العين</v>
          </cell>
        </row>
        <row r="4024">
          <cell r="L4024" t="str">
            <v>SY080400</v>
          </cell>
          <cell r="M4024" t="str">
            <v>C5018</v>
          </cell>
          <cell r="N4024" t="str">
            <v>Salhiyeh Mala Khader\صالحية ملا خضر</v>
          </cell>
        </row>
        <row r="4025">
          <cell r="L4025" t="str">
            <v>SY080400</v>
          </cell>
          <cell r="M4025" t="str">
            <v>C5014</v>
          </cell>
          <cell r="N4025" t="str">
            <v>Shara\الشارة</v>
          </cell>
        </row>
        <row r="4026">
          <cell r="L4026" t="str">
            <v>SY080400</v>
          </cell>
          <cell r="M4026" t="str">
            <v>C4984</v>
          </cell>
          <cell r="N4026" t="str">
            <v>Siwan\الصوان</v>
          </cell>
        </row>
        <row r="4027">
          <cell r="L4027" t="str">
            <v>SY080400</v>
          </cell>
          <cell r="M4027" t="str">
            <v>C5001</v>
          </cell>
          <cell r="N4027" t="str">
            <v>Tal Baydar Ras El Ein\تل بيدر راس العين</v>
          </cell>
        </row>
        <row r="4028">
          <cell r="L4028" t="str">
            <v>SY080400</v>
          </cell>
          <cell r="M4028" t="str">
            <v>C5015</v>
          </cell>
          <cell r="N4028" t="str">
            <v>Tal Elamir\تل الأمير</v>
          </cell>
        </row>
        <row r="4029">
          <cell r="L4029" t="str">
            <v>SY080400</v>
          </cell>
          <cell r="M4029" t="str">
            <v>C6368</v>
          </cell>
          <cell r="N4029" t="str">
            <v>Tal Elsafa\تل الصفا</v>
          </cell>
        </row>
        <row r="4030">
          <cell r="L4030" t="str">
            <v>SY080400</v>
          </cell>
          <cell r="M4030" t="str">
            <v>C5002</v>
          </cell>
          <cell r="N4030" t="str">
            <v>Tal Halaf\تل حلف</v>
          </cell>
        </row>
        <row r="4031">
          <cell r="L4031" t="str">
            <v>SY080400</v>
          </cell>
          <cell r="M4031" t="str">
            <v>C4990</v>
          </cell>
          <cell r="N4031" t="str">
            <v>Tal Harmal\تل حرمل</v>
          </cell>
        </row>
        <row r="4032">
          <cell r="L4032" t="str">
            <v>SY080400</v>
          </cell>
          <cell r="M4032" t="str">
            <v>C5012</v>
          </cell>
          <cell r="N4032" t="str">
            <v>Tal Sheer Ras El Ein\تل شعير راس العين</v>
          </cell>
        </row>
        <row r="4033">
          <cell r="L4033" t="str">
            <v>SY080400</v>
          </cell>
          <cell r="M4033" t="str">
            <v>C4995</v>
          </cell>
          <cell r="N4033" t="str">
            <v>Thamud\ثمود</v>
          </cell>
        </row>
        <row r="4034">
          <cell r="L4034" t="str">
            <v>SY080400</v>
          </cell>
          <cell r="M4034" t="str">
            <v>C5006</v>
          </cell>
          <cell r="N4034" t="str">
            <v>Um Elasafir\أم العصافير</v>
          </cell>
        </row>
        <row r="4035">
          <cell r="L4035" t="str">
            <v>SY080400</v>
          </cell>
          <cell r="M4035" t="str">
            <v>C4994</v>
          </cell>
          <cell r="N4035" t="str">
            <v>Um Harmala\أم حرملة</v>
          </cell>
        </row>
        <row r="4036">
          <cell r="L4036" t="str">
            <v>SY080400</v>
          </cell>
          <cell r="M4036" t="str">
            <v>C4992</v>
          </cell>
          <cell r="N4036" t="str">
            <v>Umirt\أميرط</v>
          </cell>
        </row>
        <row r="4037">
          <cell r="L4037" t="str">
            <v>SY080400</v>
          </cell>
          <cell r="M4037" t="str">
            <v>C4991</v>
          </cell>
          <cell r="N4037" t="str">
            <v>Western Abdel Salam\عبد السلام غربي</v>
          </cell>
        </row>
        <row r="4038">
          <cell r="L4038" t="str">
            <v>SY080400</v>
          </cell>
          <cell r="M4038" t="str">
            <v>C6369</v>
          </cell>
          <cell r="N4038" t="str">
            <v>Western Alyeh\العالية الغربية</v>
          </cell>
        </row>
        <row r="4039">
          <cell r="L4039" t="str">
            <v>SY080400</v>
          </cell>
          <cell r="M4039" t="str">
            <v>C5003</v>
          </cell>
          <cell r="N4039" t="str">
            <v>Western Rabiat\ربيعات غربي</v>
          </cell>
        </row>
        <row r="4040">
          <cell r="L4040" t="str">
            <v>SY080400</v>
          </cell>
          <cell r="M4040" t="str">
            <v>C5011</v>
          </cell>
          <cell r="N4040" t="str">
            <v>Western Tal Elward\تل الورد غربي</v>
          </cell>
        </row>
        <row r="4041">
          <cell r="L4041" t="str">
            <v>SY080400</v>
          </cell>
          <cell r="M4041" t="str">
            <v>C4993</v>
          </cell>
          <cell r="N4041" t="str">
            <v>Zaydiyeh Ras El Ein\الزيدية رأس العين</v>
          </cell>
        </row>
        <row r="4042">
          <cell r="L4042" t="str">
            <v>SY080401</v>
          </cell>
          <cell r="M4042" t="str">
            <v>C5034</v>
          </cell>
          <cell r="N4042" t="str">
            <v>Abu Jarada\أبو جرادة</v>
          </cell>
        </row>
        <row r="4043">
          <cell r="L4043" t="str">
            <v>SY080401</v>
          </cell>
          <cell r="M4043" t="str">
            <v>C5058</v>
          </cell>
          <cell r="N4043" t="str">
            <v>Abu Kala\أبو كالة</v>
          </cell>
        </row>
        <row r="4044">
          <cell r="L4044" t="str">
            <v>SY080401</v>
          </cell>
          <cell r="M4044" t="str">
            <v>C5063</v>
          </cell>
          <cell r="N4044" t="str">
            <v>Bsheiriyeh\بشيرية</v>
          </cell>
        </row>
        <row r="4045">
          <cell r="L4045" t="str">
            <v>SY080401</v>
          </cell>
          <cell r="M4045" t="str">
            <v>C5032</v>
          </cell>
          <cell r="N4045" t="str">
            <v>Dabash\دبش</v>
          </cell>
        </row>
        <row r="4046">
          <cell r="L4046" t="str">
            <v>SY080401</v>
          </cell>
          <cell r="M4046" t="str">
            <v>C5049</v>
          </cell>
          <cell r="N4046" t="str">
            <v>Dakuk\دكوك</v>
          </cell>
        </row>
        <row r="4047">
          <cell r="L4047" t="str">
            <v>SY080401</v>
          </cell>
          <cell r="M4047" t="str">
            <v>C5047</v>
          </cell>
          <cell r="N4047" t="str">
            <v>Dalawi\دلاوية</v>
          </cell>
        </row>
        <row r="4048">
          <cell r="L4048" t="str">
            <v>SY080401</v>
          </cell>
          <cell r="M4048" t="str">
            <v>C5054</v>
          </cell>
          <cell r="N4048" t="str">
            <v>Darbasiyah\الدرباسية</v>
          </cell>
        </row>
        <row r="4049">
          <cell r="L4049" t="str">
            <v>SY080401</v>
          </cell>
          <cell r="M4049" t="str">
            <v>C5042</v>
          </cell>
          <cell r="N4049" t="str">
            <v>Eastern Ethamiyeh\عظامية شرقية</v>
          </cell>
        </row>
        <row r="4050">
          <cell r="L4050" t="str">
            <v>SY080401</v>
          </cell>
          <cell r="M4050" t="str">
            <v>C5074</v>
          </cell>
          <cell r="N4050" t="str">
            <v>Eastern Fatima\فاطمة الشرقية</v>
          </cell>
        </row>
        <row r="4051">
          <cell r="L4051" t="str">
            <v>SY080401</v>
          </cell>
          <cell r="M4051" t="str">
            <v>C5070</v>
          </cell>
          <cell r="N4051" t="str">
            <v>Eastern Salhiyeh\صالحية شرقية</v>
          </cell>
        </row>
        <row r="4052">
          <cell r="L4052" t="str">
            <v>SY080401</v>
          </cell>
          <cell r="M4052" t="str">
            <v>C5072</v>
          </cell>
          <cell r="N4052" t="str">
            <v>Farfara Derbasiyeh\فرفرة درباسية</v>
          </cell>
        </row>
        <row r="4053">
          <cell r="L4053" t="str">
            <v>SY080401</v>
          </cell>
          <cell r="M4053" t="str">
            <v>C5076</v>
          </cell>
          <cell r="N4053" t="str">
            <v>Fath Allah\فتح الله</v>
          </cell>
        </row>
        <row r="4054">
          <cell r="L4054" t="str">
            <v>SY080401</v>
          </cell>
          <cell r="M4054" t="str">
            <v>C5075</v>
          </cell>
          <cell r="N4054" t="str">
            <v>Habu\هبو</v>
          </cell>
        </row>
        <row r="4055">
          <cell r="L4055" t="str">
            <v>SY080401</v>
          </cell>
          <cell r="M4055" t="str">
            <v>C6375</v>
          </cell>
          <cell r="N4055" t="str">
            <v>Hajiyeh\هاجية</v>
          </cell>
        </row>
        <row r="4056">
          <cell r="L4056" t="str">
            <v>SY080401</v>
          </cell>
          <cell r="M4056" t="str">
            <v>C5037</v>
          </cell>
          <cell r="N4056" t="str">
            <v>Hamadaniyeh\حمدانية</v>
          </cell>
        </row>
        <row r="4057">
          <cell r="L4057" t="str">
            <v>SY080401</v>
          </cell>
          <cell r="M4057" t="str">
            <v>C5035</v>
          </cell>
          <cell r="N4057" t="str">
            <v>Harshawiyeh\الحرشاوية</v>
          </cell>
        </row>
        <row r="4058">
          <cell r="L4058" t="str">
            <v>SY080401</v>
          </cell>
          <cell r="M4058" t="str">
            <v>C5068</v>
          </cell>
          <cell r="N4058" t="str">
            <v>Heno\الحنو</v>
          </cell>
        </row>
        <row r="4059">
          <cell r="L4059" t="str">
            <v>SY080401</v>
          </cell>
          <cell r="M4059" t="str">
            <v>C5041</v>
          </cell>
          <cell r="N4059" t="str">
            <v>Jatal\جطل</v>
          </cell>
        </row>
        <row r="4060">
          <cell r="L4060" t="str">
            <v>SY080401</v>
          </cell>
          <cell r="M4060" t="str">
            <v>C5066</v>
          </cell>
          <cell r="N4060" t="str">
            <v>Jdideh\جديدة</v>
          </cell>
        </row>
        <row r="4061">
          <cell r="L4061" t="str">
            <v>SY080401</v>
          </cell>
          <cell r="M4061" t="str">
            <v>C5055</v>
          </cell>
          <cell r="N4061" t="str">
            <v>Jole\الجول</v>
          </cell>
        </row>
        <row r="4062">
          <cell r="L4062" t="str">
            <v>SY080401</v>
          </cell>
          <cell r="M4062" t="str">
            <v>C5048</v>
          </cell>
          <cell r="N4062" t="str">
            <v>Khatuna\خاتونة</v>
          </cell>
        </row>
        <row r="4063">
          <cell r="L4063" t="str">
            <v>SY080401</v>
          </cell>
          <cell r="M4063" t="str">
            <v>C5033</v>
          </cell>
          <cell r="N4063" t="str">
            <v>Khazneh\خزنة</v>
          </cell>
        </row>
        <row r="4064">
          <cell r="L4064" t="str">
            <v>SY080401</v>
          </cell>
          <cell r="M4064" t="str">
            <v>C5061</v>
          </cell>
          <cell r="N4064" t="str">
            <v>Kukh\الكوخ</v>
          </cell>
        </row>
        <row r="4065">
          <cell r="L4065" t="str">
            <v>SY080401</v>
          </cell>
          <cell r="M4065" t="str">
            <v>C5059</v>
          </cell>
          <cell r="N4065" t="str">
            <v>Lower Tal Karam\تل كرم تحتاني</v>
          </cell>
        </row>
        <row r="4066">
          <cell r="L4066" t="str">
            <v>SY080401</v>
          </cell>
          <cell r="M4066" t="str">
            <v>C5065</v>
          </cell>
          <cell r="N4066" t="str">
            <v>Mahmudiyeh\المحمودية</v>
          </cell>
        </row>
        <row r="4067">
          <cell r="L4067" t="str">
            <v>SY080401</v>
          </cell>
          <cell r="M4067" t="str">
            <v>C5073</v>
          </cell>
          <cell r="N4067" t="str">
            <v>Malak\ملك</v>
          </cell>
        </row>
        <row r="4068">
          <cell r="L4068" t="str">
            <v>SY080401</v>
          </cell>
          <cell r="M4068" t="str">
            <v>C5051</v>
          </cell>
          <cell r="N4068" t="str">
            <v>Mashquq\المشقوق</v>
          </cell>
        </row>
        <row r="4069">
          <cell r="L4069" t="str">
            <v>SY080401</v>
          </cell>
          <cell r="M4069" t="str">
            <v>C5077</v>
          </cell>
          <cell r="N4069" t="str">
            <v>Mishraq\مشراق</v>
          </cell>
        </row>
        <row r="4070">
          <cell r="L4070" t="str">
            <v>SY080401</v>
          </cell>
          <cell r="M4070" t="str">
            <v>C6373</v>
          </cell>
          <cell r="N4070" t="str">
            <v>Motasallem\متسلم</v>
          </cell>
        </row>
        <row r="4071">
          <cell r="L4071" t="str">
            <v>SY080401</v>
          </cell>
          <cell r="M4071" t="str">
            <v>C5030</v>
          </cell>
          <cell r="N4071" t="str">
            <v>Quneitra\القنيطرة</v>
          </cell>
        </row>
        <row r="4072">
          <cell r="L4072" t="str">
            <v>SY080401</v>
          </cell>
          <cell r="M4072" t="str">
            <v>C5062</v>
          </cell>
          <cell r="N4072" t="str">
            <v>Rashidiyeh Derbasiyeh\رشيدية درباسية</v>
          </cell>
        </row>
        <row r="4073">
          <cell r="L4073" t="str">
            <v>SY080401</v>
          </cell>
          <cell r="M4073" t="str">
            <v>C5043</v>
          </cell>
          <cell r="N4073" t="str">
            <v>Rihaniyet Shamr\ريحانية شمر</v>
          </cell>
        </row>
        <row r="4074">
          <cell r="L4074" t="str">
            <v>SY080401</v>
          </cell>
          <cell r="M4074" t="str">
            <v>C5057</v>
          </cell>
          <cell r="N4074" t="str">
            <v>Saadia Derbasiya\سعدية درباسية</v>
          </cell>
        </row>
        <row r="4075">
          <cell r="L4075" t="str">
            <v>SY080401</v>
          </cell>
          <cell r="M4075" t="str">
            <v>C5036</v>
          </cell>
          <cell r="N4075" t="str">
            <v>Salam\ســــــلام</v>
          </cell>
        </row>
        <row r="4076">
          <cell r="L4076" t="str">
            <v>SY080401</v>
          </cell>
          <cell r="M4076" t="str">
            <v>C5028</v>
          </cell>
          <cell r="N4076" t="str">
            <v>Second Jozat \جوزات ثانية</v>
          </cell>
        </row>
        <row r="4077">
          <cell r="L4077" t="str">
            <v>SY080401</v>
          </cell>
          <cell r="M4077" t="str">
            <v>C6374</v>
          </cell>
          <cell r="N4077" t="str">
            <v>Shafaqa\شفقة</v>
          </cell>
        </row>
        <row r="4078">
          <cell r="L4078" t="str">
            <v>SY080401</v>
          </cell>
          <cell r="M4078" t="str">
            <v>C6376</v>
          </cell>
          <cell r="N4078" t="str">
            <v>Sharifa\شريفة</v>
          </cell>
        </row>
        <row r="4079">
          <cell r="L4079" t="str">
            <v>SY080401</v>
          </cell>
          <cell r="M4079" t="str">
            <v>C6371</v>
          </cell>
          <cell r="N4079" t="str">
            <v>Southern Khas\خاص جنوبي</v>
          </cell>
        </row>
        <row r="4080">
          <cell r="L4080" t="str">
            <v>SY080401</v>
          </cell>
          <cell r="M4080" t="str">
            <v>C5045</v>
          </cell>
          <cell r="N4080" t="str">
            <v>Tal Abbud\تل عبود</v>
          </cell>
        </row>
        <row r="4081">
          <cell r="L4081" t="str">
            <v>SY080401</v>
          </cell>
          <cell r="M4081" t="str">
            <v>C5038</v>
          </cell>
          <cell r="N4081" t="str">
            <v>Tal Aylul\تل ايلول</v>
          </cell>
        </row>
        <row r="4082">
          <cell r="L4082" t="str">
            <v>SY080401</v>
          </cell>
          <cell r="M4082" t="str">
            <v>C5039</v>
          </cell>
          <cell r="N4082" t="str">
            <v>Tal Baqar\تل بقر</v>
          </cell>
        </row>
        <row r="4083">
          <cell r="L4083" t="str">
            <v>SY080401</v>
          </cell>
          <cell r="M4083" t="str">
            <v>C5040</v>
          </cell>
          <cell r="N4083" t="str">
            <v>Tal Dik\تل ديك</v>
          </cell>
        </row>
        <row r="4084">
          <cell r="L4084" t="str">
            <v>SY080401</v>
          </cell>
          <cell r="M4084" t="str">
            <v>C5069</v>
          </cell>
          <cell r="N4084" t="str">
            <v>Tal Khabbaz\تل خباز</v>
          </cell>
        </row>
        <row r="4085">
          <cell r="L4085" t="str">
            <v>SY080401</v>
          </cell>
          <cell r="M4085" t="str">
            <v>C5050</v>
          </cell>
          <cell r="N4085" t="str">
            <v>Tal Sukkar\تل سكر</v>
          </cell>
        </row>
        <row r="4086">
          <cell r="L4086" t="str">
            <v>SY080401</v>
          </cell>
          <cell r="M4086" t="str">
            <v>C5056</v>
          </cell>
          <cell r="N4086" t="str">
            <v>Tal Tishrine\تل تشرين</v>
          </cell>
        </row>
        <row r="4087">
          <cell r="L4087" t="str">
            <v>SY080401</v>
          </cell>
          <cell r="M4087" t="str">
            <v>C5064</v>
          </cell>
          <cell r="N4087" t="str">
            <v>Thahr El Arab\ظهر العرب</v>
          </cell>
        </row>
        <row r="4088">
          <cell r="L4088" t="str">
            <v>SY080401</v>
          </cell>
          <cell r="M4088" t="str">
            <v>C5060</v>
          </cell>
          <cell r="N4088" t="str">
            <v>Torat\تورات</v>
          </cell>
        </row>
        <row r="4089">
          <cell r="L4089" t="str">
            <v>SY080401</v>
          </cell>
          <cell r="M4089" t="str">
            <v>C5031</v>
          </cell>
          <cell r="N4089" t="str">
            <v>Treifawi\طريفاوي</v>
          </cell>
        </row>
        <row r="4090">
          <cell r="L4090" t="str">
            <v>SY080401</v>
          </cell>
          <cell r="M4090" t="str">
            <v>C5029</v>
          </cell>
          <cell r="N4090" t="str">
            <v>Turbeh\التربة</v>
          </cell>
        </row>
        <row r="4091">
          <cell r="L4091" t="str">
            <v>SY080401</v>
          </cell>
          <cell r="M4091" t="str">
            <v>C5053</v>
          </cell>
          <cell r="N4091" t="str">
            <v>Um Elshawali\أم الشوالي</v>
          </cell>
        </row>
        <row r="4092">
          <cell r="L4092" t="str">
            <v>SY080401</v>
          </cell>
          <cell r="M4092" t="str">
            <v>C5067</v>
          </cell>
          <cell r="N4092" t="str">
            <v>Upper Tal Ghazal\تل غزال فوقاني</v>
          </cell>
        </row>
        <row r="4093">
          <cell r="L4093" t="str">
            <v>SY080401</v>
          </cell>
          <cell r="M4093" t="str">
            <v>C5052</v>
          </cell>
          <cell r="N4093" t="str">
            <v>Upper Um Ayash \أم عياش فوقاني</v>
          </cell>
        </row>
        <row r="4094">
          <cell r="L4094" t="str">
            <v>SY080401</v>
          </cell>
          <cell r="M4094" t="str">
            <v>C6372</v>
          </cell>
          <cell r="N4094" t="str">
            <v>Western Alia\عالية غربية</v>
          </cell>
        </row>
        <row r="4095">
          <cell r="L4095" t="str">
            <v>SY080401</v>
          </cell>
          <cell r="M4095" t="str">
            <v>C5044</v>
          </cell>
          <cell r="N4095" t="str">
            <v>Western Ethamiyeh\عظامية غربية</v>
          </cell>
        </row>
        <row r="4096">
          <cell r="L4096" t="str">
            <v>SY080401</v>
          </cell>
          <cell r="M4096" t="str">
            <v>C5071</v>
          </cell>
          <cell r="N4096" t="str">
            <v>Western Fatima\فاطمة الغربية</v>
          </cell>
        </row>
        <row r="4097">
          <cell r="L4097" t="str">
            <v>SY080401</v>
          </cell>
          <cell r="M4097" t="str">
            <v>C5046</v>
          </cell>
          <cell r="N4097" t="str">
            <v>Western Shmuka\شموكة غربية</v>
          </cell>
        </row>
        <row r="4098">
          <cell r="L4098" t="str">
            <v>SY090100</v>
          </cell>
          <cell r="M4098" t="str">
            <v>C5081</v>
          </cell>
          <cell r="N4098" t="str">
            <v>Adman\عضمان</v>
          </cell>
        </row>
        <row r="4099">
          <cell r="L4099" t="str">
            <v>SY090100</v>
          </cell>
          <cell r="M4099" t="str">
            <v>C5078</v>
          </cell>
          <cell r="N4099" t="str">
            <v>Ayyash\عياش</v>
          </cell>
        </row>
        <row r="4100">
          <cell r="L4100" t="str">
            <v>SY090100</v>
          </cell>
          <cell r="M4100" t="str">
            <v>C5079</v>
          </cell>
          <cell r="N4100" t="str">
            <v>Baglieh\البغيلية</v>
          </cell>
        </row>
        <row r="4101">
          <cell r="L4101" t="str">
            <v>SY090100</v>
          </cell>
          <cell r="M4101" t="str">
            <v>C5086</v>
          </cell>
          <cell r="N4101" t="str">
            <v>Deir-ez-Zor\دير الزور</v>
          </cell>
        </row>
        <row r="4102">
          <cell r="L4102" t="str">
            <v>SY090100</v>
          </cell>
          <cell r="M4102" t="str">
            <v>C6311</v>
          </cell>
          <cell r="N4102" t="str">
            <v>Husseinieh\الحسينيه</v>
          </cell>
        </row>
        <row r="4103">
          <cell r="L4103" t="str">
            <v>SY090100</v>
          </cell>
          <cell r="M4103" t="str">
            <v>C5080</v>
          </cell>
          <cell r="N4103" t="str">
            <v>Jafra\الجفرة</v>
          </cell>
        </row>
        <row r="4104">
          <cell r="L4104" t="str">
            <v>SY090100</v>
          </cell>
          <cell r="M4104" t="str">
            <v>C6309</v>
          </cell>
          <cell r="N4104" t="str">
            <v>Jbeileh\جبيله</v>
          </cell>
        </row>
        <row r="4105">
          <cell r="L4105" t="str">
            <v>SY090100</v>
          </cell>
          <cell r="M4105" t="str">
            <v>C5089</v>
          </cell>
          <cell r="N4105" t="str">
            <v>Jiah\الجيعة</v>
          </cell>
        </row>
        <row r="4106">
          <cell r="L4106" t="str">
            <v>SY090100</v>
          </cell>
          <cell r="M4106" t="str">
            <v>C5084</v>
          </cell>
          <cell r="N4106" t="str">
            <v>Jneineh\الجنينة</v>
          </cell>
        </row>
        <row r="4107">
          <cell r="L4107" t="str">
            <v>SY090100</v>
          </cell>
          <cell r="M4107" t="str">
            <v>C5083</v>
          </cell>
          <cell r="N4107" t="str">
            <v>Julet El Gur\جولة الغر</v>
          </cell>
        </row>
        <row r="4108">
          <cell r="L4108" t="str">
            <v>SY090100</v>
          </cell>
          <cell r="M4108" t="str">
            <v>C5091</v>
          </cell>
          <cell r="N4108" t="str">
            <v>Kaba Jeb\كبا جب</v>
          </cell>
        </row>
        <row r="4109">
          <cell r="L4109" t="str">
            <v>SY090100</v>
          </cell>
          <cell r="M4109" t="str">
            <v>C5085</v>
          </cell>
          <cell r="N4109" t="str">
            <v>Maisheh\المعيشية</v>
          </cell>
        </row>
        <row r="4110">
          <cell r="L4110" t="str">
            <v>SY090100</v>
          </cell>
          <cell r="M4110" t="str">
            <v>C5090</v>
          </cell>
          <cell r="N4110" t="str">
            <v>Moezleh\معيزيلة</v>
          </cell>
        </row>
        <row r="4111">
          <cell r="L4111" t="str">
            <v>SY090100</v>
          </cell>
          <cell r="M4111" t="str">
            <v>C5088</v>
          </cell>
          <cell r="N4111" t="str">
            <v>Shaqra\شقرة</v>
          </cell>
        </row>
        <row r="4112">
          <cell r="L4112" t="str">
            <v>SY090100</v>
          </cell>
          <cell r="M4112" t="str">
            <v>C5087</v>
          </cell>
          <cell r="N4112" t="str">
            <v>Upper Safira\سفيرة فوقاني</v>
          </cell>
        </row>
        <row r="4113">
          <cell r="L4113" t="str">
            <v>SY090101</v>
          </cell>
          <cell r="M4113" t="str">
            <v>C5098</v>
          </cell>
          <cell r="N4113" t="str">
            <v>Abu Khashab\أبو خشب</v>
          </cell>
        </row>
        <row r="4114">
          <cell r="L4114" t="str">
            <v>SY090101</v>
          </cell>
          <cell r="M4114" t="str">
            <v>C5097</v>
          </cell>
          <cell r="N4114" t="str">
            <v>Ali\العلي</v>
          </cell>
        </row>
        <row r="4115">
          <cell r="L4115" t="str">
            <v>SY090101</v>
          </cell>
          <cell r="M4115" t="str">
            <v>C5095</v>
          </cell>
          <cell r="N4115" t="str">
            <v>Harmushiyeh\الهرموشية</v>
          </cell>
        </row>
        <row r="4116">
          <cell r="L4116" t="str">
            <v>SY090101</v>
          </cell>
          <cell r="M4116" t="str">
            <v>C5105</v>
          </cell>
          <cell r="N4116" t="str">
            <v>Hawayej Busamaa\حوايج بومصعة</v>
          </cell>
        </row>
        <row r="4117">
          <cell r="L4117" t="str">
            <v>SY090101</v>
          </cell>
          <cell r="M4117" t="str">
            <v>C5104</v>
          </cell>
          <cell r="N4117" t="str">
            <v>Hawayej Thyab Jazira\حوايج ذياب جزيرة</v>
          </cell>
        </row>
        <row r="4118">
          <cell r="L4118" t="str">
            <v>SY090101</v>
          </cell>
          <cell r="M4118" t="str">
            <v>C5100</v>
          </cell>
          <cell r="N4118" t="str">
            <v>Jazaret Elbuhmeid\جزرة البوحميد</v>
          </cell>
        </row>
        <row r="4119">
          <cell r="L4119" t="str">
            <v>SY090101</v>
          </cell>
          <cell r="M4119" t="str">
            <v>C5103</v>
          </cell>
          <cell r="N4119" t="str">
            <v>Jazaret Milaj\جزرة ميلاج</v>
          </cell>
        </row>
        <row r="4120">
          <cell r="L4120" t="str">
            <v>SY090101</v>
          </cell>
          <cell r="M4120" t="str">
            <v>C5094</v>
          </cell>
          <cell r="N4120" t="str">
            <v>Jerwan - Abu Elhbal\جروان_أبو الهبال</v>
          </cell>
        </row>
        <row r="4121">
          <cell r="L4121" t="str">
            <v>SY090101</v>
          </cell>
          <cell r="M4121" t="str">
            <v>C5096</v>
          </cell>
          <cell r="N4121" t="str">
            <v>Kasra\الكسرة</v>
          </cell>
        </row>
        <row r="4122">
          <cell r="L4122" t="str">
            <v>SY090101</v>
          </cell>
          <cell r="M4122" t="str">
            <v>C5099</v>
          </cell>
          <cell r="N4122" t="str">
            <v>Lower Safira\سفيرة تحتاني</v>
          </cell>
        </row>
        <row r="4123">
          <cell r="L4123" t="str">
            <v>SY090101</v>
          </cell>
          <cell r="M4123" t="str">
            <v>C5106</v>
          </cell>
          <cell r="N4123" t="str">
            <v>Mhemideh\محيميدة</v>
          </cell>
        </row>
        <row r="4124">
          <cell r="L4124" t="str">
            <v>SY090101</v>
          </cell>
          <cell r="M4124" t="str">
            <v>C5102</v>
          </cell>
          <cell r="N4124" t="str">
            <v>Sawa\الصعوة</v>
          </cell>
        </row>
        <row r="4125">
          <cell r="L4125" t="str">
            <v>SY090101</v>
          </cell>
          <cell r="M4125" t="str">
            <v>C5101</v>
          </cell>
          <cell r="N4125" t="str">
            <v>Shate\الشاطئ</v>
          </cell>
        </row>
        <row r="4126">
          <cell r="L4126" t="str">
            <v>SY090101</v>
          </cell>
          <cell r="M4126" t="str">
            <v>C5093</v>
          </cell>
          <cell r="N4126" t="str">
            <v>Zghir Jazireh\زغير جزيرة</v>
          </cell>
        </row>
        <row r="4127">
          <cell r="L4127" t="str">
            <v>SY090102</v>
          </cell>
          <cell r="M4127" t="str">
            <v>C5116</v>
          </cell>
          <cell r="N4127" t="str">
            <v>Barsham\برشم</v>
          </cell>
        </row>
        <row r="4128">
          <cell r="L4128" t="str">
            <v>SY090102</v>
          </cell>
          <cell r="M4128" t="str">
            <v>C5110</v>
          </cell>
          <cell r="N4128" t="str">
            <v>Basira\البصيرة</v>
          </cell>
        </row>
        <row r="4129">
          <cell r="L4129" t="str">
            <v>SY090102</v>
          </cell>
          <cell r="M4129" t="str">
            <v>C5107</v>
          </cell>
          <cell r="N4129" t="str">
            <v>Breiha\بريهة</v>
          </cell>
        </row>
        <row r="4130">
          <cell r="L4130" t="str">
            <v>SY090102</v>
          </cell>
          <cell r="M4130" t="str">
            <v>C5108</v>
          </cell>
          <cell r="N4130" t="str">
            <v>Daman\ضمان</v>
          </cell>
        </row>
        <row r="4131">
          <cell r="L4131" t="str">
            <v>SY090102</v>
          </cell>
          <cell r="M4131" t="str">
            <v>C5113</v>
          </cell>
          <cell r="N4131" t="str">
            <v>Hejneh\الحجنة</v>
          </cell>
        </row>
        <row r="4132">
          <cell r="L4132" t="str">
            <v>SY090102</v>
          </cell>
          <cell r="M4132" t="str">
            <v>C5118</v>
          </cell>
          <cell r="N4132" t="str">
            <v>Hilweh\الحلوة</v>
          </cell>
        </row>
        <row r="4133">
          <cell r="L4133" t="str">
            <v>SY090102</v>
          </cell>
          <cell r="M4133" t="str">
            <v>C5115</v>
          </cell>
          <cell r="N4133" t="str">
            <v>Kassar\الكسار</v>
          </cell>
        </row>
        <row r="4134">
          <cell r="L4134" t="str">
            <v>SY090102</v>
          </cell>
          <cell r="M4134" t="str">
            <v>C5121</v>
          </cell>
          <cell r="N4134" t="str">
            <v>Mashekh\ماشخ</v>
          </cell>
        </row>
        <row r="4135">
          <cell r="L4135" t="str">
            <v>SY090102</v>
          </cell>
          <cell r="M4135" t="str">
            <v>C5120</v>
          </cell>
          <cell r="N4135" t="str">
            <v>Sabha\الصبحة</v>
          </cell>
        </row>
        <row r="4136">
          <cell r="L4136" t="str">
            <v>SY090102</v>
          </cell>
          <cell r="M4136" t="str">
            <v>C5119</v>
          </cell>
          <cell r="N4136" t="str">
            <v>Shiheil\الشحيل</v>
          </cell>
        </row>
        <row r="4137">
          <cell r="L4137" t="str">
            <v>SY090102</v>
          </cell>
          <cell r="M4137" t="str">
            <v>C5109</v>
          </cell>
          <cell r="N4137" t="str">
            <v>Sokkar\السكر</v>
          </cell>
        </row>
        <row r="4138">
          <cell r="L4138" t="str">
            <v>SY090102</v>
          </cell>
          <cell r="M4138" t="str">
            <v>C5112</v>
          </cell>
          <cell r="N4138" t="str">
            <v>Tib Elfal\طيب الفال</v>
          </cell>
        </row>
        <row r="4139">
          <cell r="L4139" t="str">
            <v>SY090102</v>
          </cell>
          <cell r="M4139" t="str">
            <v>C5111</v>
          </cell>
          <cell r="N4139" t="str">
            <v>Tuwamiyeh\التوامية</v>
          </cell>
        </row>
        <row r="4140">
          <cell r="L4140" t="str">
            <v>SY090102</v>
          </cell>
          <cell r="M4140" t="str">
            <v>C5114</v>
          </cell>
          <cell r="N4140" t="str">
            <v>Zir\الزر</v>
          </cell>
        </row>
        <row r="4141">
          <cell r="L4141" t="str">
            <v>SY090103</v>
          </cell>
          <cell r="M4141" t="str">
            <v>C5123</v>
          </cell>
          <cell r="N4141" t="str">
            <v>Abed\العبد</v>
          </cell>
        </row>
        <row r="4142">
          <cell r="L4142" t="str">
            <v>SY090103</v>
          </cell>
          <cell r="M4142" t="str">
            <v>C6310</v>
          </cell>
          <cell r="N4142" t="str">
            <v>Abu Omar\أبو عمر</v>
          </cell>
        </row>
        <row r="4143">
          <cell r="L4143" t="str">
            <v>SY090103</v>
          </cell>
          <cell r="M4143" t="str">
            <v>C5124</v>
          </cell>
          <cell r="N4143" t="str">
            <v>Mreiyeh\المريعية</v>
          </cell>
        </row>
        <row r="4144">
          <cell r="L4144" t="str">
            <v>SY090103</v>
          </cell>
          <cell r="M4144" t="str">
            <v>C5127</v>
          </cell>
          <cell r="N4144" t="str">
            <v>Muhasan\موحسن</v>
          </cell>
        </row>
        <row r="4145">
          <cell r="L4145" t="str">
            <v>SY090103</v>
          </cell>
          <cell r="M4145" t="str">
            <v>C5126</v>
          </cell>
          <cell r="N4145" t="str">
            <v>Qetet Elbuleil\قطعة البوليل</v>
          </cell>
        </row>
        <row r="4146">
          <cell r="L4146" t="str">
            <v>SY090103</v>
          </cell>
          <cell r="M4146" t="str">
            <v>C5125</v>
          </cell>
          <cell r="N4146" t="str">
            <v>Tabiyet Shamiyeh\طابية شامية</v>
          </cell>
        </row>
        <row r="4147">
          <cell r="L4147" t="str">
            <v>SY090103</v>
          </cell>
          <cell r="M4147" t="str">
            <v>C5122</v>
          </cell>
          <cell r="N4147" t="str">
            <v>Toob\الطوب</v>
          </cell>
        </row>
        <row r="4148">
          <cell r="L4148" t="str">
            <v>SY090104</v>
          </cell>
          <cell r="M4148" t="str">
            <v>C5135</v>
          </cell>
          <cell r="N4148" t="str">
            <v>Buwaita\البويطية</v>
          </cell>
        </row>
        <row r="4149">
          <cell r="L4149" t="str">
            <v>SY090104</v>
          </cell>
          <cell r="M4149" t="str">
            <v>C5137</v>
          </cell>
          <cell r="N4149" t="str">
            <v>Enbeh\العنبه</v>
          </cell>
        </row>
        <row r="4150">
          <cell r="L4150" t="str">
            <v>SY090104</v>
          </cell>
          <cell r="M4150" t="str">
            <v>C5129</v>
          </cell>
          <cell r="N4150" t="str">
            <v>Hawayej Thyab Shamiyeh\حوايج ذياب شامية</v>
          </cell>
        </row>
        <row r="4151">
          <cell r="L4151" t="str">
            <v>SY090104</v>
          </cell>
          <cell r="M4151" t="str">
            <v>C5132</v>
          </cell>
          <cell r="N4151" t="str">
            <v>Kharita\الخريطة</v>
          </cell>
        </row>
        <row r="4152">
          <cell r="L4152" t="str">
            <v>SY090104</v>
          </cell>
          <cell r="M4152" t="str">
            <v>C5130</v>
          </cell>
          <cell r="N4152" t="str">
            <v>Masrab\المسرب</v>
          </cell>
        </row>
        <row r="4153">
          <cell r="L4153" t="str">
            <v>SY090104</v>
          </cell>
          <cell r="M4153" t="str">
            <v>C5138</v>
          </cell>
          <cell r="N4153" t="str">
            <v>Old Maadan\معدان عتيق</v>
          </cell>
        </row>
        <row r="4154">
          <cell r="L4154" t="str">
            <v>SY090104</v>
          </cell>
          <cell r="M4154" t="str">
            <v>C5134</v>
          </cell>
          <cell r="N4154" t="str">
            <v>Qasabiyeh\القصبي</v>
          </cell>
        </row>
        <row r="4155">
          <cell r="L4155" t="str">
            <v>SY090104</v>
          </cell>
          <cell r="M4155" t="str">
            <v>C5136</v>
          </cell>
          <cell r="N4155" t="str">
            <v>Shmeitiyeh\الشميطية</v>
          </cell>
        </row>
        <row r="4156">
          <cell r="L4156" t="str">
            <v>SY090104</v>
          </cell>
          <cell r="M4156" t="str">
            <v>C5131</v>
          </cell>
          <cell r="N4156" t="str">
            <v>Tabni\التبني</v>
          </cell>
        </row>
        <row r="4157">
          <cell r="L4157" t="str">
            <v>SY090104</v>
          </cell>
          <cell r="M4157" t="str">
            <v>C5133</v>
          </cell>
          <cell r="N4157" t="str">
            <v>Tarif\الطريف</v>
          </cell>
        </row>
        <row r="4158">
          <cell r="L4158" t="str">
            <v>SY090104</v>
          </cell>
          <cell r="M4158" t="str">
            <v>C5128</v>
          </cell>
          <cell r="N4158" t="str">
            <v>Zghir Shamiyeh\زغير شامية</v>
          </cell>
        </row>
        <row r="4159">
          <cell r="L4159" t="str">
            <v>SY090105</v>
          </cell>
          <cell r="M4159" t="str">
            <v>C5142</v>
          </cell>
          <cell r="N4159" t="str">
            <v>Dahleh\الدحلة</v>
          </cell>
        </row>
        <row r="4160">
          <cell r="L4160" t="str">
            <v>SY090105</v>
          </cell>
          <cell r="M4160" t="str">
            <v>C5143</v>
          </cell>
          <cell r="N4160" t="str">
            <v>Jdid Ekeidat\جديد عكيدات</v>
          </cell>
        </row>
        <row r="4161">
          <cell r="L4161" t="str">
            <v>SY090105</v>
          </cell>
          <cell r="M4161" t="str">
            <v>C5141</v>
          </cell>
          <cell r="N4161" t="str">
            <v>Jdidet Bikara\جديدة بكارة</v>
          </cell>
        </row>
        <row r="4162">
          <cell r="L4162" t="str">
            <v>SY090105</v>
          </cell>
          <cell r="M4162" t="str">
            <v>C5140</v>
          </cell>
          <cell r="N4162" t="str">
            <v>Khasham\خشام</v>
          </cell>
        </row>
        <row r="4163">
          <cell r="L4163" t="str">
            <v>SY090105</v>
          </cell>
          <cell r="M4163" t="str">
            <v>C5145</v>
          </cell>
          <cell r="N4163" t="str">
            <v>Mathlum\مظلوم</v>
          </cell>
        </row>
        <row r="4164">
          <cell r="L4164" t="str">
            <v>SY090105</v>
          </cell>
          <cell r="M4164" t="str">
            <v>C5146</v>
          </cell>
          <cell r="N4164" t="str">
            <v>Mrat\مراط</v>
          </cell>
        </row>
        <row r="4165">
          <cell r="L4165" t="str">
            <v>SY090105</v>
          </cell>
          <cell r="M4165" t="str">
            <v>C5139</v>
          </cell>
          <cell r="N4165" t="str">
            <v>Sadouni\السعدوني</v>
          </cell>
        </row>
        <row r="4166">
          <cell r="L4166" t="str">
            <v>SY090105</v>
          </cell>
          <cell r="M4166" t="str">
            <v>C5144</v>
          </cell>
          <cell r="N4166" t="str">
            <v>Tabiyet Jazira\طابية جزيرة</v>
          </cell>
        </row>
        <row r="4167">
          <cell r="L4167" t="str">
            <v>SY090106</v>
          </cell>
          <cell r="M4167" t="str">
            <v>C5147</v>
          </cell>
          <cell r="N4167" t="str">
            <v>Abul Nitel\أبو النيتل</v>
          </cell>
        </row>
        <row r="4168">
          <cell r="L4168" t="str">
            <v>SY090106</v>
          </cell>
          <cell r="M4168" t="str">
            <v>C5148</v>
          </cell>
          <cell r="N4168" t="str">
            <v>Bseitine\بسيتين</v>
          </cell>
        </row>
        <row r="4169">
          <cell r="L4169" t="str">
            <v>SY090106</v>
          </cell>
          <cell r="M4169" t="str">
            <v>C5158</v>
          </cell>
          <cell r="N4169" t="str">
            <v>Eastern Gharibeh\غريبة شرقية</v>
          </cell>
        </row>
        <row r="4170">
          <cell r="L4170" t="str">
            <v>SY090106</v>
          </cell>
          <cell r="M4170" t="str">
            <v>C5154</v>
          </cell>
          <cell r="N4170" t="str">
            <v>Hreiji\الحريجي</v>
          </cell>
        </row>
        <row r="4171">
          <cell r="L4171" t="str">
            <v>SY090106</v>
          </cell>
          <cell r="M4171" t="str">
            <v>C5150</v>
          </cell>
          <cell r="N4171" t="str">
            <v>Hreijiyeh\الحريجية</v>
          </cell>
        </row>
        <row r="4172">
          <cell r="L4172" t="str">
            <v>SY090106</v>
          </cell>
          <cell r="M4172" t="str">
            <v>C5153</v>
          </cell>
          <cell r="N4172" t="str">
            <v>Hssein\الحصين</v>
          </cell>
        </row>
        <row r="4173">
          <cell r="L4173" t="str">
            <v>SY090106</v>
          </cell>
          <cell r="M4173" t="str">
            <v>C5160</v>
          </cell>
          <cell r="N4173" t="str">
            <v>Jasmi\الجاسمي</v>
          </cell>
        </row>
        <row r="4174">
          <cell r="L4174" t="str">
            <v>SY090106</v>
          </cell>
          <cell r="M4174" t="str">
            <v>C5156</v>
          </cell>
          <cell r="N4174" t="str">
            <v>Jeryeh\جرية</v>
          </cell>
        </row>
        <row r="4175">
          <cell r="L4175" t="str">
            <v>SY090106</v>
          </cell>
          <cell r="M4175" t="str">
            <v>C5161</v>
          </cell>
          <cell r="N4175" t="str">
            <v>Moeijel\معيجيل</v>
          </cell>
        </row>
        <row r="4176">
          <cell r="L4176" t="str">
            <v>SY090106</v>
          </cell>
          <cell r="M4176" t="str">
            <v>C5155</v>
          </cell>
          <cell r="N4176" t="str">
            <v>Mweileh\المويلح</v>
          </cell>
        </row>
        <row r="4177">
          <cell r="L4177" t="str">
            <v>SY090106</v>
          </cell>
          <cell r="M4177" t="str">
            <v>C5152</v>
          </cell>
          <cell r="N4177" t="str">
            <v>Namliyeh\النملية</v>
          </cell>
        </row>
        <row r="4178">
          <cell r="L4178" t="str">
            <v>SY090106</v>
          </cell>
          <cell r="M4178" t="str">
            <v>C5151</v>
          </cell>
          <cell r="N4178" t="str">
            <v>Rabida\ربيضة</v>
          </cell>
        </row>
        <row r="4179">
          <cell r="L4179" t="str">
            <v>SY090106</v>
          </cell>
          <cell r="M4179" t="str">
            <v>C5149</v>
          </cell>
          <cell r="N4179" t="str">
            <v>Rweished\رويشد</v>
          </cell>
        </row>
        <row r="4180">
          <cell r="L4180" t="str">
            <v>SY090106</v>
          </cell>
          <cell r="M4180" t="str">
            <v>C5157</v>
          </cell>
          <cell r="N4180" t="str">
            <v>Sur\الصور</v>
          </cell>
        </row>
        <row r="4181">
          <cell r="L4181" t="str">
            <v>SY090106</v>
          </cell>
          <cell r="M4181" t="str">
            <v>C5159</v>
          </cell>
          <cell r="N4181" t="str">
            <v>Western Gharibeh\غريبة غربية</v>
          </cell>
        </row>
        <row r="4182">
          <cell r="L4182" t="str">
            <v>SY090200</v>
          </cell>
          <cell r="M4182" t="str">
            <v>C5167</v>
          </cell>
          <cell r="N4182" t="str">
            <v>Abu Kamal\البوكمال</v>
          </cell>
        </row>
        <row r="4183">
          <cell r="L4183" t="str">
            <v>SY090200</v>
          </cell>
          <cell r="M4183" t="str">
            <v>C5169</v>
          </cell>
          <cell r="N4183" t="str">
            <v>Ghabra \الغبرة</v>
          </cell>
        </row>
        <row r="4184">
          <cell r="L4184" t="str">
            <v>SY090200</v>
          </cell>
          <cell r="M4184" t="str">
            <v>C5164</v>
          </cell>
          <cell r="N4184" t="str">
            <v>Hasrat\حسرات</v>
          </cell>
        </row>
        <row r="4185">
          <cell r="L4185" t="str">
            <v>SY090200</v>
          </cell>
          <cell r="M4185" t="str">
            <v>C5162</v>
          </cell>
          <cell r="N4185" t="str">
            <v>Hura\الهرى</v>
          </cell>
        </row>
        <row r="4186">
          <cell r="L4186" t="str">
            <v>SY090200</v>
          </cell>
          <cell r="M4186" t="str">
            <v>C5170</v>
          </cell>
          <cell r="N4186" t="str">
            <v>Hurriyeh\الحرية</v>
          </cell>
        </row>
        <row r="4187">
          <cell r="L4187" t="str">
            <v>SY090200</v>
          </cell>
          <cell r="M4187" t="str">
            <v>C5171</v>
          </cell>
          <cell r="N4187" t="str">
            <v>Moezleh\معيزيلة</v>
          </cell>
        </row>
        <row r="4188">
          <cell r="L4188" t="str">
            <v>SY090200</v>
          </cell>
          <cell r="M4188" t="str">
            <v>C5166</v>
          </cell>
          <cell r="N4188" t="str">
            <v>Ramadi\الرمادى</v>
          </cell>
        </row>
        <row r="4189">
          <cell r="L4189" t="str">
            <v>SY090200</v>
          </cell>
          <cell r="M4189" t="str">
            <v>C5163</v>
          </cell>
          <cell r="N4189" t="str">
            <v>Siyal\السيال</v>
          </cell>
        </row>
        <row r="4190">
          <cell r="L4190" t="str">
            <v>SY090200</v>
          </cell>
          <cell r="M4190" t="str">
            <v>C5168</v>
          </cell>
          <cell r="N4190" t="str">
            <v>Sweiyeh\السويعية</v>
          </cell>
        </row>
        <row r="4191">
          <cell r="L4191" t="str">
            <v>SY090201</v>
          </cell>
          <cell r="M4191" t="str">
            <v>C5174</v>
          </cell>
          <cell r="N4191" t="str">
            <v>Abu Hamam\أبو حمام</v>
          </cell>
        </row>
        <row r="4192">
          <cell r="L4192" t="str">
            <v>SY090201</v>
          </cell>
          <cell r="M4192" t="str">
            <v>C5173</v>
          </cell>
          <cell r="N4192" t="str">
            <v>Gharanij\غرانيج</v>
          </cell>
        </row>
        <row r="4193">
          <cell r="L4193" t="str">
            <v>SY090201</v>
          </cell>
          <cell r="M4193" t="str">
            <v>C5175</v>
          </cell>
          <cell r="N4193" t="str">
            <v>Hajin\هجين</v>
          </cell>
        </row>
        <row r="4194">
          <cell r="L4194" t="str">
            <v>SY090201</v>
          </cell>
          <cell r="M4194" t="str">
            <v>C5172</v>
          </cell>
          <cell r="N4194" t="str">
            <v>Kishkiyeh\الكشكية</v>
          </cell>
        </row>
        <row r="4195">
          <cell r="L4195" t="str">
            <v>SY090202</v>
          </cell>
          <cell r="M4195" t="str">
            <v>C5180</v>
          </cell>
          <cell r="N4195" t="str">
            <v>Abbas\العباس</v>
          </cell>
        </row>
        <row r="4196">
          <cell r="L4196" t="str">
            <v>SY090202</v>
          </cell>
          <cell r="M4196" t="str">
            <v>C5178</v>
          </cell>
          <cell r="N4196" t="str">
            <v>Jalaa\الجلاء</v>
          </cell>
        </row>
        <row r="4197">
          <cell r="L4197" t="str">
            <v>SY090202</v>
          </cell>
          <cell r="M4197" t="str">
            <v>C5179</v>
          </cell>
          <cell r="N4197" t="str">
            <v>Qataa\القطعة</v>
          </cell>
        </row>
        <row r="4198">
          <cell r="L4198" t="str">
            <v>SY090202</v>
          </cell>
          <cell r="M4198" t="str">
            <v>C5176</v>
          </cell>
          <cell r="N4198" t="str">
            <v>Sabkha\الصبخة</v>
          </cell>
        </row>
        <row r="4199">
          <cell r="L4199" t="str">
            <v>SY090202</v>
          </cell>
          <cell r="M4199" t="str">
            <v>C5181</v>
          </cell>
          <cell r="N4199" t="str">
            <v>Salhiyeh\الصالحية</v>
          </cell>
        </row>
        <row r="4200">
          <cell r="L4200" t="str">
            <v>SY090202</v>
          </cell>
          <cell r="M4200" t="str">
            <v>C5177</v>
          </cell>
          <cell r="N4200" t="str">
            <v>Tothiyeh\الطوطحية</v>
          </cell>
        </row>
        <row r="4201">
          <cell r="L4201" t="str">
            <v>SY090203</v>
          </cell>
          <cell r="M4201" t="str">
            <v>C5185</v>
          </cell>
          <cell r="N4201" t="str">
            <v>Bubadran\البوبدران</v>
          </cell>
        </row>
        <row r="4202">
          <cell r="L4202" t="str">
            <v>SY090203</v>
          </cell>
          <cell r="M4202" t="str">
            <v>C5182</v>
          </cell>
          <cell r="N4202" t="str">
            <v>Marashdeh\المراشدة</v>
          </cell>
        </row>
        <row r="4203">
          <cell r="L4203" t="str">
            <v>SY090203</v>
          </cell>
          <cell r="M4203" t="str">
            <v>C5183</v>
          </cell>
          <cell r="N4203" t="str">
            <v>Shafa \الشعفة</v>
          </cell>
        </row>
        <row r="4204">
          <cell r="L4204" t="str">
            <v>SY090203</v>
          </cell>
          <cell r="M4204" t="str">
            <v>C5186</v>
          </cell>
          <cell r="N4204" t="str">
            <v>Sosa\السوسة</v>
          </cell>
        </row>
        <row r="4205">
          <cell r="L4205" t="str">
            <v>SY090203</v>
          </cell>
          <cell r="M4205" t="str">
            <v>C5184</v>
          </cell>
          <cell r="N4205" t="str">
            <v>Upper Baguz\الباغوز فوقاني</v>
          </cell>
        </row>
        <row r="4206">
          <cell r="L4206" t="str">
            <v>SY090300</v>
          </cell>
          <cell r="M4206" t="str">
            <v>C5192</v>
          </cell>
          <cell r="N4206" t="str">
            <v>Al Mayadin\الميادين</v>
          </cell>
        </row>
        <row r="4207">
          <cell r="L4207" t="str">
            <v>SY090300</v>
          </cell>
          <cell r="M4207" t="str">
            <v>C5191</v>
          </cell>
          <cell r="N4207" t="str">
            <v>Lower Baqras\بقرص تحتاني</v>
          </cell>
        </row>
        <row r="4208">
          <cell r="L4208" t="str">
            <v>SY090300</v>
          </cell>
          <cell r="M4208" t="str">
            <v>C5187</v>
          </cell>
          <cell r="N4208" t="str">
            <v>Lower Hawi Baqras\حاوي بقرص تحتاني</v>
          </cell>
        </row>
        <row r="4209">
          <cell r="L4209" t="str">
            <v>SY090300</v>
          </cell>
          <cell r="M4209" t="str">
            <v>C5194</v>
          </cell>
          <cell r="N4209" t="str">
            <v>Mahkan\محكان</v>
          </cell>
        </row>
        <row r="4210">
          <cell r="L4210" t="str">
            <v>SY090300</v>
          </cell>
          <cell r="M4210" t="str">
            <v>C5188</v>
          </cell>
          <cell r="N4210" t="str">
            <v>Saalu\سعلو</v>
          </cell>
        </row>
        <row r="4211">
          <cell r="L4211" t="str">
            <v>SY090300</v>
          </cell>
          <cell r="M4211" t="str">
            <v>C5193</v>
          </cell>
          <cell r="N4211" t="str">
            <v>Tiba\الطيبة</v>
          </cell>
        </row>
        <row r="4212">
          <cell r="L4212" t="str">
            <v>SY090300</v>
          </cell>
          <cell r="M4212" t="str">
            <v>C5190</v>
          </cell>
          <cell r="N4212" t="str">
            <v>Upper Baqras\بقرص فوقاني</v>
          </cell>
        </row>
        <row r="4213">
          <cell r="L4213" t="str">
            <v>SY090300</v>
          </cell>
          <cell r="M4213" t="str">
            <v>C5189</v>
          </cell>
          <cell r="N4213" t="str">
            <v>Zbara\الزبارى</v>
          </cell>
        </row>
        <row r="4214">
          <cell r="L4214" t="str">
            <v>SY090301</v>
          </cell>
          <cell r="M4214" t="str">
            <v>C5195</v>
          </cell>
          <cell r="N4214" t="str">
            <v>Abu Hardoub\أبو حردوب</v>
          </cell>
        </row>
        <row r="4215">
          <cell r="L4215" t="str">
            <v>SY090301</v>
          </cell>
          <cell r="M4215" t="str">
            <v>C5200</v>
          </cell>
          <cell r="N4215" t="str">
            <v>Darnaj\درنج</v>
          </cell>
        </row>
        <row r="4216">
          <cell r="L4216" t="str">
            <v>SY090301</v>
          </cell>
          <cell r="M4216" t="str">
            <v>C5203</v>
          </cell>
          <cell r="N4216" t="str">
            <v>Eastern Jarda\الجرذى الشرقي</v>
          </cell>
        </row>
        <row r="4217">
          <cell r="L4217" t="str">
            <v>SY090301</v>
          </cell>
          <cell r="M4217" t="str">
            <v>C5199</v>
          </cell>
          <cell r="N4217" t="str">
            <v>Hawayej\الحوايج</v>
          </cell>
        </row>
        <row r="4218">
          <cell r="L4218" t="str">
            <v>SY090301</v>
          </cell>
          <cell r="M4218" t="str">
            <v>C5204</v>
          </cell>
          <cell r="N4218" t="str">
            <v>Hawi Thibyan\حاوي ذيبان</v>
          </cell>
        </row>
        <row r="4219">
          <cell r="L4219" t="str">
            <v>SY090301</v>
          </cell>
          <cell r="M4219" t="str">
            <v>C5198</v>
          </cell>
          <cell r="N4219" t="str">
            <v>Karama\الكرامة</v>
          </cell>
        </row>
        <row r="4220">
          <cell r="L4220" t="str">
            <v>SY090301</v>
          </cell>
          <cell r="M4220" t="str">
            <v>C5201</v>
          </cell>
          <cell r="N4220" t="str">
            <v>Ragib\الرغيب</v>
          </cell>
        </row>
        <row r="4221">
          <cell r="L4221" t="str">
            <v>SY090301</v>
          </cell>
          <cell r="M4221" t="str">
            <v>C5196</v>
          </cell>
          <cell r="N4221" t="str">
            <v>Sweidan Jazira\سويدان جزيرة</v>
          </cell>
        </row>
        <row r="4222">
          <cell r="L4222" t="str">
            <v>SY090301</v>
          </cell>
          <cell r="M4222" t="str">
            <v>C5197</v>
          </cell>
          <cell r="N4222" t="str">
            <v>Tayyana\الطيانة</v>
          </cell>
        </row>
        <row r="4223">
          <cell r="L4223" t="str">
            <v>SY090301</v>
          </cell>
          <cell r="M4223" t="str">
            <v>C5202</v>
          </cell>
          <cell r="N4223" t="str">
            <v>Thiban\ذيبان</v>
          </cell>
        </row>
        <row r="4224">
          <cell r="L4224" t="str">
            <v>SY090302</v>
          </cell>
          <cell r="M4224" t="str">
            <v>C5210</v>
          </cell>
          <cell r="N4224" t="str">
            <v>Ashara\العشارة</v>
          </cell>
        </row>
        <row r="4225">
          <cell r="L4225" t="str">
            <v>SY090302</v>
          </cell>
          <cell r="M4225" t="str">
            <v>C5208</v>
          </cell>
          <cell r="N4225" t="str">
            <v>Dablan\دبلان</v>
          </cell>
        </row>
        <row r="4226">
          <cell r="L4226" t="str">
            <v>SY090302</v>
          </cell>
          <cell r="M4226" t="str">
            <v>C5209</v>
          </cell>
          <cell r="N4226" t="str">
            <v>Dweir\الدوير</v>
          </cell>
        </row>
        <row r="4227">
          <cell r="L4227" t="str">
            <v>SY090302</v>
          </cell>
          <cell r="M4227" t="str">
            <v>C5205</v>
          </cell>
          <cell r="N4227" t="str">
            <v>Gharibeh\غريبه</v>
          </cell>
        </row>
        <row r="4228">
          <cell r="L4228" t="str">
            <v>SY090302</v>
          </cell>
          <cell r="M4228" t="str">
            <v>C5207</v>
          </cell>
          <cell r="N4228" t="str">
            <v>Quriyeh\القورية</v>
          </cell>
        </row>
        <row r="4229">
          <cell r="L4229" t="str">
            <v>SY090302</v>
          </cell>
          <cell r="M4229" t="str">
            <v>C5211</v>
          </cell>
          <cell r="N4229" t="str">
            <v>Sbeikhan\صبيخان</v>
          </cell>
        </row>
        <row r="4230">
          <cell r="L4230" t="str">
            <v>SY090302</v>
          </cell>
          <cell r="M4230" t="str">
            <v>C5206</v>
          </cell>
          <cell r="N4230" t="str">
            <v>Tishrine\تشرين</v>
          </cell>
        </row>
        <row r="4231">
          <cell r="L4231" t="str">
            <v>SY100000</v>
          </cell>
          <cell r="M4231" t="str">
            <v>C5251</v>
          </cell>
          <cell r="N4231" t="str">
            <v>Badriyeh\بدرية</v>
          </cell>
        </row>
        <row r="4232">
          <cell r="L4232" t="str">
            <v>SY100000</v>
          </cell>
          <cell r="M4232" t="str">
            <v>C5250</v>
          </cell>
          <cell r="N4232" t="str">
            <v>Bahwa\بحوى</v>
          </cell>
        </row>
        <row r="4233">
          <cell r="L4233" t="str">
            <v>SY100000</v>
          </cell>
          <cell r="M4233" t="str">
            <v>C5219</v>
          </cell>
          <cell r="N4233" t="str">
            <v>Bakriyeh\بكرية</v>
          </cell>
        </row>
        <row r="4234">
          <cell r="L4234" t="str">
            <v>SY100000</v>
          </cell>
          <cell r="M4234" t="str">
            <v>C5227</v>
          </cell>
          <cell r="N4234" t="str">
            <v>Beit Basit\بيت باسط</v>
          </cell>
        </row>
        <row r="4235">
          <cell r="L4235" t="str">
            <v>SY100000</v>
          </cell>
          <cell r="M4235" t="str">
            <v>C5214</v>
          </cell>
          <cell r="N4235" t="str">
            <v>Beit Elayan\بيت عليان</v>
          </cell>
        </row>
        <row r="4236">
          <cell r="L4236" t="str">
            <v>SY100000</v>
          </cell>
          <cell r="M4236" t="str">
            <v>C5228</v>
          </cell>
          <cell r="N4236" t="str">
            <v>Beit Eljabal\بيت الجبل</v>
          </cell>
        </row>
        <row r="4237">
          <cell r="L4237" t="str">
            <v>SY100000</v>
          </cell>
          <cell r="M4237" t="str">
            <v>C5225</v>
          </cell>
          <cell r="N4237" t="str">
            <v>Beit Elkhatib\بيت الخطيب</v>
          </cell>
        </row>
        <row r="4238">
          <cell r="L4238" t="str">
            <v>SY100000</v>
          </cell>
          <cell r="M4238" t="str">
            <v>C5213</v>
          </cell>
          <cell r="N4238" t="str">
            <v>Beit Isamil - Lower Mahrak\بيت اسماعيل_محرك تحتاني</v>
          </cell>
        </row>
        <row r="4239">
          <cell r="L4239" t="str">
            <v>SY100000</v>
          </cell>
          <cell r="M4239" t="str">
            <v>C5215</v>
          </cell>
          <cell r="N4239" t="str">
            <v>Beit Kammuneh\بيت كمونة</v>
          </cell>
        </row>
        <row r="4240">
          <cell r="L4240" t="str">
            <v>SY100000</v>
          </cell>
          <cell r="M4240" t="str">
            <v>C5216</v>
          </cell>
          <cell r="N4240" t="str">
            <v>Beit Shihan\بيت شيحان</v>
          </cell>
        </row>
        <row r="4241">
          <cell r="L4241" t="str">
            <v>SY100000</v>
          </cell>
          <cell r="M4241" t="str">
            <v>C5224</v>
          </cell>
          <cell r="N4241" t="str">
            <v>Bezzaq\بزاق</v>
          </cell>
        </row>
        <row r="4242">
          <cell r="L4242" t="str">
            <v>SY100000</v>
          </cell>
          <cell r="M4242" t="str">
            <v>C5212</v>
          </cell>
          <cell r="N4242" t="str">
            <v>Bileh\بيلة</v>
          </cell>
        </row>
        <row r="4243">
          <cell r="L4243" t="str">
            <v>SY100000</v>
          </cell>
          <cell r="M4243" t="str">
            <v>C5222</v>
          </cell>
          <cell r="N4243" t="str">
            <v>Bismaqa\بسماقة</v>
          </cell>
        </row>
        <row r="4244">
          <cell r="L4244" t="str">
            <v>SY100000</v>
          </cell>
          <cell r="M4244" t="str">
            <v>C5218</v>
          </cell>
          <cell r="N4244" t="str">
            <v>Bmalka\بملكة</v>
          </cell>
        </row>
        <row r="4245">
          <cell r="L4245" t="str">
            <v>SY100000</v>
          </cell>
          <cell r="M4245" t="str">
            <v>C5240</v>
          </cell>
          <cell r="N4245" t="str">
            <v>Dahbash\دحباش</v>
          </cell>
        </row>
        <row r="4246">
          <cell r="L4246" t="str">
            <v>SY100000</v>
          </cell>
          <cell r="M4246" t="str">
            <v>C5248</v>
          </cell>
          <cell r="N4246" t="str">
            <v>Dahr Elshurfa\ضهر الشرفة</v>
          </cell>
        </row>
        <row r="4247">
          <cell r="L4247" t="str">
            <v>SY100000</v>
          </cell>
          <cell r="M4247" t="str">
            <v>C5249</v>
          </cell>
          <cell r="N4247" t="str">
            <v>Dahr Rajab\ضهر رجب</v>
          </cell>
        </row>
        <row r="4248">
          <cell r="L4248" t="str">
            <v>SY100000</v>
          </cell>
          <cell r="M4248" t="str">
            <v>C5226</v>
          </cell>
          <cell r="N4248" t="str">
            <v>Dweir Elsheikh Saed\دوير الشيخ سعد</v>
          </cell>
        </row>
        <row r="4249">
          <cell r="L4249" t="str">
            <v>SY100000</v>
          </cell>
          <cell r="M4249" t="str">
            <v>C5238</v>
          </cell>
          <cell r="N4249" t="str">
            <v>Ennabiya\عنابية</v>
          </cell>
        </row>
        <row r="4250">
          <cell r="L4250" t="str">
            <v>SY100000</v>
          </cell>
          <cell r="M4250" t="str">
            <v>C5234</v>
          </cell>
          <cell r="N4250" t="str">
            <v>Eskabola\اسقبولة</v>
          </cell>
        </row>
        <row r="4251">
          <cell r="L4251" t="str">
            <v>SY100000</v>
          </cell>
          <cell r="M4251" t="str">
            <v>C5237</v>
          </cell>
          <cell r="N4251" t="str">
            <v>Hamush Sarkasi\حاموش سرسكى</v>
          </cell>
        </row>
        <row r="4252">
          <cell r="L4252" t="str">
            <v>SY100000</v>
          </cell>
          <cell r="M4252" t="str">
            <v>C5239</v>
          </cell>
          <cell r="N4252" t="str">
            <v>Hikr Maabariyeh - Upper Mahrak\حكر معبرية_ محرك فوقاني</v>
          </cell>
        </row>
        <row r="4253">
          <cell r="L4253" t="str">
            <v>SY100000</v>
          </cell>
          <cell r="M4253" t="str">
            <v>C5243</v>
          </cell>
          <cell r="N4253" t="str">
            <v>Hisheh\الهيشة</v>
          </cell>
        </row>
        <row r="4254">
          <cell r="L4254" t="str">
            <v>SY100000</v>
          </cell>
          <cell r="M4254" t="str">
            <v>C5231</v>
          </cell>
          <cell r="N4254" t="str">
            <v>Jdeita\جديتة</v>
          </cell>
        </row>
        <row r="4255">
          <cell r="L4255" t="str">
            <v>SY100000</v>
          </cell>
          <cell r="M4255" t="str">
            <v>C5232</v>
          </cell>
          <cell r="N4255" t="str">
            <v>Jdidet Elbahr\جديدة البحر</v>
          </cell>
        </row>
        <row r="4256">
          <cell r="L4256" t="str">
            <v>SY100000</v>
          </cell>
          <cell r="M4256" t="str">
            <v>C5235</v>
          </cell>
          <cell r="N4256" t="str">
            <v>Jobi\جوبي</v>
          </cell>
        </row>
        <row r="4257">
          <cell r="L4257" t="str">
            <v>SY100000</v>
          </cell>
          <cell r="M4257" t="str">
            <v>C5253</v>
          </cell>
          <cell r="N4257" t="str">
            <v>Kafram - Ghafran\كفران_غفران</v>
          </cell>
        </row>
        <row r="4258">
          <cell r="L4258" t="str">
            <v>SY100000</v>
          </cell>
          <cell r="M4258" t="str">
            <v>C5230</v>
          </cell>
          <cell r="N4258" t="str">
            <v>Kherbet Elfaras\خربة الفرس</v>
          </cell>
        </row>
        <row r="4259">
          <cell r="L4259" t="str">
            <v>SY100000</v>
          </cell>
          <cell r="M4259" t="str">
            <v>C5233</v>
          </cell>
          <cell r="N4259" t="str">
            <v>Kherbet Elrih\خربة الريح</v>
          </cell>
        </row>
        <row r="4260">
          <cell r="L4260" t="str">
            <v>SY100000</v>
          </cell>
          <cell r="M4260" t="str">
            <v>C5217</v>
          </cell>
          <cell r="N4260" t="str">
            <v>Khreibat\الخريبات</v>
          </cell>
        </row>
        <row r="4261">
          <cell r="L4261" t="str">
            <v>SY100000</v>
          </cell>
          <cell r="M4261" t="str">
            <v>C5256</v>
          </cell>
          <cell r="N4261" t="str">
            <v>Majdalun Elbahr\مجدلون البحر</v>
          </cell>
        </row>
        <row r="4262">
          <cell r="L4262" t="str">
            <v>SY100000</v>
          </cell>
          <cell r="M4262" t="str">
            <v>C5254</v>
          </cell>
          <cell r="N4262" t="str">
            <v>Makshifani\مكشيفاني</v>
          </cell>
        </row>
        <row r="4263">
          <cell r="L4263" t="str">
            <v>SY100000</v>
          </cell>
          <cell r="M4263" t="str">
            <v>C5255</v>
          </cell>
          <cell r="N4263" t="str">
            <v>Masahin\مرسحين</v>
          </cell>
        </row>
        <row r="4264">
          <cell r="L4264" t="str">
            <v>SY100000</v>
          </cell>
          <cell r="M4264" t="str">
            <v>C5247</v>
          </cell>
          <cell r="N4264" t="str">
            <v>Matahriyeh\المطاهرية</v>
          </cell>
        </row>
        <row r="4265">
          <cell r="L4265" t="str">
            <v>SY100000</v>
          </cell>
          <cell r="M4265" t="str">
            <v>C5252</v>
          </cell>
          <cell r="N4265" t="str">
            <v>Mazugha - Manhal\مازوغة_منهل</v>
          </cell>
        </row>
        <row r="4266">
          <cell r="L4266" t="str">
            <v>SY100000</v>
          </cell>
          <cell r="M4266" t="str">
            <v>C5241</v>
          </cell>
          <cell r="N4266" t="str">
            <v>Naqib Qib\النقيب_قيب</v>
          </cell>
        </row>
        <row r="4267">
          <cell r="L4267" t="str">
            <v>SY100000</v>
          </cell>
          <cell r="M4267" t="str">
            <v>C5220</v>
          </cell>
          <cell r="N4267" t="str">
            <v>Oweineh\العوينية</v>
          </cell>
        </row>
        <row r="4268">
          <cell r="L4268" t="str">
            <v>SY100000</v>
          </cell>
          <cell r="M4268" t="str">
            <v>C5223</v>
          </cell>
          <cell r="N4268" t="str">
            <v>Qatlab\القطلب</v>
          </cell>
        </row>
        <row r="4269">
          <cell r="L4269" t="str">
            <v>SY100000</v>
          </cell>
          <cell r="M4269" t="str">
            <v>C5242</v>
          </cell>
          <cell r="N4269" t="str">
            <v>Sajno - Faraj\سجنو_فرج</v>
          </cell>
        </row>
        <row r="4270">
          <cell r="L4270" t="str">
            <v>SY100000</v>
          </cell>
          <cell r="M4270" t="str">
            <v>C5246</v>
          </cell>
          <cell r="N4270" t="str">
            <v>Shbat\شباط</v>
          </cell>
        </row>
        <row r="4271">
          <cell r="L4271" t="str">
            <v>SY100000</v>
          </cell>
          <cell r="M4271" t="str">
            <v>C5236</v>
          </cell>
          <cell r="N4271" t="str">
            <v>Sheikh Saed\الشيخ سعد</v>
          </cell>
        </row>
        <row r="4272">
          <cell r="L4272" t="str">
            <v>SY100000</v>
          </cell>
          <cell r="M4272" t="str">
            <v>C5221</v>
          </cell>
          <cell r="N4272" t="str">
            <v>Tartous\طرطوس</v>
          </cell>
        </row>
        <row r="4273">
          <cell r="L4273" t="str">
            <v>SY100000</v>
          </cell>
          <cell r="M4273" t="str">
            <v>C5229</v>
          </cell>
          <cell r="N4273" t="str">
            <v>Teishur\تيشور</v>
          </cell>
        </row>
        <row r="4274">
          <cell r="L4274" t="str">
            <v>SY100000</v>
          </cell>
          <cell r="M4274" t="str">
            <v>C5245</v>
          </cell>
          <cell r="N4274" t="str">
            <v>Wastat\الواسطات</v>
          </cell>
        </row>
        <row r="4275">
          <cell r="L4275" t="str">
            <v>SY100000</v>
          </cell>
          <cell r="M4275" t="str">
            <v>C5244</v>
          </cell>
          <cell r="N4275" t="str">
            <v>Western Saeen\ساعين غربية</v>
          </cell>
        </row>
        <row r="4276">
          <cell r="L4276" t="str">
            <v>SY100001</v>
          </cell>
          <cell r="M4276" t="str">
            <v>C5257</v>
          </cell>
          <cell r="N4276" t="str">
            <v>Arwad\أرواد</v>
          </cell>
        </row>
        <row r="4277">
          <cell r="L4277" t="str">
            <v>SY100002</v>
          </cell>
          <cell r="M4277" t="str">
            <v>C5269</v>
          </cell>
          <cell r="N4277" t="str">
            <v>Bani Naim\بني نعيم</v>
          </cell>
        </row>
        <row r="4278">
          <cell r="L4278" t="str">
            <v>SY100002</v>
          </cell>
          <cell r="M4278" t="str">
            <v>C5263</v>
          </cell>
          <cell r="N4278" t="str">
            <v>Bseseh\البصيصة</v>
          </cell>
        </row>
        <row r="4279">
          <cell r="L4279" t="str">
            <v>SY100002</v>
          </cell>
          <cell r="M4279" t="str">
            <v>C5261</v>
          </cell>
          <cell r="N4279" t="str">
            <v>Dkeka\الدكيكة</v>
          </cell>
        </row>
        <row r="4280">
          <cell r="L4280" t="str">
            <v>SY100002</v>
          </cell>
          <cell r="M4280" t="str">
            <v>C5264</v>
          </cell>
          <cell r="N4280" t="str">
            <v>Ein Elzarqa - Mintar\عين الزرقـا_منطار</v>
          </cell>
        </row>
        <row r="4281">
          <cell r="L4281" t="str">
            <v>SY100002</v>
          </cell>
          <cell r="M4281" t="str">
            <v>C5262</v>
          </cell>
          <cell r="N4281" t="str">
            <v>Hameidiyyeh\الحميدية</v>
          </cell>
        </row>
        <row r="4282">
          <cell r="L4282" t="str">
            <v>SY100002</v>
          </cell>
          <cell r="M4282" t="str">
            <v>C5268</v>
          </cell>
          <cell r="N4282" t="str">
            <v>Jamasa\الجماسة</v>
          </cell>
        </row>
        <row r="4283">
          <cell r="L4283" t="str">
            <v>SY100002</v>
          </cell>
          <cell r="M4283" t="str">
            <v>C5265</v>
          </cell>
          <cell r="N4283" t="str">
            <v>Jweismeh\جويميسة</v>
          </cell>
        </row>
        <row r="4284">
          <cell r="L4284" t="str">
            <v>SY100002</v>
          </cell>
          <cell r="M4284" t="str">
            <v>C5258</v>
          </cell>
          <cell r="N4284" t="str">
            <v>Kharaba\الخرابة</v>
          </cell>
        </row>
        <row r="4285">
          <cell r="L4285" t="str">
            <v>SY100002</v>
          </cell>
          <cell r="M4285" t="str">
            <v>C5259</v>
          </cell>
          <cell r="N4285" t="str">
            <v>Nawras\النورس</v>
          </cell>
        </row>
        <row r="4286">
          <cell r="L4286" t="str">
            <v>SY100002</v>
          </cell>
          <cell r="M4286" t="str">
            <v>C5266</v>
          </cell>
          <cell r="N4286" t="str">
            <v>Tiba Elmahdi\طيبة المهدي</v>
          </cell>
        </row>
        <row r="4287">
          <cell r="L4287" t="str">
            <v>SY100002</v>
          </cell>
          <cell r="M4287" t="str">
            <v>C5267</v>
          </cell>
          <cell r="N4287" t="str">
            <v>Zahed\زاهد</v>
          </cell>
        </row>
        <row r="4288">
          <cell r="L4288" t="str">
            <v>SY100002</v>
          </cell>
          <cell r="M4288" t="str">
            <v>C5260</v>
          </cell>
          <cell r="N4288" t="str">
            <v>Ziyadiyeh - Zbeidi\الزيادية_زبيدى</v>
          </cell>
        </row>
        <row r="4289">
          <cell r="L4289" t="str">
            <v>SY100003</v>
          </cell>
          <cell r="M4289" t="str">
            <v>C5270</v>
          </cell>
          <cell r="N4289" t="str">
            <v>Dananir - Dneikreh\الدنانير_دنيكره</v>
          </cell>
        </row>
        <row r="4290">
          <cell r="L4290" t="str">
            <v>SY100003</v>
          </cell>
          <cell r="M4290" t="str">
            <v>C5278</v>
          </cell>
          <cell r="N4290" t="str">
            <v>Karm Birm - Korum\كرم بيرم_كروم</v>
          </cell>
        </row>
        <row r="4291">
          <cell r="L4291" t="str">
            <v>SY100003</v>
          </cell>
          <cell r="M4291" t="str">
            <v>C5272</v>
          </cell>
          <cell r="N4291" t="str">
            <v>Kherbet Elma'aza\خربة المعزة</v>
          </cell>
        </row>
        <row r="4292">
          <cell r="L4292" t="str">
            <v>SY100003</v>
          </cell>
          <cell r="M4292" t="str">
            <v>C5275</v>
          </cell>
          <cell r="N4292" t="str">
            <v>Maniyet Yahmur\منية يحمور</v>
          </cell>
        </row>
        <row r="4293">
          <cell r="L4293" t="str">
            <v>SY100003</v>
          </cell>
          <cell r="M4293" t="str">
            <v>C5280</v>
          </cell>
          <cell r="N4293" t="str">
            <v>Miar Shaker\ميعار شاكر</v>
          </cell>
        </row>
        <row r="4294">
          <cell r="L4294" t="str">
            <v>SY100003</v>
          </cell>
          <cell r="M4294" t="str">
            <v>C5279</v>
          </cell>
          <cell r="N4294" t="str">
            <v>Qale Elyazidiyeh\قلع اليازدية</v>
          </cell>
        </row>
        <row r="4295">
          <cell r="L4295" t="str">
            <v>SY100003</v>
          </cell>
          <cell r="M4295" t="str">
            <v>C5274</v>
          </cell>
          <cell r="N4295" t="str">
            <v>Qobayba\القبيبة</v>
          </cell>
        </row>
        <row r="4296">
          <cell r="L4296" t="str">
            <v>SY100003</v>
          </cell>
          <cell r="M4296" t="str">
            <v>C5271</v>
          </cell>
          <cell r="N4296" t="str">
            <v>Samkeh\سمكة</v>
          </cell>
        </row>
        <row r="4297">
          <cell r="L4297" t="str">
            <v>SY100003</v>
          </cell>
          <cell r="M4297" t="str">
            <v>C5277</v>
          </cell>
          <cell r="N4297" t="str">
            <v>Waqf Elsheikh Ayash\وقف الشيخ عياش</v>
          </cell>
        </row>
        <row r="4298">
          <cell r="L4298" t="str">
            <v>SY100003</v>
          </cell>
          <cell r="M4298" t="str">
            <v>C5276</v>
          </cell>
          <cell r="N4298" t="str">
            <v>Yahmur\يحمور</v>
          </cell>
        </row>
        <row r="4299">
          <cell r="L4299" t="str">
            <v>SY100003</v>
          </cell>
          <cell r="M4299" t="str">
            <v>C5273</v>
          </cell>
          <cell r="N4299" t="str">
            <v>Zarqat\الزرقات</v>
          </cell>
        </row>
        <row r="4300">
          <cell r="L4300" t="str">
            <v>SY100004</v>
          </cell>
          <cell r="M4300" t="str">
            <v>C5281</v>
          </cell>
          <cell r="N4300" t="str">
            <v>Abba\عبه</v>
          </cell>
        </row>
        <row r="4301">
          <cell r="L4301" t="str">
            <v>SY100004</v>
          </cell>
          <cell r="M4301" t="str">
            <v>C5288</v>
          </cell>
          <cell r="N4301" t="str">
            <v>Anaza\العنازة</v>
          </cell>
        </row>
        <row r="4302">
          <cell r="L4302" t="str">
            <v>SY100004</v>
          </cell>
          <cell r="M4302" t="str">
            <v>C5282</v>
          </cell>
          <cell r="N4302" t="str">
            <v>Aqr Zayti\عقر زيتي</v>
          </cell>
        </row>
        <row r="4303">
          <cell r="L4303" t="str">
            <v>SY100004</v>
          </cell>
          <cell r="M4303" t="str">
            <v>C5293</v>
          </cell>
          <cell r="N4303" t="str">
            <v>Baashtar\بعشتر</v>
          </cell>
        </row>
        <row r="4304">
          <cell r="L4304" t="str">
            <v>SY100004</v>
          </cell>
          <cell r="M4304" t="str">
            <v>C5294</v>
          </cell>
          <cell r="N4304" t="str">
            <v>Bahnine\بحنين</v>
          </cell>
        </row>
        <row r="4305">
          <cell r="L4305" t="str">
            <v>SY100004</v>
          </cell>
          <cell r="M4305" t="str">
            <v>C5302</v>
          </cell>
          <cell r="N4305" t="str">
            <v>Bdereh\بديرة</v>
          </cell>
        </row>
        <row r="4306">
          <cell r="L4306" t="str">
            <v>SY100004</v>
          </cell>
          <cell r="M4306" t="str">
            <v>C5285</v>
          </cell>
          <cell r="N4306" t="str">
            <v>Beit Elharaf\بيت الحرف</v>
          </cell>
        </row>
        <row r="4307">
          <cell r="L4307" t="str">
            <v>SY100004</v>
          </cell>
          <cell r="M4307" t="str">
            <v>C5287</v>
          </cell>
          <cell r="N4307" t="str">
            <v>Beit Smaq\بيت سماق</v>
          </cell>
        </row>
        <row r="4308">
          <cell r="L4308" t="str">
            <v>SY100004</v>
          </cell>
          <cell r="M4308" t="str">
            <v>C5290</v>
          </cell>
          <cell r="N4308" t="str">
            <v>Breij\البريج</v>
          </cell>
        </row>
        <row r="4309">
          <cell r="L4309" t="str">
            <v>SY100004</v>
          </cell>
          <cell r="M4309" t="str">
            <v>C5295</v>
          </cell>
          <cell r="N4309" t="str">
            <v>Bteiha\البطيحية</v>
          </cell>
        </row>
        <row r="4310">
          <cell r="L4310" t="str">
            <v>SY100004</v>
          </cell>
          <cell r="M4310" t="str">
            <v>C5296</v>
          </cell>
          <cell r="N4310" t="str">
            <v>Dahr Matar\ضهر مطر</v>
          </cell>
        </row>
        <row r="4311">
          <cell r="L4311" t="str">
            <v>SY100004</v>
          </cell>
          <cell r="M4311" t="str">
            <v>C5284</v>
          </cell>
          <cell r="N4311" t="str">
            <v>Dweir Taha\دوير طه</v>
          </cell>
        </row>
        <row r="4312">
          <cell r="L4312" t="str">
            <v>SY100004</v>
          </cell>
          <cell r="M4312" t="str">
            <v>C5286</v>
          </cell>
          <cell r="N4312" t="str">
            <v>Ezit\عزيت</v>
          </cell>
        </row>
        <row r="4313">
          <cell r="L4313" t="str">
            <v>SY100004</v>
          </cell>
          <cell r="M4313" t="str">
            <v>C5297</v>
          </cell>
          <cell r="N4313" t="str">
            <v>Hanafiyeh\الحنفية</v>
          </cell>
        </row>
        <row r="4314">
          <cell r="L4314" t="str">
            <v>SY100004</v>
          </cell>
          <cell r="M4314" t="str">
            <v>C5300</v>
          </cell>
          <cell r="N4314" t="str">
            <v>Hsein Elbahr\حصين البحر</v>
          </cell>
        </row>
        <row r="4315">
          <cell r="L4315" t="str">
            <v>SY100004</v>
          </cell>
          <cell r="M4315" t="str">
            <v>C5283</v>
          </cell>
          <cell r="N4315" t="str">
            <v>Jdideh\جديدة</v>
          </cell>
        </row>
        <row r="4316">
          <cell r="L4316" t="str">
            <v>SY100004</v>
          </cell>
          <cell r="M4316" t="str">
            <v>C5304</v>
          </cell>
          <cell r="N4316" t="str">
            <v>Khwabi Castle\قلعة الخوابي</v>
          </cell>
        </row>
        <row r="4317">
          <cell r="L4317" t="str">
            <v>SY100004</v>
          </cell>
          <cell r="M4317" t="str">
            <v>C5292</v>
          </cell>
          <cell r="N4317" t="str">
            <v>Malluah\الملوعة</v>
          </cell>
        </row>
        <row r="4318">
          <cell r="L4318" t="str">
            <v>SY100004</v>
          </cell>
          <cell r="M4318" t="str">
            <v>C5305</v>
          </cell>
          <cell r="N4318" t="str">
            <v>Marqiyeh\مرقية</v>
          </cell>
        </row>
        <row r="4319">
          <cell r="L4319" t="str">
            <v>SY100004</v>
          </cell>
          <cell r="M4319" t="str">
            <v>C5303</v>
          </cell>
          <cell r="N4319" t="str">
            <v>Matn Aborya\متن ابوريا</v>
          </cell>
        </row>
        <row r="4320">
          <cell r="L4320" t="str">
            <v>SY100004</v>
          </cell>
          <cell r="M4320" t="str">
            <v>C5306</v>
          </cell>
          <cell r="N4320" t="str">
            <v>Matn Elsahel\متن الساحل</v>
          </cell>
        </row>
        <row r="4321">
          <cell r="L4321" t="str">
            <v>SY100004</v>
          </cell>
          <cell r="M4321" t="str">
            <v>C5307</v>
          </cell>
          <cell r="N4321" t="str">
            <v>Mazraet Elhanafiyeh\مزرعة الحنفية</v>
          </cell>
        </row>
        <row r="4322">
          <cell r="L4322" t="str">
            <v>SY100004</v>
          </cell>
          <cell r="M4322" t="str">
            <v>C5289</v>
          </cell>
          <cell r="N4322" t="str">
            <v>Ras Elkittan\رأس الكتان</v>
          </cell>
        </row>
        <row r="4323">
          <cell r="L4323" t="str">
            <v>SY100004</v>
          </cell>
          <cell r="M4323" t="str">
            <v>C5291</v>
          </cell>
          <cell r="N4323" t="str">
            <v>Rweiseh\الرويسة</v>
          </cell>
        </row>
        <row r="4324">
          <cell r="L4324" t="str">
            <v>SY100004</v>
          </cell>
          <cell r="M4324" t="str">
            <v>C5299</v>
          </cell>
          <cell r="N4324" t="str">
            <v>Sawda\السودا</v>
          </cell>
        </row>
        <row r="4325">
          <cell r="L4325" t="str">
            <v>SY100004</v>
          </cell>
          <cell r="M4325" t="str">
            <v>C5301</v>
          </cell>
          <cell r="N4325" t="str">
            <v>Saya\صايا</v>
          </cell>
        </row>
        <row r="4326">
          <cell r="L4326" t="str">
            <v>SY100004</v>
          </cell>
          <cell r="M4326" t="str">
            <v>C5298</v>
          </cell>
          <cell r="N4326" t="str">
            <v>Western Balata\بلاطة غربية</v>
          </cell>
        </row>
        <row r="4327">
          <cell r="L4327" t="str">
            <v>SY100005</v>
          </cell>
          <cell r="M4327" t="str">
            <v>C5315</v>
          </cell>
          <cell r="N4327" t="str">
            <v>Arzona\ارزونة</v>
          </cell>
        </row>
        <row r="4328">
          <cell r="L4328" t="str">
            <v>SY100005</v>
          </cell>
          <cell r="M4328" t="str">
            <v>C5312</v>
          </cell>
          <cell r="N4328" t="str">
            <v>Hasna\الحسنة</v>
          </cell>
        </row>
        <row r="4329">
          <cell r="L4329" t="str">
            <v>SY100005</v>
          </cell>
          <cell r="M4329" t="str">
            <v>C5319</v>
          </cell>
          <cell r="N4329" t="str">
            <v>Kareemeh\الكريمة</v>
          </cell>
        </row>
        <row r="4330">
          <cell r="L4330" t="str">
            <v>SY100005</v>
          </cell>
          <cell r="M4330" t="str">
            <v>C5316</v>
          </cell>
          <cell r="N4330" t="str">
            <v>Kherbet Elakrad\خربة الاكراد</v>
          </cell>
        </row>
        <row r="4331">
          <cell r="L4331" t="str">
            <v>SY100005</v>
          </cell>
          <cell r="M4331" t="str">
            <v>C5309</v>
          </cell>
          <cell r="N4331" t="str">
            <v>Madhala\المدحلة</v>
          </cell>
        </row>
        <row r="4332">
          <cell r="L4332" t="str">
            <v>SY100005</v>
          </cell>
          <cell r="M4332" t="str">
            <v>C5313</v>
          </cell>
          <cell r="N4332" t="str">
            <v>Msheirfeh\المشيرفة</v>
          </cell>
        </row>
        <row r="4333">
          <cell r="L4333" t="str">
            <v>SY100005</v>
          </cell>
          <cell r="M4333" t="str">
            <v>C5311</v>
          </cell>
          <cell r="N4333" t="str">
            <v>Quneitra\القنيطرة</v>
          </cell>
        </row>
        <row r="4334">
          <cell r="L4334" t="str">
            <v>SY100005</v>
          </cell>
          <cell r="M4334" t="str">
            <v>C5314</v>
          </cell>
          <cell r="N4334" t="str">
            <v>Ransiyeh\الرنسية</v>
          </cell>
        </row>
        <row r="4335">
          <cell r="L4335" t="str">
            <v>SY100005</v>
          </cell>
          <cell r="M4335" t="str">
            <v>C5310</v>
          </cell>
          <cell r="N4335" t="str">
            <v>Sawda\السودة</v>
          </cell>
        </row>
        <row r="4336">
          <cell r="L4336" t="str">
            <v>SY100005</v>
          </cell>
          <cell r="M4336" t="str">
            <v>C5317</v>
          </cell>
          <cell r="N4336" t="str">
            <v>Talansun\تلسنون</v>
          </cell>
        </row>
        <row r="4337">
          <cell r="L4337" t="str">
            <v>SY100005</v>
          </cell>
          <cell r="M4337" t="str">
            <v>C5318</v>
          </cell>
          <cell r="N4337" t="str">
            <v>Teladas\تلعدس</v>
          </cell>
        </row>
        <row r="4338">
          <cell r="L4338" t="str">
            <v>SY100005</v>
          </cell>
          <cell r="M4338" t="str">
            <v>C5308</v>
          </cell>
          <cell r="N4338" t="str">
            <v>Zarablit\زربليط</v>
          </cell>
        </row>
        <row r="4339">
          <cell r="L4339" t="str">
            <v>SY100006</v>
          </cell>
          <cell r="M4339" t="str">
            <v>C5329</v>
          </cell>
          <cell r="N4339" t="str">
            <v>Beit Shofan\بيت شوفان</v>
          </cell>
        </row>
        <row r="4340">
          <cell r="L4340" t="str">
            <v>SY100006</v>
          </cell>
          <cell r="M4340" t="str">
            <v>C5330</v>
          </cell>
          <cell r="N4340" t="str">
            <v>Bhoza\بحوزى</v>
          </cell>
        </row>
        <row r="4341">
          <cell r="L4341" t="str">
            <v>SY100006</v>
          </cell>
          <cell r="M4341" t="str">
            <v>C5333</v>
          </cell>
          <cell r="N4341" t="str">
            <v>Dahr Bashir\ضهر بشير</v>
          </cell>
        </row>
        <row r="4342">
          <cell r="L4342" t="str">
            <v>SY100006</v>
          </cell>
          <cell r="M4342" t="str">
            <v>C5327</v>
          </cell>
          <cell r="N4342" t="str">
            <v>Deir Elhajar\دير الحجر</v>
          </cell>
        </row>
        <row r="4343">
          <cell r="L4343" t="str">
            <v>SY100006</v>
          </cell>
          <cell r="M4343" t="str">
            <v>C5332</v>
          </cell>
          <cell r="N4343" t="str">
            <v>Ein Elzibeh\عين الزبدة</v>
          </cell>
        </row>
        <row r="4344">
          <cell r="L4344" t="str">
            <v>SY100006</v>
          </cell>
          <cell r="M4344" t="str">
            <v>C5337</v>
          </cell>
          <cell r="N4344" t="str">
            <v>Fitah Abuli - Fitah Elkhadra\فتاح ابولي_فتاح الخضراء</v>
          </cell>
        </row>
        <row r="4345">
          <cell r="L4345" t="str">
            <v>SY100006</v>
          </cell>
          <cell r="M4345" t="str">
            <v>C5321</v>
          </cell>
          <cell r="N4345" t="str">
            <v>Green Abuli\ابولي_الخضراء</v>
          </cell>
        </row>
        <row r="4346">
          <cell r="L4346" t="str">
            <v>SY100006</v>
          </cell>
          <cell r="M4346" t="str">
            <v>C5325</v>
          </cell>
          <cell r="N4346" t="str">
            <v>Hora\الحورة</v>
          </cell>
        </row>
        <row r="4347">
          <cell r="L4347" t="str">
            <v>SY100006</v>
          </cell>
          <cell r="M4347" t="str">
            <v>C5335</v>
          </cell>
          <cell r="N4347" t="str">
            <v>Kafrfu\كفرفو</v>
          </cell>
        </row>
        <row r="4348">
          <cell r="L4348" t="str">
            <v>SY100006</v>
          </cell>
          <cell r="M4348" t="str">
            <v>C5336</v>
          </cell>
          <cell r="N4348" t="str">
            <v>Matn Elsifsafeh\متن الصفصافة</v>
          </cell>
        </row>
        <row r="4349">
          <cell r="L4349" t="str">
            <v>SY100006</v>
          </cell>
          <cell r="M4349" t="str">
            <v>C5334</v>
          </cell>
          <cell r="N4349" t="str">
            <v>Nahut\ناحوت</v>
          </cell>
        </row>
        <row r="4350">
          <cell r="L4350" t="str">
            <v>SY100006</v>
          </cell>
          <cell r="M4350" t="str">
            <v>C5331</v>
          </cell>
          <cell r="N4350" t="str">
            <v>Orayma\العريمة</v>
          </cell>
        </row>
        <row r="4351">
          <cell r="L4351" t="str">
            <v>SY100006</v>
          </cell>
          <cell r="M4351" t="str">
            <v>C5328</v>
          </cell>
          <cell r="N4351" t="str">
            <v>Rihaniya\الريحانية</v>
          </cell>
        </row>
        <row r="4352">
          <cell r="L4352" t="str">
            <v>SY100006</v>
          </cell>
          <cell r="M4352" t="str">
            <v>C5320</v>
          </cell>
          <cell r="N4352" t="str">
            <v>Sabbuhiyeh\الصبوحية</v>
          </cell>
        </row>
        <row r="4353">
          <cell r="L4353" t="str">
            <v>SY100006</v>
          </cell>
          <cell r="M4353" t="str">
            <v>C5324</v>
          </cell>
          <cell r="N4353" t="str">
            <v>Safsafa\الصفصافة</v>
          </cell>
        </row>
        <row r="4354">
          <cell r="L4354" t="str">
            <v>SY100006</v>
          </cell>
          <cell r="M4354" t="str">
            <v>C5323</v>
          </cell>
          <cell r="N4354" t="str">
            <v>Samriyan\سمريان</v>
          </cell>
        </row>
        <row r="4355">
          <cell r="L4355" t="str">
            <v>SY100006</v>
          </cell>
          <cell r="M4355" t="str">
            <v>C5322</v>
          </cell>
          <cell r="N4355" t="str">
            <v>Shas \شاص</v>
          </cell>
        </row>
        <row r="4356">
          <cell r="L4356" t="str">
            <v>SY100006</v>
          </cell>
          <cell r="M4356" t="str">
            <v>C5326</v>
          </cell>
          <cell r="N4356" t="str">
            <v>Twanin\التوانين</v>
          </cell>
        </row>
        <row r="4357">
          <cell r="L4357" t="str">
            <v>SY100006</v>
          </cell>
          <cell r="M4357" t="str">
            <v>C5338</v>
          </cell>
          <cell r="N4357" t="str">
            <v>Wadi Elmis\وادي الميس</v>
          </cell>
        </row>
        <row r="4358">
          <cell r="L4358" t="str">
            <v>SY100200</v>
          </cell>
          <cell r="M4358" t="str">
            <v>C5349</v>
          </cell>
          <cell r="N4358" t="str">
            <v>Abtala\ابتلة</v>
          </cell>
        </row>
        <row r="4359">
          <cell r="L4359" t="str">
            <v>SY100200</v>
          </cell>
          <cell r="M4359" t="str">
            <v>C5362</v>
          </cell>
          <cell r="N4359" t="str">
            <v>Adimeh\عديمة</v>
          </cell>
        </row>
        <row r="4360">
          <cell r="L4360" t="str">
            <v>SY100200</v>
          </cell>
          <cell r="M4360" t="str">
            <v>C5340</v>
          </cell>
          <cell r="N4360" t="str">
            <v>Alqin\علقين</v>
          </cell>
        </row>
        <row r="4361">
          <cell r="L4361" t="str">
            <v>SY100200</v>
          </cell>
          <cell r="M4361" t="str">
            <v>C3571</v>
          </cell>
          <cell r="N4361" t="str">
            <v>Arab Elmalik Jerkes\عرب الملك جركس</v>
          </cell>
        </row>
        <row r="4362">
          <cell r="L4362" t="str">
            <v>SY100200</v>
          </cell>
          <cell r="M4362" t="str">
            <v>C5368</v>
          </cell>
          <cell r="N4362" t="str">
            <v>Asibiyeh\عصيبية</v>
          </cell>
        </row>
        <row r="4363">
          <cell r="L4363" t="str">
            <v>SY100200</v>
          </cell>
          <cell r="M4363" t="str">
            <v>C5341</v>
          </cell>
          <cell r="N4363" t="str">
            <v>Balghunes\بلغونس</v>
          </cell>
        </row>
        <row r="4364">
          <cell r="L4364" t="str">
            <v>SY100200</v>
          </cell>
          <cell r="M4364" t="str">
            <v>C5339</v>
          </cell>
          <cell r="N4364" t="str">
            <v>Ballutiyeh\بلوطية</v>
          </cell>
        </row>
        <row r="4365">
          <cell r="L4365" t="str">
            <v>SY100200</v>
          </cell>
          <cell r="M4365" t="str">
            <v>C5360</v>
          </cell>
          <cell r="N4365" t="str">
            <v>Banyas\بانياس</v>
          </cell>
        </row>
        <row r="4366">
          <cell r="L4366" t="str">
            <v>SY100200</v>
          </cell>
          <cell r="M4366" t="str">
            <v>C5370</v>
          </cell>
          <cell r="N4366" t="str">
            <v>Barmaya\بارمايا</v>
          </cell>
        </row>
        <row r="4367">
          <cell r="L4367" t="str">
            <v>SY100200</v>
          </cell>
          <cell r="M4367" t="str">
            <v>C5346</v>
          </cell>
          <cell r="N4367" t="str">
            <v>Basatin Elasad\بساتين الأسد</v>
          </cell>
        </row>
        <row r="4368">
          <cell r="L4368" t="str">
            <v>SY100200</v>
          </cell>
          <cell r="M4368" t="str">
            <v>C5348</v>
          </cell>
          <cell r="N4368" t="str">
            <v>Bdeighan\بديغان</v>
          </cell>
        </row>
        <row r="4369">
          <cell r="L4369" t="str">
            <v>SY100200</v>
          </cell>
          <cell r="M4369" t="str">
            <v>C5343</v>
          </cell>
          <cell r="N4369" t="str">
            <v>Beida\البيضة</v>
          </cell>
        </row>
        <row r="4370">
          <cell r="L4370" t="str">
            <v>SY100200</v>
          </cell>
          <cell r="M4370" t="str">
            <v>C5367</v>
          </cell>
          <cell r="N4370" t="str">
            <v>Beit Elsakhi\بيت السخي</v>
          </cell>
        </row>
        <row r="4371">
          <cell r="L4371" t="str">
            <v>SY100200</v>
          </cell>
          <cell r="M4371" t="str">
            <v>C5345</v>
          </cell>
          <cell r="N4371" t="str">
            <v>Bustan Elnajar\بستان النجار</v>
          </cell>
        </row>
        <row r="4372">
          <cell r="L4372" t="str">
            <v>SY100200</v>
          </cell>
          <cell r="M4372" t="str">
            <v>C5358</v>
          </cell>
          <cell r="N4372" t="str">
            <v>Deir Elbishel\دير البشل</v>
          </cell>
        </row>
        <row r="4373">
          <cell r="L4373" t="str">
            <v>SY100200</v>
          </cell>
          <cell r="M4373" t="str">
            <v>C5351</v>
          </cell>
          <cell r="N4373" t="str">
            <v>Eneineizeh\عنينيزه</v>
          </cell>
        </row>
        <row r="4374">
          <cell r="L4374" t="str">
            <v>SY100200</v>
          </cell>
          <cell r="M4374" t="str">
            <v>C5372</v>
          </cell>
          <cell r="N4374" t="str">
            <v>Faresh Kaabiyeh\فارش كعبية</v>
          </cell>
        </row>
        <row r="4375">
          <cell r="L4375" t="str">
            <v>SY100200</v>
          </cell>
          <cell r="M4375" t="str">
            <v>C5352</v>
          </cell>
          <cell r="N4375" t="str">
            <v>Harisun - Qamue\حريصون_القاموع</v>
          </cell>
        </row>
        <row r="4376">
          <cell r="L4376" t="str">
            <v>SY100200</v>
          </cell>
          <cell r="M4376" t="str">
            <v>C5350</v>
          </cell>
          <cell r="N4376" t="str">
            <v>Herf Bnomra\حرف بنمرة</v>
          </cell>
        </row>
        <row r="4377">
          <cell r="L4377" t="str">
            <v>SY100200</v>
          </cell>
          <cell r="M4377" t="str">
            <v>C5354</v>
          </cell>
          <cell r="N4377" t="str">
            <v>Jweibat\جويبات</v>
          </cell>
        </row>
        <row r="4378">
          <cell r="L4378" t="str">
            <v>SY100200</v>
          </cell>
          <cell r="M4378" t="str">
            <v>C5371</v>
          </cell>
          <cell r="N4378" t="str">
            <v>Kaeebet Faresh\كعيبة فارش</v>
          </cell>
        </row>
        <row r="4379">
          <cell r="L4379" t="str">
            <v>SY100200</v>
          </cell>
          <cell r="M4379" t="str">
            <v>C5365</v>
          </cell>
          <cell r="N4379" t="str">
            <v>Kharab Balda\خراب بلدة</v>
          </cell>
        </row>
        <row r="4380">
          <cell r="L4380" t="str">
            <v>SY100200</v>
          </cell>
          <cell r="M4380" t="str">
            <v>C5356</v>
          </cell>
          <cell r="N4380" t="str">
            <v>Kharibeh\خريبة</v>
          </cell>
        </row>
        <row r="4381">
          <cell r="L4381" t="str">
            <v>SY100200</v>
          </cell>
          <cell r="M4381" t="str">
            <v>C5357</v>
          </cell>
          <cell r="N4381" t="str">
            <v>Kherbet Kasih\خربة كسيح</v>
          </cell>
        </row>
        <row r="4382">
          <cell r="L4382" t="str">
            <v>SY100200</v>
          </cell>
          <cell r="M4382" t="str">
            <v>C5359</v>
          </cell>
          <cell r="N4382" t="str">
            <v>Kherbet Sanasel\خربة سناسل</v>
          </cell>
        </row>
        <row r="4383">
          <cell r="L4383" t="str">
            <v>SY100200</v>
          </cell>
          <cell r="M4383" t="str">
            <v>C5342</v>
          </cell>
          <cell r="N4383" t="str">
            <v>Manzaleh\المنزلة</v>
          </cell>
        </row>
        <row r="4384">
          <cell r="L4384" t="str">
            <v>SY100200</v>
          </cell>
          <cell r="M4384" t="str">
            <v>C5373</v>
          </cell>
          <cell r="N4384" t="str">
            <v>Marashta\مرشتة</v>
          </cell>
        </row>
        <row r="4385">
          <cell r="L4385" t="str">
            <v>SY100200</v>
          </cell>
          <cell r="M4385" t="str">
            <v>C5369</v>
          </cell>
          <cell r="N4385" t="str">
            <v>Marqab\المرقب</v>
          </cell>
        </row>
        <row r="4386">
          <cell r="L4386" t="str">
            <v>SY100200</v>
          </cell>
          <cell r="M4386" t="str">
            <v>C5374</v>
          </cell>
          <cell r="N4386" t="str">
            <v>Mhorteh\محورتة</v>
          </cell>
        </row>
        <row r="4387">
          <cell r="L4387" t="str">
            <v>SY100200</v>
          </cell>
          <cell r="M4387" t="str">
            <v>C5366</v>
          </cell>
          <cell r="N4387" t="str">
            <v>Muzaree\المزارع</v>
          </cell>
        </row>
        <row r="4388">
          <cell r="L4388" t="str">
            <v>SY100200</v>
          </cell>
          <cell r="M4388" t="str">
            <v>C5347</v>
          </cell>
          <cell r="N4388" t="str">
            <v>Qallue\القلوع</v>
          </cell>
        </row>
        <row r="4389">
          <cell r="L4389" t="str">
            <v>SY100200</v>
          </cell>
          <cell r="M4389" t="str">
            <v>C5363</v>
          </cell>
          <cell r="N4389" t="str">
            <v>Ras Elwata\رأس الوطى</v>
          </cell>
        </row>
        <row r="4390">
          <cell r="L4390" t="str">
            <v>SY100200</v>
          </cell>
          <cell r="M4390" t="str">
            <v>C5364</v>
          </cell>
          <cell r="N4390" t="str">
            <v>Shafi Ruh\شافي روح</v>
          </cell>
        </row>
        <row r="4391">
          <cell r="L4391" t="str">
            <v>SY100200</v>
          </cell>
          <cell r="M4391" t="str">
            <v>C5355</v>
          </cell>
          <cell r="N4391" t="str">
            <v>Tanita\تعنيتا</v>
          </cell>
        </row>
        <row r="4392">
          <cell r="L4392" t="str">
            <v>SY100200</v>
          </cell>
          <cell r="M4392" t="str">
            <v>C5361</v>
          </cell>
          <cell r="N4392" t="str">
            <v>Thoba\ذوبه</v>
          </cell>
        </row>
        <row r="4393">
          <cell r="L4393" t="str">
            <v>SY100200</v>
          </cell>
          <cell r="M4393" t="str">
            <v>C5344</v>
          </cell>
          <cell r="N4393" t="str">
            <v>Tiro\طيرو</v>
          </cell>
        </row>
        <row r="4394">
          <cell r="L4394" t="str">
            <v>SY100200</v>
          </cell>
          <cell r="M4394" t="str">
            <v>C5353</v>
          </cell>
          <cell r="N4394" t="str">
            <v>Zallu\زللو</v>
          </cell>
        </row>
        <row r="4395">
          <cell r="L4395" t="str">
            <v>SY100201</v>
          </cell>
          <cell r="M4395" t="str">
            <v>C5382</v>
          </cell>
          <cell r="N4395" t="str">
            <v>Dahr Marqiyeh\ضهر مرقية</v>
          </cell>
        </row>
        <row r="4396">
          <cell r="L4396" t="str">
            <v>SY100201</v>
          </cell>
          <cell r="M4396" t="str">
            <v>C5379</v>
          </cell>
          <cell r="N4396" t="str">
            <v>Dahr Safra\ضهر صفرا</v>
          </cell>
        </row>
        <row r="4397">
          <cell r="L4397" t="str">
            <v>SY100201</v>
          </cell>
          <cell r="M4397" t="str">
            <v>C5376</v>
          </cell>
          <cell r="N4397" t="str">
            <v>Heibo\حيبو</v>
          </cell>
        </row>
        <row r="4398">
          <cell r="L4398" t="str">
            <v>SY100201</v>
          </cell>
          <cell r="M4398" t="str">
            <v>C5377</v>
          </cell>
          <cell r="N4398" t="str">
            <v>Hreisheh\الحريشة</v>
          </cell>
        </row>
        <row r="4399">
          <cell r="L4399" t="str">
            <v>SY100201</v>
          </cell>
          <cell r="M4399" t="str">
            <v>C5380</v>
          </cell>
          <cell r="N4399" t="str">
            <v>Jneineh\الجنينة</v>
          </cell>
        </row>
        <row r="4400">
          <cell r="L4400" t="str">
            <v>SY100201</v>
          </cell>
          <cell r="M4400" t="str">
            <v>C5378</v>
          </cell>
          <cell r="N4400" t="str">
            <v>Mqaabariyeh\المقعبرية</v>
          </cell>
        </row>
        <row r="4401">
          <cell r="L4401" t="str">
            <v>SY100201</v>
          </cell>
          <cell r="M4401" t="str">
            <v>C5383</v>
          </cell>
          <cell r="N4401" t="str">
            <v>Qarqafti\قرقفتي</v>
          </cell>
        </row>
        <row r="4402">
          <cell r="L4402" t="str">
            <v>SY100201</v>
          </cell>
          <cell r="M4402" t="str">
            <v>C5375</v>
          </cell>
          <cell r="N4402" t="str">
            <v>Rawda\الروضة</v>
          </cell>
        </row>
        <row r="4403">
          <cell r="L4403" t="str">
            <v>SY100202</v>
          </cell>
          <cell r="M4403" t="str">
            <v>C5392</v>
          </cell>
          <cell r="N4403" t="str">
            <v>Aliqa\العليقة</v>
          </cell>
        </row>
        <row r="4404">
          <cell r="L4404" t="str">
            <v>SY100202</v>
          </cell>
          <cell r="M4404" t="str">
            <v>C5390</v>
          </cell>
          <cell r="N4404" t="str">
            <v>Anaza\العنازة</v>
          </cell>
        </row>
        <row r="4405">
          <cell r="L4405" t="str">
            <v>SY100202</v>
          </cell>
          <cell r="M4405" t="str">
            <v>C5389</v>
          </cell>
          <cell r="N4405" t="str">
            <v>Beit Jash\بيت جاش</v>
          </cell>
        </row>
        <row r="4406">
          <cell r="L4406" t="str">
            <v>SY100202</v>
          </cell>
          <cell r="M4406" t="str">
            <v>C5391</v>
          </cell>
          <cell r="N4406" t="str">
            <v>Bsarmun\بصرمون</v>
          </cell>
        </row>
        <row r="4407">
          <cell r="L4407" t="str">
            <v>SY100202</v>
          </cell>
          <cell r="M4407" t="str">
            <v>C5395</v>
          </cell>
          <cell r="N4407" t="str">
            <v>Bustan Elhamam\بستان الحمام</v>
          </cell>
        </row>
        <row r="4408">
          <cell r="L4408" t="str">
            <v>SY100202</v>
          </cell>
          <cell r="M4408" t="str">
            <v>C5384</v>
          </cell>
          <cell r="N4408" t="str">
            <v>Derdara - Banyas\الدردارة - بانياس</v>
          </cell>
        </row>
        <row r="4409">
          <cell r="L4409" t="str">
            <v>SY100202</v>
          </cell>
          <cell r="M4409" t="str">
            <v>C5400</v>
          </cell>
          <cell r="N4409" t="str">
            <v>Frukhiyeh\فروخية</v>
          </cell>
        </row>
        <row r="4410">
          <cell r="L4410" t="str">
            <v>SY100202</v>
          </cell>
          <cell r="M4410" t="str">
            <v>C5393</v>
          </cell>
          <cell r="N4410" t="str">
            <v>Ghansala\غنصله</v>
          </cell>
        </row>
        <row r="4411">
          <cell r="L4411" t="str">
            <v>SY100202</v>
          </cell>
          <cell r="M4411" t="str">
            <v>C5387</v>
          </cell>
          <cell r="N4411" t="str">
            <v>Ghorziyeh\الغرزية</v>
          </cell>
        </row>
        <row r="4412">
          <cell r="L4412" t="str">
            <v>SY100202</v>
          </cell>
          <cell r="M4412" t="str">
            <v>C5394</v>
          </cell>
          <cell r="N4412" t="str">
            <v>Jdideh\جديدة</v>
          </cell>
        </row>
        <row r="4413">
          <cell r="L4413" t="str">
            <v>SY100202</v>
          </cell>
          <cell r="M4413" t="str">
            <v>C5388</v>
          </cell>
          <cell r="N4413" t="str">
            <v>Kherbet Elsindyana\خربة السنديانة</v>
          </cell>
        </row>
        <row r="4414">
          <cell r="L4414" t="str">
            <v>SY100202</v>
          </cell>
          <cell r="M4414" t="str">
            <v>C5396</v>
          </cell>
          <cell r="N4414" t="str">
            <v>Marana\مرانة</v>
          </cell>
        </row>
        <row r="4415">
          <cell r="L4415" t="str">
            <v>SY100202</v>
          </cell>
          <cell r="M4415" t="str">
            <v>C5397</v>
          </cell>
          <cell r="N4415" t="str">
            <v>Masiyat\مصيات</v>
          </cell>
        </row>
        <row r="4416">
          <cell r="L4416" t="str">
            <v>SY100202</v>
          </cell>
          <cell r="M4416" t="str">
            <v>C5401</v>
          </cell>
          <cell r="N4416" t="str">
            <v>Nahl Elanaza\نحل العنازة</v>
          </cell>
        </row>
        <row r="4417">
          <cell r="L4417" t="str">
            <v>SY100202</v>
          </cell>
          <cell r="M4417" t="str">
            <v>C5398</v>
          </cell>
          <cell r="N4417" t="str">
            <v>Namu Eljerd\نعمو الجرد</v>
          </cell>
        </row>
        <row r="4418">
          <cell r="L4418" t="str">
            <v>SY100202</v>
          </cell>
          <cell r="M4418" t="str">
            <v>C5386</v>
          </cell>
          <cell r="N4418" t="str">
            <v>Shandakha\شندخة</v>
          </cell>
        </row>
        <row r="4419">
          <cell r="L4419" t="str">
            <v>SY100202</v>
          </cell>
          <cell r="M4419" t="str">
            <v>C5385</v>
          </cell>
          <cell r="N4419" t="str">
            <v>Ton Eljerd\التون الجرد</v>
          </cell>
        </row>
        <row r="4420">
          <cell r="L4420" t="str">
            <v>SY100202</v>
          </cell>
          <cell r="M4420" t="str">
            <v>C5399</v>
          </cell>
          <cell r="N4420" t="str">
            <v>Wadi Elbarakeh\وادي البركة</v>
          </cell>
        </row>
        <row r="4421">
          <cell r="L4421" t="str">
            <v>SY100203</v>
          </cell>
          <cell r="M4421" t="str">
            <v>C5416</v>
          </cell>
          <cell r="N4421" t="str">
            <v>Amudiyeh\العامودية</v>
          </cell>
        </row>
        <row r="4422">
          <cell r="L4422" t="str">
            <v>SY100203</v>
          </cell>
          <cell r="M4422" t="str">
            <v>C5405</v>
          </cell>
          <cell r="N4422" t="str">
            <v>Bab Elnur\باب النور</v>
          </cell>
        </row>
        <row r="4423">
          <cell r="L4423" t="str">
            <v>SY100203</v>
          </cell>
          <cell r="M4423" t="str">
            <v>C5407</v>
          </cell>
          <cell r="N4423" t="str">
            <v>Bisqaya\بسقاية</v>
          </cell>
        </row>
        <row r="4424">
          <cell r="L4424" t="str">
            <v>SY100203</v>
          </cell>
          <cell r="M4424" t="str">
            <v>C5418</v>
          </cell>
          <cell r="N4424" t="str">
            <v>Dweila\الدويلية</v>
          </cell>
        </row>
        <row r="4425">
          <cell r="L4425" t="str">
            <v>SY100203</v>
          </cell>
          <cell r="M4425" t="str">
            <v>C5422</v>
          </cell>
          <cell r="N4425" t="str">
            <v>Ein Qadib\عين قضيب</v>
          </cell>
        </row>
        <row r="4426">
          <cell r="L4426" t="str">
            <v>SY100203</v>
          </cell>
          <cell r="M4426" t="str">
            <v>C5408</v>
          </cell>
          <cell r="N4426" t="str">
            <v>Ellieyh\العلية</v>
          </cell>
        </row>
        <row r="4427">
          <cell r="L4427" t="str">
            <v>SY100203</v>
          </cell>
          <cell r="M4427" t="str">
            <v>C5424</v>
          </cell>
          <cell r="N4427" t="str">
            <v>Fneiteq\فنيتق</v>
          </cell>
        </row>
        <row r="4428">
          <cell r="L4428" t="str">
            <v>SY100203</v>
          </cell>
          <cell r="M4428" t="str">
            <v>C5419</v>
          </cell>
          <cell r="N4428" t="str">
            <v>Hatriyeh\الحاطرية</v>
          </cell>
        </row>
        <row r="4429">
          <cell r="L4429" t="str">
            <v>SY100203</v>
          </cell>
          <cell r="M4429" t="str">
            <v>C5415</v>
          </cell>
          <cell r="N4429" t="str">
            <v>Hattaniya\الحطانية</v>
          </cell>
        </row>
        <row r="4430">
          <cell r="L4430" t="str">
            <v>SY100203</v>
          </cell>
          <cell r="M4430" t="str">
            <v>C5403</v>
          </cell>
          <cell r="N4430" t="str">
            <v>Jamasa Qabliyeh\جماسة قبلية</v>
          </cell>
        </row>
        <row r="4431">
          <cell r="L4431" t="str">
            <v>SY100203</v>
          </cell>
          <cell r="M4431" t="str">
            <v>C5421</v>
          </cell>
          <cell r="N4431" t="str">
            <v>Jarat Elwadi\جارة الوادي</v>
          </cell>
        </row>
        <row r="4432">
          <cell r="L4432" t="str">
            <v>SY100203</v>
          </cell>
          <cell r="M4432" t="str">
            <v>C5402</v>
          </cell>
          <cell r="N4432" t="str">
            <v>Jofin\جوفين</v>
          </cell>
        </row>
        <row r="4433">
          <cell r="L4433" t="str">
            <v>SY100203</v>
          </cell>
          <cell r="M4433" t="str">
            <v>C5426</v>
          </cell>
          <cell r="N4433" t="str">
            <v>Kaf Eljaa\كاف الجاع</v>
          </cell>
        </row>
        <row r="4434">
          <cell r="L4434" t="str">
            <v>SY100203</v>
          </cell>
          <cell r="M4434" t="str">
            <v>C5425</v>
          </cell>
          <cell r="N4434" t="str">
            <v>Karm Eltin\كرم التين</v>
          </cell>
        </row>
        <row r="4435">
          <cell r="L4435" t="str">
            <v>SY100203</v>
          </cell>
          <cell r="M4435" t="str">
            <v>C5412</v>
          </cell>
          <cell r="N4435" t="str">
            <v>Kherbet Amudi\خربة عامودي</v>
          </cell>
        </row>
        <row r="4436">
          <cell r="L4436" t="str">
            <v>SY100203</v>
          </cell>
          <cell r="M4436" t="str">
            <v>C5420</v>
          </cell>
          <cell r="N4436" t="str">
            <v>Mansura\المنصورة</v>
          </cell>
        </row>
        <row r="4437">
          <cell r="L4437" t="str">
            <v>SY100203</v>
          </cell>
          <cell r="M4437" t="str">
            <v>C5417</v>
          </cell>
          <cell r="N4437" t="str">
            <v>Mqarmideh\المقرمدة</v>
          </cell>
        </row>
        <row r="4438">
          <cell r="L4438" t="str">
            <v>SY100203</v>
          </cell>
          <cell r="M4438" t="str">
            <v>C5404</v>
          </cell>
          <cell r="N4438" t="str">
            <v>Qadmous\القدموس</v>
          </cell>
        </row>
        <row r="4439">
          <cell r="L4439" t="str">
            <v>SY100203</v>
          </cell>
          <cell r="M4439" t="str">
            <v>C5410</v>
          </cell>
          <cell r="N4439" t="str">
            <v>Qdeimseh\القديمسة</v>
          </cell>
        </row>
        <row r="4440">
          <cell r="L4440" t="str">
            <v>SY100203</v>
          </cell>
          <cell r="M4440" t="str">
            <v>C5411</v>
          </cell>
          <cell r="N4440" t="str">
            <v>Sadana\السعدانة</v>
          </cell>
        </row>
        <row r="4441">
          <cell r="L4441" t="str">
            <v>SY100203</v>
          </cell>
          <cell r="M4441" t="str">
            <v>C5413</v>
          </cell>
          <cell r="N4441" t="str">
            <v>Salluriyeh\السلورية</v>
          </cell>
        </row>
        <row r="4442">
          <cell r="L4442" t="str">
            <v>SY100203</v>
          </cell>
          <cell r="M4442" t="str">
            <v>C5647</v>
          </cell>
          <cell r="N4442" t="str">
            <v>Sanunieh\السعنونية</v>
          </cell>
        </row>
        <row r="4443">
          <cell r="L4443" t="str">
            <v>SY100203</v>
          </cell>
          <cell r="M4443" t="str">
            <v>C5414</v>
          </cell>
          <cell r="N4443" t="str">
            <v>Shara\الشعرة</v>
          </cell>
        </row>
        <row r="4444">
          <cell r="L4444" t="str">
            <v>SY100203</v>
          </cell>
          <cell r="M4444" t="str">
            <v>C5406</v>
          </cell>
          <cell r="N4444" t="str">
            <v>Smeihiqa\السميحيقه</v>
          </cell>
        </row>
        <row r="4445">
          <cell r="L4445" t="str">
            <v>SY100203</v>
          </cell>
          <cell r="M4445" t="str">
            <v>C5409</v>
          </cell>
          <cell r="N4445" t="str">
            <v>Tanaka\التناخة</v>
          </cell>
        </row>
        <row r="4446">
          <cell r="L4446" t="str">
            <v>SY100203</v>
          </cell>
          <cell r="M4446" t="str">
            <v>C5423</v>
          </cell>
          <cell r="N4446" t="str">
            <v>Wadi Elsaqi\وادي السقي</v>
          </cell>
        </row>
        <row r="4447">
          <cell r="L4447" t="str">
            <v>SY100204</v>
          </cell>
          <cell r="M4447" t="str">
            <v>C5437</v>
          </cell>
          <cell r="N4447" t="str">
            <v>Balaadar\بلعدر</v>
          </cell>
        </row>
        <row r="4448">
          <cell r="L4448" t="str">
            <v>SY100204</v>
          </cell>
          <cell r="M4448" t="str">
            <v>C5433</v>
          </cell>
          <cell r="N4448" t="str">
            <v>Bamlakha\باملاخا</v>
          </cell>
        </row>
        <row r="4449">
          <cell r="L4449" t="str">
            <v>SY100204</v>
          </cell>
          <cell r="M4449" t="str">
            <v>C5427</v>
          </cell>
          <cell r="N4449" t="str">
            <v>Beit Othman\بيت عثمان</v>
          </cell>
        </row>
        <row r="4450">
          <cell r="L4450" t="str">
            <v>SY100204</v>
          </cell>
          <cell r="M4450" t="str">
            <v>C5430</v>
          </cell>
          <cell r="N4450" t="str">
            <v>Hamam Wasil\حمام واصل</v>
          </cell>
        </row>
        <row r="4451">
          <cell r="L4451" t="str">
            <v>SY100204</v>
          </cell>
          <cell r="M4451" t="str">
            <v>C5431</v>
          </cell>
          <cell r="N4451" t="str">
            <v>Jweiti\جويتي</v>
          </cell>
        </row>
        <row r="4452">
          <cell r="L4452" t="str">
            <v>SY100204</v>
          </cell>
          <cell r="M4452" t="str">
            <v>C5429</v>
          </cell>
          <cell r="N4452" t="str">
            <v>Karim\الكريم</v>
          </cell>
        </row>
        <row r="4453">
          <cell r="L4453" t="str">
            <v>SY100204</v>
          </cell>
          <cell r="M4453" t="str">
            <v>C5432</v>
          </cell>
          <cell r="N4453" t="str">
            <v>Kherbet Elqabu\خربة القبو</v>
          </cell>
        </row>
        <row r="4454">
          <cell r="L4454" t="str">
            <v>SY100204</v>
          </cell>
          <cell r="M4454" t="str">
            <v>C5435</v>
          </cell>
          <cell r="N4454" t="str">
            <v>Marwiyeh\المروية</v>
          </cell>
        </row>
        <row r="4455">
          <cell r="L4455" t="str">
            <v>SY100204</v>
          </cell>
          <cell r="M4455" t="str">
            <v>C5630</v>
          </cell>
          <cell r="N4455" t="str">
            <v>Sreijes\سريجس</v>
          </cell>
        </row>
        <row r="4456">
          <cell r="L4456" t="str">
            <v>SY100204</v>
          </cell>
          <cell r="M4456" t="str">
            <v>C5436</v>
          </cell>
          <cell r="N4456" t="str">
            <v>Ton Elqarq\التون القرق</v>
          </cell>
        </row>
        <row r="4457">
          <cell r="L4457" t="str">
            <v>SY100204</v>
          </cell>
          <cell r="M4457" t="str">
            <v>C5438</v>
          </cell>
          <cell r="N4457" t="str">
            <v>Western Namu\نعمو الغربية</v>
          </cell>
        </row>
        <row r="4458">
          <cell r="L4458" t="str">
            <v>SY100204</v>
          </cell>
          <cell r="M4458" t="str">
            <v>C5428</v>
          </cell>
          <cell r="N4458" t="str">
            <v>Zahrat Eljabal\زهرة الجبل</v>
          </cell>
        </row>
        <row r="4459">
          <cell r="L4459" t="str">
            <v>SY100205</v>
          </cell>
          <cell r="M4459" t="str">
            <v>C5446</v>
          </cell>
          <cell r="N4459" t="str">
            <v>Badoqa\بدوقه</v>
          </cell>
        </row>
        <row r="4460">
          <cell r="L4460" t="str">
            <v>SY100205</v>
          </cell>
          <cell r="M4460" t="str">
            <v>C5441</v>
          </cell>
          <cell r="N4460" t="str">
            <v>Blusine\بلوسين</v>
          </cell>
        </row>
        <row r="4461">
          <cell r="L4461" t="str">
            <v>SY100205</v>
          </cell>
          <cell r="M4461" t="str">
            <v>C5444</v>
          </cell>
          <cell r="N4461" t="str">
            <v>Deir Eljerd\دير الجرد</v>
          </cell>
        </row>
        <row r="4462">
          <cell r="L4462" t="str">
            <v>SY100205</v>
          </cell>
          <cell r="M4462" t="str">
            <v>C5442</v>
          </cell>
          <cell r="N4462" t="str">
            <v>Di\الدي</v>
          </cell>
        </row>
        <row r="4463">
          <cell r="L4463" t="str">
            <v>SY100205</v>
          </cell>
          <cell r="M4463" t="str">
            <v>C5440</v>
          </cell>
          <cell r="N4463" t="str">
            <v>Haddada\حدادة</v>
          </cell>
        </row>
        <row r="4464">
          <cell r="L4464" t="str">
            <v>SY100205</v>
          </cell>
          <cell r="M4464" t="str">
            <v>C5447</v>
          </cell>
          <cell r="N4464" t="str">
            <v>Kaabiyet Ammar\كعبية عمار</v>
          </cell>
        </row>
        <row r="4465">
          <cell r="L4465" t="str">
            <v>SY100205</v>
          </cell>
          <cell r="M4465" t="str">
            <v>C5443</v>
          </cell>
          <cell r="N4465" t="str">
            <v>Nawatif\النواطيف</v>
          </cell>
        </row>
        <row r="4466">
          <cell r="L4466" t="str">
            <v>SY100205</v>
          </cell>
          <cell r="M4466" t="str">
            <v>C5445</v>
          </cell>
          <cell r="N4466" t="str">
            <v>Ram Terzeh\رام ترزة</v>
          </cell>
        </row>
        <row r="4467">
          <cell r="L4467" t="str">
            <v>SY100205</v>
          </cell>
          <cell r="M4467" t="str">
            <v>C5439</v>
          </cell>
          <cell r="N4467" t="str">
            <v>Tawahin\الطواحين</v>
          </cell>
        </row>
        <row r="4468">
          <cell r="L4468" t="str">
            <v>SY100206</v>
          </cell>
          <cell r="M4468" t="str">
            <v>C5449</v>
          </cell>
          <cell r="N4468" t="str">
            <v>Bluzeh - Sheikh Bader\بلوزة - بانياس</v>
          </cell>
        </row>
        <row r="4469">
          <cell r="L4469" t="str">
            <v>SY100206</v>
          </cell>
          <cell r="M4469" t="str">
            <v>C5451</v>
          </cell>
          <cell r="N4469" t="str">
            <v>Eskabla\اسقبله</v>
          </cell>
        </row>
        <row r="4470">
          <cell r="L4470" t="str">
            <v>SY100206</v>
          </cell>
          <cell r="M4470" t="str">
            <v>C5452</v>
          </cell>
          <cell r="N4470" t="str">
            <v>Kurdiyeh\كردية</v>
          </cell>
        </row>
        <row r="4471">
          <cell r="L4471" t="str">
            <v>SY100206</v>
          </cell>
          <cell r="M4471" t="str">
            <v>C5448</v>
          </cell>
          <cell r="N4471" t="str">
            <v>Sheibani\الشيباني</v>
          </cell>
        </row>
        <row r="4472">
          <cell r="L4472" t="str">
            <v>SY100206</v>
          </cell>
          <cell r="M4472" t="str">
            <v>C5450</v>
          </cell>
          <cell r="N4472" t="str">
            <v>Taleen\تالين</v>
          </cell>
        </row>
        <row r="4473">
          <cell r="L4473" t="str">
            <v>SY100300</v>
          </cell>
          <cell r="M4473" t="str">
            <v>C5460</v>
          </cell>
          <cell r="N4473" t="str">
            <v>Akma - Kima\الاكمة_كيمة</v>
          </cell>
        </row>
        <row r="4474">
          <cell r="L4474" t="str">
            <v>SY100300</v>
          </cell>
          <cell r="M4474" t="str">
            <v>C5486</v>
          </cell>
          <cell r="N4474" t="str">
            <v>Baamra\بعمرة</v>
          </cell>
        </row>
        <row r="4475">
          <cell r="L4475" t="str">
            <v>SY100300</v>
          </cell>
          <cell r="M4475" t="str">
            <v>C5458</v>
          </cell>
          <cell r="N4475" t="str">
            <v>Balatet Mgheizel\بلاطة مغيزل</v>
          </cell>
        </row>
        <row r="4476">
          <cell r="L4476" t="str">
            <v>SY100300</v>
          </cell>
          <cell r="M4476" t="str">
            <v>C5461</v>
          </cell>
          <cell r="N4476" t="str">
            <v>Beit Aysheh\بيت عائشة</v>
          </cell>
        </row>
        <row r="4477">
          <cell r="L4477" t="str">
            <v>SY100300</v>
          </cell>
          <cell r="M4477" t="str">
            <v>C5453</v>
          </cell>
          <cell r="N4477" t="str">
            <v>Beit Elmarj\بيت المرج</v>
          </cell>
        </row>
        <row r="4478">
          <cell r="L4478" t="str">
            <v>SY100300</v>
          </cell>
          <cell r="M4478" t="str">
            <v>C5467</v>
          </cell>
          <cell r="N4478" t="str">
            <v>Beit Elsheikh Yunis\بيت الشيخ يونس</v>
          </cell>
        </row>
        <row r="4479">
          <cell r="L4479" t="str">
            <v>SY100300</v>
          </cell>
          <cell r="M4479" t="str">
            <v>C5457</v>
          </cell>
          <cell r="N4479" t="str">
            <v>Beit Naaseh\بيت ناعسة</v>
          </cell>
        </row>
        <row r="4480">
          <cell r="L4480" t="str">
            <v>SY100300</v>
          </cell>
          <cell r="M4480" t="str">
            <v>C5465</v>
          </cell>
          <cell r="N4480" t="str">
            <v>Beit Tayun\بيت طيون</v>
          </cell>
        </row>
        <row r="4481">
          <cell r="L4481" t="str">
            <v>SY100300</v>
          </cell>
          <cell r="M4481" t="str">
            <v>C5476</v>
          </cell>
          <cell r="N4481" t="str">
            <v>Beshraile\بشرائيل</v>
          </cell>
        </row>
        <row r="4482">
          <cell r="L4482" t="str">
            <v>SY100300</v>
          </cell>
          <cell r="M4482" t="str">
            <v>C5463</v>
          </cell>
          <cell r="N4482" t="str">
            <v>Bweidet Sweiqat\بويضة السويقات</v>
          </cell>
        </row>
        <row r="4483">
          <cell r="L4483" t="str">
            <v>SY100300</v>
          </cell>
          <cell r="M4483" t="str">
            <v>C5473</v>
          </cell>
          <cell r="N4483" t="str">
            <v>Dahr Elyazdiyeh\ضهر اليازدية</v>
          </cell>
        </row>
        <row r="4484">
          <cell r="L4484" t="str">
            <v>SY100300</v>
          </cell>
          <cell r="M4484" t="str">
            <v>C5489</v>
          </cell>
          <cell r="N4484" t="str">
            <v>Damaqs - Bimsaqs\دمقس_بمسقس</v>
          </cell>
        </row>
        <row r="4485">
          <cell r="L4485" t="str">
            <v>SY100300</v>
          </cell>
          <cell r="M4485" t="str">
            <v>C5484</v>
          </cell>
          <cell r="N4485" t="str">
            <v>Ein Elkbireh - Safita\عين الكبيرة - صافيتا</v>
          </cell>
        </row>
        <row r="4486">
          <cell r="L4486" t="str">
            <v>SY100300</v>
          </cell>
          <cell r="M4486" t="str">
            <v>C5487</v>
          </cell>
          <cell r="N4486" t="str">
            <v>Ein Hfad\عين حفاض</v>
          </cell>
        </row>
        <row r="4487">
          <cell r="L4487" t="str">
            <v>SY100300</v>
          </cell>
          <cell r="M4487" t="str">
            <v>C5494</v>
          </cell>
          <cell r="N4487" t="str">
            <v>Fitah Nassar\فتاح نصار</v>
          </cell>
        </row>
        <row r="4488">
          <cell r="L4488" t="str">
            <v>SY100300</v>
          </cell>
          <cell r="M4488" t="str">
            <v>C5485</v>
          </cell>
          <cell r="N4488" t="str">
            <v>Hanjur\حنجور</v>
          </cell>
        </row>
        <row r="4489">
          <cell r="L4489" t="str">
            <v>SY100300</v>
          </cell>
          <cell r="M4489" t="str">
            <v>C5454</v>
          </cell>
          <cell r="N4489" t="str">
            <v>Hikr Ein Elbardeh\حكر عين الباردة</v>
          </cell>
        </row>
        <row r="4490">
          <cell r="L4490" t="str">
            <v>SY100300</v>
          </cell>
          <cell r="M4490" t="str">
            <v>C5488</v>
          </cell>
          <cell r="N4490" t="str">
            <v>Hikr Mkheiber\حكر مخيبر</v>
          </cell>
        </row>
        <row r="4491">
          <cell r="L4491" t="str">
            <v>SY100300</v>
          </cell>
          <cell r="M4491" t="str">
            <v>C5459</v>
          </cell>
          <cell r="N4491" t="str">
            <v>Jdidet Abdallah\جديدة عبد الله</v>
          </cell>
        </row>
        <row r="4492">
          <cell r="L4492" t="str">
            <v>SY100300</v>
          </cell>
          <cell r="M4492" t="str">
            <v>C5462</v>
          </cell>
          <cell r="N4492" t="str">
            <v>Joret Elshanbur\جورة الشنبور</v>
          </cell>
        </row>
        <row r="4493">
          <cell r="L4493" t="str">
            <v>SY100300</v>
          </cell>
          <cell r="M4493" t="str">
            <v>C5491</v>
          </cell>
          <cell r="N4493" t="str">
            <v>Karm Mgheizel\كرم مغيزل</v>
          </cell>
        </row>
        <row r="4494">
          <cell r="L4494" t="str">
            <v>SY100300</v>
          </cell>
          <cell r="M4494" t="str">
            <v>C5481</v>
          </cell>
          <cell r="N4494" t="str">
            <v>Kherbet Abu Hamdan\خربة أبو حمدان</v>
          </cell>
        </row>
        <row r="4495">
          <cell r="L4495" t="str">
            <v>SY100300</v>
          </cell>
          <cell r="M4495" t="str">
            <v>C5492</v>
          </cell>
          <cell r="N4495" t="str">
            <v>Kniset Safita\كنيسة صافيتا</v>
          </cell>
        </row>
        <row r="4496">
          <cell r="L4496" t="str">
            <v>SY100300</v>
          </cell>
          <cell r="M4496" t="str">
            <v>C5483</v>
          </cell>
          <cell r="N4496" t="str">
            <v>Maab - Obin\المآب - أوبين</v>
          </cell>
        </row>
        <row r="4497">
          <cell r="L4497" t="str">
            <v>SY100300</v>
          </cell>
          <cell r="M4497" t="str">
            <v>C5482</v>
          </cell>
          <cell r="N4497" t="str">
            <v>Mweiseh\المويسة</v>
          </cell>
        </row>
        <row r="4498">
          <cell r="L4498" t="str">
            <v>SY100300</v>
          </cell>
          <cell r="M4498" t="str">
            <v>C5469</v>
          </cell>
          <cell r="N4498" t="str">
            <v>Naameh - Kafrikha\الناعمة_كفريخة</v>
          </cell>
        </row>
        <row r="4499">
          <cell r="L4499" t="str">
            <v>SY100300</v>
          </cell>
          <cell r="M4499" t="str">
            <v>C5477</v>
          </cell>
          <cell r="N4499" t="str">
            <v>Naasat\النعاصات</v>
          </cell>
        </row>
        <row r="4500">
          <cell r="L4500" t="str">
            <v>SY100300</v>
          </cell>
          <cell r="M4500" t="str">
            <v>C5493</v>
          </cell>
          <cell r="N4500" t="str">
            <v>Nashir\نشير</v>
          </cell>
        </row>
        <row r="4501">
          <cell r="L4501" t="str">
            <v>SY100300</v>
          </cell>
          <cell r="M4501" t="str">
            <v>C5455</v>
          </cell>
          <cell r="N4501" t="str">
            <v>Odayda\العديدة</v>
          </cell>
        </row>
        <row r="4502">
          <cell r="L4502" t="str">
            <v>SY100300</v>
          </cell>
          <cell r="M4502" t="str">
            <v>C5472</v>
          </cell>
          <cell r="N4502" t="str">
            <v>Safita\صافيتا</v>
          </cell>
        </row>
        <row r="4503">
          <cell r="L4503" t="str">
            <v>SY100300</v>
          </cell>
          <cell r="M4503" t="str">
            <v>C5478</v>
          </cell>
          <cell r="N4503" t="str">
            <v>Samuqa\السموقة</v>
          </cell>
        </row>
        <row r="4504">
          <cell r="L4504" t="str">
            <v>SY100300</v>
          </cell>
          <cell r="M4504" t="str">
            <v>C5464</v>
          </cell>
          <cell r="N4504" t="str">
            <v>Shamamis\الشماميس</v>
          </cell>
        </row>
        <row r="4505">
          <cell r="L4505" t="str">
            <v>SY100300</v>
          </cell>
          <cell r="M4505" t="str">
            <v>C5471</v>
          </cell>
          <cell r="N4505" t="str">
            <v>Sindyanet Obin\سنديانة أوبين</v>
          </cell>
        </row>
        <row r="4506">
          <cell r="L4506" t="str">
            <v>SY100300</v>
          </cell>
          <cell r="M4506" t="str">
            <v>C5466</v>
          </cell>
          <cell r="N4506" t="str">
            <v>Somaah\الصومعة</v>
          </cell>
        </row>
        <row r="4507">
          <cell r="L4507" t="str">
            <v>SY100300</v>
          </cell>
          <cell r="M4507" t="str">
            <v>C5468</v>
          </cell>
          <cell r="N4507" t="str">
            <v>Terkeb\تركب</v>
          </cell>
        </row>
        <row r="4508">
          <cell r="L4508" t="str">
            <v>SY100300</v>
          </cell>
          <cell r="M4508" t="str">
            <v>C5479</v>
          </cell>
          <cell r="N4508" t="str">
            <v>Um Hosh\أم حوش</v>
          </cell>
        </row>
        <row r="4509">
          <cell r="L4509" t="str">
            <v>SY100300</v>
          </cell>
          <cell r="M4509" t="str">
            <v>C5495</v>
          </cell>
          <cell r="N4509" t="str">
            <v>Yazidiyet Hamdan\يازدية حمدان</v>
          </cell>
        </row>
        <row r="4510">
          <cell r="L4510" t="str">
            <v>SY100300</v>
          </cell>
          <cell r="M4510" t="str">
            <v>C5470</v>
          </cell>
          <cell r="N4510" t="str">
            <v>Zabraqan\زبرقان</v>
          </cell>
        </row>
        <row r="4511">
          <cell r="L4511" t="str">
            <v>SY100300</v>
          </cell>
          <cell r="M4511" t="str">
            <v>C5480</v>
          </cell>
          <cell r="N4511" t="str">
            <v>Zawraq Barakat\زوق بركات</v>
          </cell>
        </row>
        <row r="4512">
          <cell r="L4512" t="str">
            <v>SY100300</v>
          </cell>
          <cell r="M4512" t="str">
            <v>C5474</v>
          </cell>
          <cell r="N4512" t="str">
            <v>Zweiteini\الزويتيني</v>
          </cell>
        </row>
        <row r="4513">
          <cell r="L4513" t="str">
            <v>SY100301</v>
          </cell>
          <cell r="M4513" t="str">
            <v>C5514</v>
          </cell>
          <cell r="N4513" t="str">
            <v>Bafrun Haydar\كفرون حيدر</v>
          </cell>
        </row>
        <row r="4514">
          <cell r="L4514" t="str">
            <v>SY100301</v>
          </cell>
          <cell r="M4514" t="str">
            <v>C5502</v>
          </cell>
          <cell r="N4514" t="str">
            <v>Baqtu\بقطو</v>
          </cell>
        </row>
        <row r="4515">
          <cell r="L4515" t="str">
            <v>SY100301</v>
          </cell>
          <cell r="M4515" t="str">
            <v>C5504</v>
          </cell>
          <cell r="N4515" t="str">
            <v>Basira\بصيرة</v>
          </cell>
        </row>
        <row r="4516">
          <cell r="L4516" t="str">
            <v>SY100301</v>
          </cell>
          <cell r="M4516" t="str">
            <v>C5498</v>
          </cell>
          <cell r="N4516" t="str">
            <v>Battar\البطار</v>
          </cell>
        </row>
        <row r="4517">
          <cell r="L4517" t="str">
            <v>SY100301</v>
          </cell>
          <cell r="M4517" t="str">
            <v>C5500</v>
          </cell>
          <cell r="N4517" t="str">
            <v>Beit Akrush\بيت عركوش</v>
          </cell>
        </row>
        <row r="4518">
          <cell r="L4518" t="str">
            <v>SY100301</v>
          </cell>
          <cell r="M4518" t="str">
            <v>C5505</v>
          </cell>
          <cell r="N4518" t="str">
            <v>Bismaqa\بسماقة</v>
          </cell>
        </row>
        <row r="4519">
          <cell r="L4519" t="str">
            <v>SY100301</v>
          </cell>
          <cell r="M4519" t="str">
            <v>C5506</v>
          </cell>
          <cell r="N4519" t="str">
            <v>Bsarsar\بصرصر</v>
          </cell>
        </row>
        <row r="4520">
          <cell r="L4520" t="str">
            <v>SY100301</v>
          </cell>
          <cell r="M4520" t="str">
            <v>C5497</v>
          </cell>
          <cell r="N4520" t="str">
            <v>Ein Ellabni\عين اللبني</v>
          </cell>
        </row>
        <row r="4521">
          <cell r="L4521" t="str">
            <v>SY100301</v>
          </cell>
          <cell r="M4521" t="str">
            <v>C5503</v>
          </cell>
          <cell r="N4521" t="str">
            <v>Hefnet Elmawarneh\حفة الموارنة</v>
          </cell>
        </row>
        <row r="4522">
          <cell r="L4522" t="str">
            <v>SY100301</v>
          </cell>
          <cell r="M4522" t="str">
            <v>C5501</v>
          </cell>
          <cell r="N4522" t="str">
            <v>Hikr Kaber\حكر كابر</v>
          </cell>
        </row>
        <row r="4523">
          <cell r="L4523" t="str">
            <v>SY100301</v>
          </cell>
          <cell r="M4523" t="str">
            <v>C5499</v>
          </cell>
          <cell r="N4523" t="str">
            <v>Inata\عيناتا</v>
          </cell>
        </row>
        <row r="4524">
          <cell r="L4524" t="str">
            <v>SY100301</v>
          </cell>
          <cell r="M4524" t="str">
            <v>C5507</v>
          </cell>
          <cell r="N4524" t="str">
            <v>Jenin\جنين</v>
          </cell>
        </row>
        <row r="4525">
          <cell r="L4525" t="str">
            <v>SY100301</v>
          </cell>
          <cell r="M4525" t="str">
            <v>C5496</v>
          </cell>
          <cell r="N4525" t="str">
            <v>Kafrun\الكفرون</v>
          </cell>
        </row>
        <row r="4526">
          <cell r="L4526" t="str">
            <v>SY100301</v>
          </cell>
          <cell r="M4526" t="str">
            <v>C5490</v>
          </cell>
          <cell r="N4526" t="str">
            <v>Kafrun Badra\كفرون بدرة</v>
          </cell>
        </row>
        <row r="4527">
          <cell r="L4527" t="str">
            <v>SY100301</v>
          </cell>
          <cell r="M4527" t="str">
            <v>C5512</v>
          </cell>
          <cell r="N4527" t="str">
            <v>Mahiri Elmawarneh\مهيري الموارنة</v>
          </cell>
        </row>
        <row r="4528">
          <cell r="L4528" t="str">
            <v>SY100301</v>
          </cell>
          <cell r="M4528" t="str">
            <v>C5513</v>
          </cell>
          <cell r="N4528" t="str">
            <v>Mahiri Elrum\مهيرى الروم</v>
          </cell>
        </row>
        <row r="4529">
          <cell r="L4529" t="str">
            <v>SY100301</v>
          </cell>
          <cell r="M4529" t="str">
            <v>C5509</v>
          </cell>
          <cell r="N4529" t="str">
            <v>Mashta Elhiu\مشتى الحلو</v>
          </cell>
        </row>
        <row r="4530">
          <cell r="L4530" t="str">
            <v>SY100301</v>
          </cell>
          <cell r="M4530" t="str">
            <v>C5510</v>
          </cell>
          <cell r="N4530" t="str">
            <v>Mlihet Dweir Elmaluah\مليحة دوير الملوعة</v>
          </cell>
        </row>
        <row r="4531">
          <cell r="L4531" t="str">
            <v>SY100301</v>
          </cell>
          <cell r="M4531" t="str">
            <v>C5508</v>
          </cell>
          <cell r="N4531" t="str">
            <v>Nabe Karkar\نبع كركر</v>
          </cell>
        </row>
        <row r="4532">
          <cell r="L4532" t="str">
            <v>SY100301</v>
          </cell>
          <cell r="M4532" t="str">
            <v>C5511</v>
          </cell>
          <cell r="N4532" t="str">
            <v>Wadi Elmajawi\وادي المجاوي</v>
          </cell>
        </row>
        <row r="4533">
          <cell r="L4533" t="str">
            <v>SY100302</v>
          </cell>
          <cell r="M4533" t="str">
            <v>C5517</v>
          </cell>
          <cell r="N4533" t="str">
            <v>Bariqiyeh\البارقية</v>
          </cell>
        </row>
        <row r="4534">
          <cell r="L4534" t="str">
            <v>SY100302</v>
          </cell>
          <cell r="M4534" t="str">
            <v>C5519</v>
          </cell>
          <cell r="N4534" t="str">
            <v>Basatin\بساتين</v>
          </cell>
        </row>
        <row r="4535">
          <cell r="L4535" t="str">
            <v>SY100302</v>
          </cell>
          <cell r="M4535" t="str">
            <v>C5516</v>
          </cell>
          <cell r="N4535" t="str">
            <v>Ein Elsahen\عين الصحن</v>
          </cell>
        </row>
        <row r="4536">
          <cell r="L4536" t="str">
            <v>SY100302</v>
          </cell>
          <cell r="M4536" t="str">
            <v>C5518</v>
          </cell>
          <cell r="N4536" t="str">
            <v>Haba\حابا</v>
          </cell>
        </row>
        <row r="4537">
          <cell r="L4537" t="str">
            <v>SY100302</v>
          </cell>
          <cell r="M4537" t="str">
            <v>C5520</v>
          </cell>
          <cell r="N4537" t="str">
            <v>Jdidet Hazur\جديدة حزور</v>
          </cell>
        </row>
        <row r="4538">
          <cell r="L4538" t="str">
            <v>SY100302</v>
          </cell>
          <cell r="M4538" t="str">
            <v>C5515</v>
          </cell>
          <cell r="N4538" t="str">
            <v>Mjeidel - Safita\المجيدل - صافيتا</v>
          </cell>
        </row>
        <row r="4539">
          <cell r="L4539" t="str">
            <v>SY100302</v>
          </cell>
          <cell r="M4539" t="str">
            <v>C5522</v>
          </cell>
          <cell r="N4539" t="str">
            <v>Nomra Castle\قلعة نمرة</v>
          </cell>
        </row>
        <row r="4540">
          <cell r="L4540" t="str">
            <v>SY100302</v>
          </cell>
          <cell r="M4540" t="str">
            <v>C5521</v>
          </cell>
          <cell r="N4540" t="str">
            <v>Zafarana\الزعفرانة</v>
          </cell>
        </row>
        <row r="4541">
          <cell r="L4541" t="str">
            <v>SY100303</v>
          </cell>
          <cell r="M4541" t="str">
            <v>C5525</v>
          </cell>
          <cell r="N4541" t="str">
            <v>Arus - Batlaus\العروس_بتلعوس</v>
          </cell>
        </row>
        <row r="4542">
          <cell r="L4542" t="str">
            <v>SY100303</v>
          </cell>
          <cell r="M4542" t="str">
            <v>C5523</v>
          </cell>
          <cell r="N4542" t="str">
            <v>Ein Eltineh\عين التينة</v>
          </cell>
        </row>
        <row r="4543">
          <cell r="L4543" t="str">
            <v>SY100303</v>
          </cell>
          <cell r="M4543" t="str">
            <v>C5526</v>
          </cell>
          <cell r="N4543" t="str">
            <v>Jreinat\جرينات</v>
          </cell>
        </row>
        <row r="4544">
          <cell r="L4544" t="str">
            <v>SY100303</v>
          </cell>
          <cell r="M4544" t="str">
            <v>C5528</v>
          </cell>
          <cell r="N4544" t="str">
            <v>Kafr Jawaya\كفر جوايا</v>
          </cell>
        </row>
        <row r="4545">
          <cell r="L4545" t="str">
            <v>SY100303</v>
          </cell>
          <cell r="M4545" t="str">
            <v>C5527</v>
          </cell>
          <cell r="N4545" t="str">
            <v>Matbat\متبت</v>
          </cell>
        </row>
        <row r="4546">
          <cell r="L4546" t="str">
            <v>SY100303</v>
          </cell>
          <cell r="M4546" t="str">
            <v>C5524</v>
          </cell>
          <cell r="N4546" t="str">
            <v>Sibbeh\سبة</v>
          </cell>
        </row>
        <row r="4547">
          <cell r="L4547" t="str">
            <v>SY100304</v>
          </cell>
          <cell r="M4547" t="str">
            <v>C5530</v>
          </cell>
          <cell r="N4547" t="str">
            <v>Beit - Elsafyeh\بعيت_الصافية</v>
          </cell>
        </row>
        <row r="4548">
          <cell r="L4548" t="str">
            <v>SY100304</v>
          </cell>
          <cell r="M4548" t="str">
            <v>C5529</v>
          </cell>
          <cell r="N4548" t="str">
            <v>Beit Ahmed Wanus\بيت أحمد ونوس</v>
          </cell>
        </row>
        <row r="4549">
          <cell r="L4549" t="str">
            <v>SY100304</v>
          </cell>
          <cell r="M4549" t="str">
            <v>C5546</v>
          </cell>
          <cell r="N4549" t="str">
            <v>Dora - Baddada\الدورة_بدادا</v>
          </cell>
        </row>
        <row r="4550">
          <cell r="L4550" t="str">
            <v>SY100304</v>
          </cell>
          <cell r="M4550" t="str">
            <v>C5542</v>
          </cell>
          <cell r="N4550" t="str">
            <v>Dreikish Zreib\دريكيش زريب</v>
          </cell>
        </row>
        <row r="4551">
          <cell r="L4551" t="str">
            <v>SY100304</v>
          </cell>
          <cell r="M4551" t="str">
            <v>C5543</v>
          </cell>
          <cell r="N4551" t="str">
            <v>Dweir Elteiee\دوير الطليعي</v>
          </cell>
        </row>
        <row r="4552">
          <cell r="L4552" t="str">
            <v>SY100304</v>
          </cell>
          <cell r="M4552" t="str">
            <v>C5538</v>
          </cell>
          <cell r="N4552" t="str">
            <v>Ein Dabesh\عين دابش</v>
          </cell>
        </row>
        <row r="4553">
          <cell r="L4553" t="str">
            <v>SY100304</v>
          </cell>
          <cell r="M4553" t="str">
            <v>C5537</v>
          </cell>
          <cell r="N4553" t="str">
            <v>Habrun\حبرون</v>
          </cell>
        </row>
        <row r="4554">
          <cell r="L4554" t="str">
            <v>SY100304</v>
          </cell>
          <cell r="M4554" t="str">
            <v>C5531</v>
          </cell>
          <cell r="N4554" t="str">
            <v>Harmel\الهرمل</v>
          </cell>
        </row>
        <row r="4555">
          <cell r="L4555" t="str">
            <v>SY100304</v>
          </cell>
          <cell r="M4555" t="str">
            <v>C5540</v>
          </cell>
          <cell r="N4555" t="str">
            <v>Hikr Jeb Elamlas\حكر جب الأملس</v>
          </cell>
        </row>
        <row r="4556">
          <cell r="L4556" t="str">
            <v>SY100304</v>
          </cell>
          <cell r="M4556" t="str">
            <v>C5539</v>
          </cell>
          <cell r="N4556" t="str">
            <v>Jeb Elamlas\جب الأملس</v>
          </cell>
        </row>
        <row r="4557">
          <cell r="L4557" t="str">
            <v>SY100304</v>
          </cell>
          <cell r="M4557" t="str">
            <v>C5547</v>
          </cell>
          <cell r="N4557" t="str">
            <v>Kherbet Eljeb\خربة الجب</v>
          </cell>
        </row>
        <row r="4558">
          <cell r="L4558" t="str">
            <v>SY100304</v>
          </cell>
          <cell r="M4558" t="str">
            <v>C5533</v>
          </cell>
          <cell r="N4558" t="str">
            <v>Madafa - Kafr Deif\المضافة_كفر ضيف</v>
          </cell>
        </row>
        <row r="4559">
          <cell r="L4559" t="str">
            <v>SY100304</v>
          </cell>
          <cell r="M4559" t="str">
            <v>C5534</v>
          </cell>
          <cell r="N4559" t="str">
            <v>Matras\المتراس</v>
          </cell>
        </row>
        <row r="4560">
          <cell r="L4560" t="str">
            <v>SY100304</v>
          </cell>
          <cell r="M4560" t="str">
            <v>C5532</v>
          </cell>
          <cell r="N4560" t="str">
            <v>Meisrat\المعيصرات</v>
          </cell>
        </row>
        <row r="4561">
          <cell r="L4561" t="str">
            <v>SY100304</v>
          </cell>
          <cell r="M4561" t="str">
            <v>C5545</v>
          </cell>
          <cell r="N4561" t="str">
            <v>Sisniyyeh\السيسنية</v>
          </cell>
        </row>
        <row r="4562">
          <cell r="L4562" t="str">
            <v>SY100304</v>
          </cell>
          <cell r="M4562" t="str">
            <v>C5536</v>
          </cell>
          <cell r="N4562" t="str">
            <v>Tal Waawaa\تل وعاوع</v>
          </cell>
        </row>
        <row r="4563">
          <cell r="L4563" t="str">
            <v>SY100304</v>
          </cell>
          <cell r="M4563" t="str">
            <v>C5541</v>
          </cell>
          <cell r="N4563" t="str">
            <v>Tallet Elkhader\تلة الخضر</v>
          </cell>
        </row>
        <row r="4564">
          <cell r="L4564" t="str">
            <v>SY100304</v>
          </cell>
          <cell r="M4564" t="str">
            <v>C5535</v>
          </cell>
          <cell r="N4564" t="str">
            <v>Taltrams\تلترمس</v>
          </cell>
        </row>
        <row r="4565">
          <cell r="L4565" t="str">
            <v>SY100304</v>
          </cell>
          <cell r="M4565" t="str">
            <v>C5544</v>
          </cell>
          <cell r="N4565" t="str">
            <v>Tleiee\الطليعي</v>
          </cell>
        </row>
        <row r="4566">
          <cell r="L4566" t="str">
            <v>SY100305</v>
          </cell>
          <cell r="M4566" t="str">
            <v>C5558</v>
          </cell>
          <cell r="N4566" t="str">
            <v>Beit Salami\بيت سلامي</v>
          </cell>
        </row>
        <row r="4567">
          <cell r="L4567" t="str">
            <v>SY100305</v>
          </cell>
          <cell r="M4567" t="str">
            <v>C5552</v>
          </cell>
          <cell r="N4567" t="str">
            <v>Bonyah\بونياح</v>
          </cell>
        </row>
        <row r="4568">
          <cell r="L4568" t="str">
            <v>SY100305</v>
          </cell>
          <cell r="M4568" t="str">
            <v>C5553</v>
          </cell>
          <cell r="N4568" t="str">
            <v>Bostan - Sarstan\البستان_سرسستان</v>
          </cell>
        </row>
        <row r="4569">
          <cell r="L4569" t="str">
            <v>SY100305</v>
          </cell>
          <cell r="M4569" t="str">
            <v>C5475</v>
          </cell>
          <cell r="N4569" t="str">
            <v>Bshabta\بشبطة_الدلبة</v>
          </cell>
        </row>
        <row r="4570">
          <cell r="L4570" t="str">
            <v>SY100305</v>
          </cell>
          <cell r="M4570" t="str">
            <v>C5548</v>
          </cell>
          <cell r="N4570" t="str">
            <v>Dahr Shiha\ضهر شيحا</v>
          </cell>
        </row>
        <row r="4571">
          <cell r="L4571" t="str">
            <v>SY100305</v>
          </cell>
          <cell r="M4571" t="str">
            <v>C5559</v>
          </cell>
          <cell r="N4571" t="str">
            <v>Hdeidat\الحداديات</v>
          </cell>
        </row>
        <row r="4572">
          <cell r="L4572" t="str">
            <v>SY100305</v>
          </cell>
          <cell r="M4572" t="str">
            <v>C5549</v>
          </cell>
          <cell r="N4572" t="str">
            <v>Hikr Elsheikh Mahmud\حكر الشيخ محمود</v>
          </cell>
        </row>
        <row r="4573">
          <cell r="L4573" t="str">
            <v>SY100305</v>
          </cell>
          <cell r="M4573" t="str">
            <v>C5556</v>
          </cell>
          <cell r="N4573" t="str">
            <v>Jarwiyeh\الجروية</v>
          </cell>
        </row>
        <row r="4574">
          <cell r="L4574" t="str">
            <v>SY100305</v>
          </cell>
          <cell r="M4574" t="str">
            <v>C5561</v>
          </cell>
          <cell r="N4574" t="str">
            <v>Majd Elbostan - Majdalun\مجد البستان_مجدلون</v>
          </cell>
        </row>
        <row r="4575">
          <cell r="L4575" t="str">
            <v>SY100305</v>
          </cell>
          <cell r="M4575" t="str">
            <v>C5562</v>
          </cell>
          <cell r="N4575" t="str">
            <v>Mashrafet Kahla\مشرفة كحلة</v>
          </cell>
        </row>
        <row r="4576">
          <cell r="L4576" t="str">
            <v>SY100305</v>
          </cell>
          <cell r="M4576" t="str">
            <v>C5560</v>
          </cell>
          <cell r="N4576" t="str">
            <v>Osqof\الاسقف</v>
          </cell>
        </row>
        <row r="4577">
          <cell r="L4577" t="str">
            <v>SY100305</v>
          </cell>
          <cell r="M4577" t="str">
            <v>C5557</v>
          </cell>
          <cell r="N4577" t="str">
            <v>Ras El-Khashufeh\رأس الخشوفة</v>
          </cell>
        </row>
        <row r="4578">
          <cell r="L4578" t="str">
            <v>SY100305</v>
          </cell>
          <cell r="M4578" t="str">
            <v>C5550</v>
          </cell>
          <cell r="N4578" t="str">
            <v>Ras Mandu\رأس مندو</v>
          </cell>
        </row>
        <row r="4579">
          <cell r="L4579" t="str">
            <v>SY100305</v>
          </cell>
          <cell r="M4579" t="str">
            <v>C5555</v>
          </cell>
          <cell r="N4579" t="str">
            <v>Rweiset Elhayek\رويسة الحايك</v>
          </cell>
        </row>
        <row r="4580">
          <cell r="L4580" t="str">
            <v>SY100305</v>
          </cell>
          <cell r="M4580" t="str">
            <v>C5551</v>
          </cell>
          <cell r="N4580" t="str">
            <v>Rweiset Hamdan\رويسة حمدان</v>
          </cell>
        </row>
        <row r="4581">
          <cell r="L4581" t="str">
            <v>SY100305</v>
          </cell>
          <cell r="M4581" t="str">
            <v>C5554</v>
          </cell>
          <cell r="N4581" t="str">
            <v>Sur - Bsorm\السور_بسورم</v>
          </cell>
        </row>
        <row r="4582">
          <cell r="L4582" t="str">
            <v>SY100400</v>
          </cell>
          <cell r="M4582" t="str">
            <v>C5581</v>
          </cell>
          <cell r="N4582" t="str">
            <v>Afsuniyeh\العفصونية</v>
          </cell>
        </row>
        <row r="4583">
          <cell r="L4583" t="str">
            <v>SY100400</v>
          </cell>
          <cell r="M4583" t="str">
            <v>C5578</v>
          </cell>
          <cell r="N4583" t="str">
            <v>Beit Elkhatib\بيت الخطيب</v>
          </cell>
        </row>
        <row r="4584">
          <cell r="L4584" t="str">
            <v>SY100400</v>
          </cell>
          <cell r="M4584" t="str">
            <v>C5573</v>
          </cell>
          <cell r="N4584" t="str">
            <v>Beit Shbat\بيت شباط</v>
          </cell>
        </row>
        <row r="4585">
          <cell r="L4585" t="str">
            <v>SY100400</v>
          </cell>
          <cell r="M4585" t="str">
            <v>C5572</v>
          </cell>
          <cell r="N4585" t="str">
            <v>Beit Shohar\بيت شوهر</v>
          </cell>
        </row>
        <row r="4586">
          <cell r="L4586" t="str">
            <v>SY100400</v>
          </cell>
          <cell r="M4586" t="str">
            <v>C5566</v>
          </cell>
          <cell r="N4586" t="str">
            <v>Beit Yusuf\بيت يوسف</v>
          </cell>
        </row>
        <row r="4587">
          <cell r="L4587" t="str">
            <v>SY100400</v>
          </cell>
          <cell r="M4587" t="str">
            <v>C5563</v>
          </cell>
          <cell r="N4587" t="str">
            <v>Bheisis\بحيصيص</v>
          </cell>
        </row>
        <row r="4588">
          <cell r="L4588" t="str">
            <v>SY100400</v>
          </cell>
          <cell r="M4588" t="str">
            <v>C5579</v>
          </cell>
          <cell r="N4588" t="str">
            <v>Bmahsar\بمحصر</v>
          </cell>
        </row>
        <row r="4589">
          <cell r="L4589" t="str">
            <v>SY100400</v>
          </cell>
          <cell r="M4589" t="str">
            <v>C5565</v>
          </cell>
          <cell r="N4589" t="str">
            <v>Bqoo - Baqaa\بقعو_البقعة</v>
          </cell>
        </row>
        <row r="4590">
          <cell r="L4590" t="str">
            <v>SY100400</v>
          </cell>
          <cell r="M4590" t="str">
            <v>C5567</v>
          </cell>
          <cell r="N4590" t="str">
            <v>Breikeh\البريخية</v>
          </cell>
        </row>
        <row r="4591">
          <cell r="L4591" t="str">
            <v>SY100400</v>
          </cell>
          <cell r="M4591" t="str">
            <v>C5580</v>
          </cell>
          <cell r="N4591" t="str">
            <v>Bweidet Msallam\بويضة مسلم</v>
          </cell>
        </row>
        <row r="4592">
          <cell r="L4592" t="str">
            <v>SY100400</v>
          </cell>
          <cell r="M4592" t="str">
            <v>C5586</v>
          </cell>
          <cell r="N4592" t="str">
            <v>Dreikish\الدريكيش</v>
          </cell>
        </row>
        <row r="4593">
          <cell r="L4593" t="str">
            <v>SY100400</v>
          </cell>
          <cell r="M4593" t="str">
            <v>C5584</v>
          </cell>
          <cell r="N4593" t="str">
            <v>Dweir Eloweineh\دوير العوينية</v>
          </cell>
        </row>
        <row r="4594">
          <cell r="L4594" t="str">
            <v>SY100400</v>
          </cell>
          <cell r="M4594" t="str">
            <v>C5570</v>
          </cell>
          <cell r="N4594" t="str">
            <v>Ein Eljash\عين الجاش</v>
          </cell>
        </row>
        <row r="4595">
          <cell r="L4595" t="str">
            <v>SY100400</v>
          </cell>
          <cell r="M4595" t="str">
            <v>C5575</v>
          </cell>
          <cell r="N4595" t="str">
            <v>Ein Ghalim\عين غليم</v>
          </cell>
        </row>
        <row r="4596">
          <cell r="L4596" t="str">
            <v>SY100400</v>
          </cell>
          <cell r="M4596" t="str">
            <v>C5568</v>
          </cell>
          <cell r="N4596" t="str">
            <v>Habsu - Hurriyeh\حبسو_حرية</v>
          </cell>
        </row>
        <row r="4597">
          <cell r="L4597" t="str">
            <v>SY100400</v>
          </cell>
          <cell r="M4597" t="str">
            <v>C5577</v>
          </cell>
          <cell r="N4597" t="str">
            <v>Hamush Raslan\حاموش رسلان</v>
          </cell>
        </row>
        <row r="4598">
          <cell r="L4598" t="str">
            <v>SY100400</v>
          </cell>
          <cell r="M4598" t="str">
            <v>C5582</v>
          </cell>
          <cell r="N4598" t="str">
            <v>Jbab\الجباب</v>
          </cell>
        </row>
        <row r="4599">
          <cell r="L4599" t="str">
            <v>SY100400</v>
          </cell>
          <cell r="M4599" t="str">
            <v>C5583</v>
          </cell>
          <cell r="N4599" t="str">
            <v>Joret Elshatbush\جورة الشطبوش</v>
          </cell>
        </row>
        <row r="4600">
          <cell r="L4600" t="str">
            <v>SY100400</v>
          </cell>
          <cell r="M4600" t="str">
            <v>C5587</v>
          </cell>
          <cell r="N4600" t="str">
            <v>Kafr Shagher\كفر شاغر</v>
          </cell>
        </row>
        <row r="4601">
          <cell r="L4601" t="str">
            <v>SY100400</v>
          </cell>
          <cell r="M4601" t="str">
            <v>C5574</v>
          </cell>
          <cell r="N4601" t="str">
            <v>Mraj\المراج</v>
          </cell>
        </row>
        <row r="4602">
          <cell r="L4602" t="str">
            <v>SY100400</v>
          </cell>
          <cell r="M4602" t="str">
            <v>C5564</v>
          </cell>
          <cell r="N4602" t="str">
            <v>Oweiniyeh\عوينية</v>
          </cell>
        </row>
        <row r="4603">
          <cell r="L4603" t="str">
            <v>SY100400</v>
          </cell>
          <cell r="M4603" t="str">
            <v>C5576</v>
          </cell>
          <cell r="N4603" t="str">
            <v>Shweihdat\الشويهدات</v>
          </cell>
        </row>
        <row r="4604">
          <cell r="L4604" t="str">
            <v>SY100400</v>
          </cell>
          <cell r="M4604" t="str">
            <v>C5585</v>
          </cell>
          <cell r="N4604" t="str">
            <v>Sreighis - Sraj\سريغس_سراج</v>
          </cell>
        </row>
        <row r="4605">
          <cell r="L4605" t="str">
            <v>SY100400</v>
          </cell>
          <cell r="M4605" t="str">
            <v>C5571</v>
          </cell>
          <cell r="N4605" t="str">
            <v>Tuffaha\تفاحه</v>
          </cell>
        </row>
        <row r="4606">
          <cell r="L4606" t="str">
            <v>SY100400</v>
          </cell>
          <cell r="M4606" t="str">
            <v>C5569</v>
          </cell>
          <cell r="N4606" t="str">
            <v>Zakiyeh\الزكية</v>
          </cell>
        </row>
        <row r="4607">
          <cell r="L4607" t="str">
            <v>SY100401</v>
          </cell>
          <cell r="M4607" t="str">
            <v>C5595</v>
          </cell>
          <cell r="N4607" t="str">
            <v>Bshams\بشمس</v>
          </cell>
        </row>
        <row r="4608">
          <cell r="L4608" t="str">
            <v>SY100401</v>
          </cell>
          <cell r="M4608" t="str">
            <v>C5589</v>
          </cell>
          <cell r="N4608" t="str">
            <v>Delbeh - Dreikish\الدلبة - الدريكيش</v>
          </cell>
        </row>
        <row r="4609">
          <cell r="L4609" t="str">
            <v>SY100401</v>
          </cell>
          <cell r="M4609" t="str">
            <v>C5588</v>
          </cell>
          <cell r="N4609" t="str">
            <v>Dweila - Dreikish\الدويلية - الدريكيش</v>
          </cell>
        </row>
        <row r="4610">
          <cell r="L4610" t="str">
            <v>SY100401</v>
          </cell>
          <cell r="M4610" t="str">
            <v>C5590</v>
          </cell>
          <cell r="N4610" t="str">
            <v>Ein Eljajeh\عين الجاجة</v>
          </cell>
        </row>
        <row r="4611">
          <cell r="L4611" t="str">
            <v>SY100401</v>
          </cell>
          <cell r="M4611" t="str">
            <v>C5598</v>
          </cell>
          <cell r="N4611" t="str">
            <v>Fajlit\فجليت</v>
          </cell>
        </row>
        <row r="4612">
          <cell r="L4612" t="str">
            <v>SY100401</v>
          </cell>
          <cell r="M4612" t="str">
            <v>C5594</v>
          </cell>
          <cell r="N4612" t="str">
            <v>Hir Barfa\حيربرفة</v>
          </cell>
        </row>
        <row r="4613">
          <cell r="L4613" t="str">
            <v>SY100401</v>
          </cell>
          <cell r="M4613" t="str">
            <v>C5592</v>
          </cell>
          <cell r="N4613" t="str">
            <v>Jabal Hamad\جبل حمد</v>
          </cell>
        </row>
        <row r="4614">
          <cell r="L4614" t="str">
            <v>SY100401</v>
          </cell>
          <cell r="M4614" t="str">
            <v>C5593</v>
          </cell>
          <cell r="N4614" t="str">
            <v>Jneinet Raslan\جنينة رسلان</v>
          </cell>
        </row>
        <row r="4615">
          <cell r="L4615" t="str">
            <v>SY100401</v>
          </cell>
          <cell r="M4615" t="str">
            <v>C5597</v>
          </cell>
          <cell r="N4615" t="str">
            <v>Krafs\كرفس</v>
          </cell>
        </row>
        <row r="4616">
          <cell r="L4616" t="str">
            <v>SY100401</v>
          </cell>
          <cell r="M4616" t="str">
            <v>C5599</v>
          </cell>
          <cell r="N4616" t="str">
            <v>Qenniyeh Jarwa\قنية جروة</v>
          </cell>
        </row>
        <row r="4617">
          <cell r="L4617" t="str">
            <v>SY100401</v>
          </cell>
          <cell r="M4617" t="str">
            <v>C5596</v>
          </cell>
          <cell r="N4617" t="str">
            <v>Safasif\الصفاصيف</v>
          </cell>
        </row>
        <row r="4618">
          <cell r="L4618" t="str">
            <v>SY100401</v>
          </cell>
          <cell r="M4618" t="str">
            <v>C5591</v>
          </cell>
          <cell r="N4618" t="str">
            <v>Zaghrin - Zaghrid\زغرين_زغريد</v>
          </cell>
        </row>
        <row r="4619">
          <cell r="L4619" t="str">
            <v>SY100402</v>
          </cell>
          <cell r="M4619" t="str">
            <v>C5602</v>
          </cell>
          <cell r="N4619" t="str">
            <v>Beit Elraheb\بيت الراهب</v>
          </cell>
        </row>
        <row r="4620">
          <cell r="L4620" t="str">
            <v>SY100402</v>
          </cell>
          <cell r="M4620" t="str">
            <v>C5603</v>
          </cell>
          <cell r="N4620" t="str">
            <v>Dahr Matru\ضهر مطرو</v>
          </cell>
        </row>
        <row r="4621">
          <cell r="L4621" t="str">
            <v>SY100402</v>
          </cell>
          <cell r="M4621" t="str">
            <v>C5605</v>
          </cell>
          <cell r="N4621" t="str">
            <v>Hababa\حبابة</v>
          </cell>
        </row>
        <row r="4622">
          <cell r="L4622" t="str">
            <v>SY100402</v>
          </cell>
          <cell r="M4622" t="str">
            <v>C5607</v>
          </cell>
          <cell r="N4622" t="str">
            <v>Hamin\حمين</v>
          </cell>
        </row>
        <row r="4623">
          <cell r="L4623" t="str">
            <v>SY100402</v>
          </cell>
          <cell r="M4623" t="str">
            <v>C5601</v>
          </cell>
          <cell r="N4623" t="str">
            <v>Joret Eljawamis\جورة الجواميس</v>
          </cell>
        </row>
        <row r="4624">
          <cell r="L4624" t="str">
            <v>SY100402</v>
          </cell>
          <cell r="M4624" t="str">
            <v>C5600</v>
          </cell>
          <cell r="N4624" t="str">
            <v>Jras\الجراص</v>
          </cell>
        </row>
        <row r="4625">
          <cell r="L4625" t="str">
            <v>SY100402</v>
          </cell>
          <cell r="M4625" t="str">
            <v>C5606</v>
          </cell>
          <cell r="N4625" t="str">
            <v>Mastaba\المصطبة</v>
          </cell>
        </row>
        <row r="4626">
          <cell r="L4626" t="str">
            <v>SY100402</v>
          </cell>
          <cell r="M4626" t="str">
            <v>C5604</v>
          </cell>
          <cell r="N4626" t="str">
            <v>Milaja\الملاجة</v>
          </cell>
        </row>
        <row r="4627">
          <cell r="L4627" t="str">
            <v>SY100403</v>
          </cell>
          <cell r="M4627" t="str">
            <v>C5619</v>
          </cell>
          <cell r="N4627" t="str">
            <v>Bamna\بمنه</v>
          </cell>
        </row>
        <row r="4628">
          <cell r="L4628" t="str">
            <v>SY100403</v>
          </cell>
          <cell r="M4628" t="str">
            <v>C5612</v>
          </cell>
          <cell r="N4628" t="str">
            <v>Beit Elwaqaf\بيت الوقاف</v>
          </cell>
        </row>
        <row r="4629">
          <cell r="L4629" t="str">
            <v>SY100403</v>
          </cell>
          <cell r="M4629" t="str">
            <v>C5617</v>
          </cell>
          <cell r="N4629" t="str">
            <v>Bjennet Eljerd\بجنة الجرد</v>
          </cell>
        </row>
        <row r="4630">
          <cell r="L4630" t="str">
            <v>SY100403</v>
          </cell>
          <cell r="M4630" t="str">
            <v>C5614</v>
          </cell>
          <cell r="N4630" t="str">
            <v>Bnumra - Dreikish\بنمرة - الدريكيش</v>
          </cell>
        </row>
        <row r="4631">
          <cell r="L4631" t="str">
            <v>SY100403</v>
          </cell>
          <cell r="M4631" t="str">
            <v>C5608</v>
          </cell>
          <cell r="N4631" t="str">
            <v>Bustan Elsoj\بستان الصوج</v>
          </cell>
        </row>
        <row r="4632">
          <cell r="L4632" t="str">
            <v>SY100403</v>
          </cell>
          <cell r="M4632" t="str">
            <v>C5611</v>
          </cell>
          <cell r="N4632" t="str">
            <v>Deiruneh\ديرونة</v>
          </cell>
        </row>
        <row r="4633">
          <cell r="L4633" t="str">
            <v>SY100403</v>
          </cell>
          <cell r="M4633" t="str">
            <v>C5610</v>
          </cell>
          <cell r="N4633" t="str">
            <v>Dweir Raslan\دوير رسلان</v>
          </cell>
        </row>
        <row r="4634">
          <cell r="L4634" t="str">
            <v>SY100403</v>
          </cell>
          <cell r="M4634" t="str">
            <v>C5609</v>
          </cell>
          <cell r="N4634" t="str">
            <v>Ein Eldahab\عين الذهب</v>
          </cell>
        </row>
        <row r="4635">
          <cell r="L4635" t="str">
            <v>SY100403</v>
          </cell>
          <cell r="M4635" t="str">
            <v>C5616</v>
          </cell>
          <cell r="N4635" t="str">
            <v>Hamis\حميص</v>
          </cell>
        </row>
        <row r="4636">
          <cell r="L4636" t="str">
            <v>SY100403</v>
          </cell>
          <cell r="M4636" t="str">
            <v>C5613</v>
          </cell>
          <cell r="N4636" t="str">
            <v>Hilata\حيلاتا</v>
          </cell>
        </row>
        <row r="4637">
          <cell r="L4637" t="str">
            <v>SY100403</v>
          </cell>
          <cell r="M4637" t="str">
            <v>C5615</v>
          </cell>
          <cell r="N4637" t="str">
            <v>Mamura\المعمورة</v>
          </cell>
        </row>
        <row r="4638">
          <cell r="L4638" t="str">
            <v>SY100403</v>
          </cell>
          <cell r="M4638" t="str">
            <v>C5618</v>
          </cell>
          <cell r="N4638" t="str">
            <v>Oweinat\عوينات</v>
          </cell>
        </row>
        <row r="4639">
          <cell r="L4639" t="str">
            <v>SY100403</v>
          </cell>
          <cell r="M4639" t="str">
            <v>C5620</v>
          </cell>
          <cell r="N4639" t="str">
            <v>Qleiah\قليعة</v>
          </cell>
        </row>
        <row r="4640">
          <cell r="L4640" t="str">
            <v>SY100500</v>
          </cell>
          <cell r="M4640" t="str">
            <v>C5627</v>
          </cell>
          <cell r="N4640" t="str">
            <v>Asaliyeh\عسلية</v>
          </cell>
        </row>
        <row r="4641">
          <cell r="L4641" t="str">
            <v>SY100500</v>
          </cell>
          <cell r="M4641" t="str">
            <v>C5635</v>
          </cell>
          <cell r="N4641" t="str">
            <v>Bathaniya\بطحانيه</v>
          </cell>
        </row>
        <row r="4642">
          <cell r="L4642" t="str">
            <v>SY100500</v>
          </cell>
          <cell r="M4642" t="str">
            <v>C5622</v>
          </cell>
          <cell r="N4642" t="str">
            <v>Beith Elqalaa\بيت القلع</v>
          </cell>
        </row>
        <row r="4643">
          <cell r="L4643" t="str">
            <v>SY100500</v>
          </cell>
          <cell r="M4643" t="str">
            <v>C5629</v>
          </cell>
          <cell r="N4643" t="str">
            <v>Benjara\بنجارة</v>
          </cell>
        </row>
        <row r="4644">
          <cell r="L4644" t="str">
            <v>SY100500</v>
          </cell>
          <cell r="M4644" t="str">
            <v>C5634</v>
          </cell>
          <cell r="N4644" t="str">
            <v>Bezraile \بعزرائيل</v>
          </cell>
        </row>
        <row r="4645">
          <cell r="L4645" t="str">
            <v>SY100500</v>
          </cell>
          <cell r="M4645" t="str">
            <v>C5633</v>
          </cell>
          <cell r="N4645" t="str">
            <v>Bghamlikh - Ghamama\بغمليخ_الغمامة</v>
          </cell>
        </row>
        <row r="4646">
          <cell r="L4646" t="str">
            <v>SY100500</v>
          </cell>
          <cell r="M4646" t="str">
            <v>C5626</v>
          </cell>
          <cell r="N4646" t="str">
            <v>Burda\بوردة</v>
          </cell>
        </row>
        <row r="4647">
          <cell r="L4647" t="str">
            <v>SY100500</v>
          </cell>
          <cell r="M4647" t="str">
            <v>C5636</v>
          </cell>
          <cell r="N4647" t="str">
            <v>Dabibiyeh\دبيبية</v>
          </cell>
        </row>
        <row r="4648">
          <cell r="L4648" t="str">
            <v>SY100500</v>
          </cell>
          <cell r="M4648" t="str">
            <v>C5623</v>
          </cell>
          <cell r="N4648" t="str">
            <v>Ein Elkbir\عين الكبير</v>
          </cell>
        </row>
        <row r="4649">
          <cell r="L4649" t="str">
            <v>SY100500</v>
          </cell>
          <cell r="M4649" t="str">
            <v>C5641</v>
          </cell>
          <cell r="N4649" t="str">
            <v>Findara\فندارة</v>
          </cell>
        </row>
        <row r="4650">
          <cell r="L4650" t="str">
            <v>SY100500</v>
          </cell>
          <cell r="M4650" t="str">
            <v>C5640</v>
          </cell>
          <cell r="N4650" t="str">
            <v>Kawkab Elhawa\كوكب الهوى</v>
          </cell>
        </row>
        <row r="4651">
          <cell r="L4651" t="str">
            <v>SY100500</v>
          </cell>
          <cell r="M4651" t="str">
            <v>C5625</v>
          </cell>
          <cell r="N4651" t="str">
            <v>Mjeidel\المجيدل</v>
          </cell>
        </row>
        <row r="4652">
          <cell r="L4652" t="str">
            <v>SY100500</v>
          </cell>
          <cell r="M4652" t="str">
            <v>C5628</v>
          </cell>
          <cell r="N4652" t="str">
            <v>Niha\النيحا</v>
          </cell>
        </row>
        <row r="4653">
          <cell r="L4653" t="str">
            <v>SY100500</v>
          </cell>
          <cell r="M4653" t="str">
            <v>C5637</v>
          </cell>
          <cell r="N4653" t="str">
            <v>Nimriyeh\النمرية</v>
          </cell>
        </row>
        <row r="4654">
          <cell r="L4654" t="str">
            <v>SY100500</v>
          </cell>
          <cell r="M4654" t="str">
            <v>C5639</v>
          </cell>
          <cell r="N4654" t="str">
            <v>Qleiat\القليعات</v>
          </cell>
        </row>
        <row r="4655">
          <cell r="L4655" t="str">
            <v>SY100500</v>
          </cell>
          <cell r="M4655" t="str">
            <v>C5638</v>
          </cell>
          <cell r="N4655" t="str">
            <v>Sheikh Badr\الشيخ بدر</v>
          </cell>
        </row>
        <row r="4656">
          <cell r="L4656" t="str">
            <v>SY100500</v>
          </cell>
          <cell r="M4656" t="str">
            <v>C5624</v>
          </cell>
          <cell r="N4656" t="str">
            <v>Tajiyeh\تاجية</v>
          </cell>
        </row>
        <row r="4657">
          <cell r="L4657" t="str">
            <v>SY100500</v>
          </cell>
          <cell r="M4657" t="str">
            <v>C5621</v>
          </cell>
          <cell r="N4657" t="str">
            <v>Tanghari\تنغري</v>
          </cell>
        </row>
        <row r="4658">
          <cell r="L4658" t="str">
            <v>SY100500</v>
          </cell>
          <cell r="M4658" t="str">
            <v>C5631</v>
          </cell>
          <cell r="N4658" t="str">
            <v>Wardiyeh\الوردية</v>
          </cell>
        </row>
        <row r="4659">
          <cell r="L4659" t="str">
            <v>SY100500</v>
          </cell>
          <cell r="M4659" t="str">
            <v>C5632</v>
          </cell>
          <cell r="N4659" t="str">
            <v>Zreika\زريقة</v>
          </cell>
        </row>
        <row r="4660">
          <cell r="L4660" t="str">
            <v>SY100501</v>
          </cell>
          <cell r="M4660" t="str">
            <v>C5646</v>
          </cell>
          <cell r="N4660" t="str">
            <v>Baramanet Elmashayekh\برمانة المشايخ</v>
          </cell>
        </row>
        <row r="4661">
          <cell r="L4661" t="str">
            <v>SY100501</v>
          </cell>
          <cell r="M4661" t="str">
            <v>C5648</v>
          </cell>
          <cell r="N4661" t="str">
            <v>Bshamaa\بشمعة</v>
          </cell>
        </row>
        <row r="4662">
          <cell r="L4662" t="str">
            <v>SY100501</v>
          </cell>
          <cell r="M4662" t="str">
            <v>C5651</v>
          </cell>
          <cell r="N4662" t="str">
            <v>Derdara\الدردارة</v>
          </cell>
        </row>
        <row r="4663">
          <cell r="L4663" t="str">
            <v>SY100501</v>
          </cell>
          <cell r="M4663" t="str">
            <v>C5642</v>
          </cell>
          <cell r="N4663" t="str">
            <v>Ein Eljoz\عين الجوز</v>
          </cell>
        </row>
        <row r="4664">
          <cell r="L4664" t="str">
            <v>SY100501</v>
          </cell>
          <cell r="M4664" t="str">
            <v>C5650</v>
          </cell>
          <cell r="N4664" t="str">
            <v>Ein Fatima\عين فطيمة</v>
          </cell>
        </row>
        <row r="4665">
          <cell r="L4665" t="str">
            <v>SY100501</v>
          </cell>
          <cell r="M4665" t="str">
            <v>C5652</v>
          </cell>
          <cell r="N4665" t="str">
            <v>Hamam Qenniyeh\حمام قنية</v>
          </cell>
        </row>
        <row r="4666">
          <cell r="L4666" t="str">
            <v>SY100501</v>
          </cell>
          <cell r="M4666" t="str">
            <v>C5653</v>
          </cell>
          <cell r="N4666" t="str">
            <v>Jobet Majbar\جوبة مجبر</v>
          </cell>
        </row>
        <row r="4667">
          <cell r="L4667" t="str">
            <v>SY100501</v>
          </cell>
          <cell r="M4667" t="str">
            <v>C5656</v>
          </cell>
          <cell r="N4667" t="str">
            <v>Kaf Elhamam\كاف الحمام</v>
          </cell>
        </row>
        <row r="4668">
          <cell r="L4668" t="str">
            <v>SY100501</v>
          </cell>
          <cell r="M4668" t="str">
            <v>C5643</v>
          </cell>
          <cell r="N4668" t="str">
            <v>Kniseh - Sheikh Bader\الكنيسة - الشيخ بدر</v>
          </cell>
        </row>
        <row r="4669">
          <cell r="L4669" t="str">
            <v>SY100501</v>
          </cell>
          <cell r="M4669" t="str">
            <v>C5654</v>
          </cell>
          <cell r="N4669" t="str">
            <v>Majdal\المجدل</v>
          </cell>
        </row>
        <row r="4670">
          <cell r="L4670" t="str">
            <v>SY100501</v>
          </cell>
          <cell r="M4670" t="str">
            <v>C5655</v>
          </cell>
          <cell r="N4670" t="str">
            <v>Qenniyeh\قنية</v>
          </cell>
        </row>
        <row r="4671">
          <cell r="L4671" t="str">
            <v>SY100501</v>
          </cell>
          <cell r="M4671" t="str">
            <v>C5644</v>
          </cell>
          <cell r="N4671" t="str">
            <v>Raqma\الرقمة</v>
          </cell>
        </row>
        <row r="4672">
          <cell r="L4672" t="str">
            <v>SY100501</v>
          </cell>
          <cell r="M4672" t="str">
            <v>C5649</v>
          </cell>
          <cell r="N4672" t="str">
            <v>Sorani\الصوراني</v>
          </cell>
        </row>
        <row r="4673">
          <cell r="L4673" t="str">
            <v>SY100501</v>
          </cell>
          <cell r="M4673" t="str">
            <v>C5645</v>
          </cell>
          <cell r="N4673" t="str">
            <v>Talleh\تلة</v>
          </cell>
        </row>
        <row r="4674">
          <cell r="L4674" t="str">
            <v>SY100502</v>
          </cell>
          <cell r="M4674" t="str">
            <v>C5669</v>
          </cell>
          <cell r="N4674" t="str">
            <v>Arqub Qamso\عرقوب قمصو</v>
          </cell>
        </row>
        <row r="4675">
          <cell r="L4675" t="str">
            <v>SY100502</v>
          </cell>
          <cell r="M4675" t="str">
            <v>C5666</v>
          </cell>
          <cell r="N4675" t="str">
            <v>Balat\بلاط</v>
          </cell>
        </row>
        <row r="4676">
          <cell r="L4676" t="str">
            <v>SY100502</v>
          </cell>
          <cell r="M4676" t="str">
            <v>C5660</v>
          </cell>
          <cell r="N4676" t="str">
            <v>Beit Elodiyeh\بيت العودية</v>
          </cell>
        </row>
        <row r="4677">
          <cell r="L4677" t="str">
            <v>SY100502</v>
          </cell>
          <cell r="M4677" t="str">
            <v>C5670</v>
          </cell>
          <cell r="N4677" t="str">
            <v>Beith Elqlih\بيت القليح</v>
          </cell>
        </row>
        <row r="4678">
          <cell r="L4678" t="str">
            <v>SY100502</v>
          </cell>
          <cell r="M4678" t="str">
            <v>C5664</v>
          </cell>
          <cell r="N4678" t="str">
            <v>Bluzeh - Sheikh Bader\بلوزة - الشيخ بدر</v>
          </cell>
        </row>
        <row r="4679">
          <cell r="L4679" t="str">
            <v>SY100502</v>
          </cell>
          <cell r="M4679" t="str">
            <v>C5665</v>
          </cell>
          <cell r="N4679" t="str">
            <v>Darti\درتي</v>
          </cell>
        </row>
        <row r="4680">
          <cell r="L4680" t="str">
            <v>SY100502</v>
          </cell>
          <cell r="M4680" t="str">
            <v>C5662</v>
          </cell>
          <cell r="N4680" t="str">
            <v>Jbab - Elsheikh Badr\الجباب - الشيخ بدر</v>
          </cell>
        </row>
        <row r="4681">
          <cell r="L4681" t="str">
            <v>SY100502</v>
          </cell>
          <cell r="M4681" t="str">
            <v>C5663</v>
          </cell>
          <cell r="N4681" t="str">
            <v>Kafrun\الكفرون</v>
          </cell>
        </row>
        <row r="4682">
          <cell r="L4682" t="str">
            <v>SY100502</v>
          </cell>
          <cell r="M4682" t="str">
            <v>C5671</v>
          </cell>
          <cell r="N4682" t="str">
            <v>Maati\معتي</v>
          </cell>
        </row>
        <row r="4683">
          <cell r="L4683" t="str">
            <v>SY100502</v>
          </cell>
          <cell r="M4683" t="str">
            <v>C5658</v>
          </cell>
          <cell r="N4683" t="str">
            <v>Mosheh\الموشة</v>
          </cell>
        </row>
        <row r="4684">
          <cell r="L4684" t="str">
            <v>SY100502</v>
          </cell>
          <cell r="M4684" t="str">
            <v>C5661</v>
          </cell>
          <cell r="N4684" t="str">
            <v>Qamsiyeh\القمصية</v>
          </cell>
        </row>
        <row r="4685">
          <cell r="L4685" t="str">
            <v>SY100502</v>
          </cell>
          <cell r="M4685" t="str">
            <v>C5672</v>
          </cell>
          <cell r="N4685" t="str">
            <v>Qamsu\قمصو</v>
          </cell>
        </row>
        <row r="4686">
          <cell r="L4686" t="str">
            <v>SY100502</v>
          </cell>
          <cell r="M4686" t="str">
            <v>C5668</v>
          </cell>
          <cell r="N4686" t="str">
            <v>Qseibeh \القصيبة</v>
          </cell>
        </row>
        <row r="4687">
          <cell r="L4687" t="str">
            <v>SY100502</v>
          </cell>
          <cell r="M4687" t="str">
            <v>C5657</v>
          </cell>
          <cell r="N4687" t="str">
            <v>Safliyeh\الصفلية</v>
          </cell>
        </row>
        <row r="4688">
          <cell r="L4688" t="str">
            <v>SY100502</v>
          </cell>
          <cell r="M4688" t="str">
            <v>C5667</v>
          </cell>
          <cell r="N4688" t="str">
            <v>Shbubiyeh\الشبوبية</v>
          </cell>
        </row>
        <row r="4689">
          <cell r="L4689" t="str">
            <v>SY100502</v>
          </cell>
          <cell r="M4689" t="str">
            <v>C5659</v>
          </cell>
          <cell r="N4689" t="str">
            <v>Traq\الطراق</v>
          </cell>
        </row>
        <row r="4690">
          <cell r="L4690" t="str">
            <v>SY110100</v>
          </cell>
          <cell r="M4690" t="str">
            <v>C5721</v>
          </cell>
          <cell r="N4690" t="str">
            <v>Abbara\العبارة</v>
          </cell>
        </row>
        <row r="4691">
          <cell r="L4691" t="str">
            <v>SY110100</v>
          </cell>
          <cell r="M4691" t="str">
            <v>C5716</v>
          </cell>
          <cell r="N4691" t="str">
            <v>Abu Kabret Al Rashid\أبو كبرة-الرشيد</v>
          </cell>
        </row>
        <row r="4692">
          <cell r="L4692" t="str">
            <v>SY110100</v>
          </cell>
          <cell r="M4692" t="str">
            <v>C5706</v>
          </cell>
          <cell r="N4692" t="str">
            <v>Abu Rajab\أبو رجب</v>
          </cell>
        </row>
        <row r="4693">
          <cell r="L4693" t="str">
            <v>SY110100</v>
          </cell>
          <cell r="M4693" t="str">
            <v>C5723</v>
          </cell>
          <cell r="N4693" t="str">
            <v>Abu Suseh\أبو سوسة</v>
          </cell>
        </row>
        <row r="4694">
          <cell r="L4694" t="str">
            <v>SY110100</v>
          </cell>
          <cell r="M4694" t="str">
            <v>C5720</v>
          </cell>
          <cell r="N4694" t="str">
            <v>Adnaniyeh\العدنانية</v>
          </cell>
        </row>
        <row r="4695">
          <cell r="L4695" t="str">
            <v>SY110100</v>
          </cell>
          <cell r="M4695" t="str">
            <v>C5729</v>
          </cell>
          <cell r="N4695" t="str">
            <v>Andalus\الأندلس</v>
          </cell>
        </row>
        <row r="4696">
          <cell r="L4696" t="str">
            <v>SY110100</v>
          </cell>
          <cell r="M4696" t="str">
            <v>C5710</v>
          </cell>
          <cell r="N4696" t="str">
            <v>Ar-Raqqa\الرقة</v>
          </cell>
        </row>
        <row r="4697">
          <cell r="L4697" t="str">
            <v>SY110100</v>
          </cell>
          <cell r="M4697" t="str">
            <v>C5678</v>
          </cell>
          <cell r="N4697" t="str">
            <v>Assadiya\الأسدية</v>
          </cell>
        </row>
        <row r="4698">
          <cell r="L4698" t="str">
            <v>SY110100</v>
          </cell>
          <cell r="M4698" t="str">
            <v>C5690</v>
          </cell>
          <cell r="N4698" t="str">
            <v>Atshana\العطشانة</v>
          </cell>
        </row>
        <row r="4699">
          <cell r="L4699" t="str">
            <v>SY110100</v>
          </cell>
          <cell r="M4699" t="str">
            <v>C5697</v>
          </cell>
          <cell r="N4699" t="str">
            <v>Ayuj\الأعيوج</v>
          </cell>
        </row>
        <row r="4700">
          <cell r="L4700" t="str">
            <v>SY110100</v>
          </cell>
          <cell r="M4700" t="str">
            <v>C5684</v>
          </cell>
          <cell r="N4700" t="str">
            <v>Berani\بعراني</v>
          </cell>
        </row>
        <row r="4701">
          <cell r="L4701" t="str">
            <v>SY110100</v>
          </cell>
          <cell r="M4701" t="str">
            <v>C5718</v>
          </cell>
          <cell r="N4701" t="str">
            <v>Big Sweidiyeh\سويدية كبيرة</v>
          </cell>
        </row>
        <row r="4702">
          <cell r="L4702" t="str">
            <v>SY110100</v>
          </cell>
          <cell r="M4702" t="str">
            <v>C5691</v>
          </cell>
          <cell r="N4702" t="str">
            <v>Bir Elhasham\بئر الهشم</v>
          </cell>
        </row>
        <row r="4703">
          <cell r="L4703" t="str">
            <v>SY110100</v>
          </cell>
          <cell r="M4703" t="str">
            <v>C5676</v>
          </cell>
          <cell r="N4703" t="str">
            <v>Bir Said\بئر سعيد</v>
          </cell>
        </row>
        <row r="4704">
          <cell r="L4704" t="str">
            <v>SY110100</v>
          </cell>
          <cell r="M4704" t="str">
            <v>C6378</v>
          </cell>
          <cell r="N4704" t="str">
            <v>Drubiyeh\الدروبية</v>
          </cell>
        </row>
        <row r="4705">
          <cell r="L4705" t="str">
            <v>SY110100</v>
          </cell>
          <cell r="M4705" t="str">
            <v>C5687</v>
          </cell>
          <cell r="N4705" t="str">
            <v>Eastern Khayala\الخيالة الشرقية</v>
          </cell>
        </row>
        <row r="4706">
          <cell r="L4706" t="str">
            <v>SY110100</v>
          </cell>
          <cell r="M4706" t="str">
            <v>C5696</v>
          </cell>
          <cell r="N4706" t="str">
            <v>Faraa\الفارعة</v>
          </cell>
        </row>
        <row r="4707">
          <cell r="L4707" t="str">
            <v>SY110100</v>
          </cell>
          <cell r="M4707" t="str">
            <v>C5693</v>
          </cell>
          <cell r="N4707" t="str">
            <v>Fteih\الفتيح</v>
          </cell>
        </row>
        <row r="4708">
          <cell r="L4708" t="str">
            <v>SY110100</v>
          </cell>
          <cell r="M4708" t="str">
            <v>C5728</v>
          </cell>
          <cell r="N4708" t="str">
            <v>Ghota\الغوطة</v>
          </cell>
        </row>
        <row r="4709">
          <cell r="L4709" t="str">
            <v>SY110100</v>
          </cell>
          <cell r="M4709" t="str">
            <v>C5724</v>
          </cell>
          <cell r="N4709" t="str">
            <v>Hadba\الحدباء</v>
          </cell>
        </row>
        <row r="4710">
          <cell r="L4710" t="str">
            <v>SY110100</v>
          </cell>
          <cell r="M4710" t="str">
            <v>C5704</v>
          </cell>
          <cell r="N4710" t="str">
            <v>Hawi Elhawa\حاوي الهوى</v>
          </cell>
        </row>
        <row r="4711">
          <cell r="L4711" t="str">
            <v>SY110100</v>
          </cell>
          <cell r="M4711" t="str">
            <v>C5702</v>
          </cell>
          <cell r="N4711" t="str">
            <v>Hazimeh\حزيمة</v>
          </cell>
        </row>
        <row r="4712">
          <cell r="L4712" t="str">
            <v>SY110100</v>
          </cell>
          <cell r="M4712" t="str">
            <v>C5703</v>
          </cell>
          <cell r="N4712" t="str">
            <v>Hettin\حطين</v>
          </cell>
        </row>
        <row r="4713">
          <cell r="L4713" t="str">
            <v>SY110100</v>
          </cell>
          <cell r="M4713" t="str">
            <v>C5679</v>
          </cell>
          <cell r="N4713" t="str">
            <v>Hfeiret Elsoqur\حفيرة الصقور</v>
          </cell>
        </row>
        <row r="4714">
          <cell r="L4714" t="str">
            <v>SY110100</v>
          </cell>
          <cell r="M4714" t="str">
            <v>C5707</v>
          </cell>
          <cell r="N4714" t="str">
            <v>Hilo Abed\حلو عبد</v>
          </cell>
        </row>
        <row r="4715">
          <cell r="L4715" t="str">
            <v>SY110100</v>
          </cell>
          <cell r="M4715" t="str">
            <v>C5682</v>
          </cell>
          <cell r="N4715" t="str">
            <v>Htash\حتاش</v>
          </cell>
        </row>
        <row r="4716">
          <cell r="L4716" t="str">
            <v>SY110100</v>
          </cell>
          <cell r="M4716" t="str">
            <v>C5732</v>
          </cell>
          <cell r="N4716" t="str">
            <v>Hweijet Faraj\حويجة فرج</v>
          </cell>
        </row>
        <row r="4717">
          <cell r="L4717" t="str">
            <v>SY110100</v>
          </cell>
          <cell r="M4717" t="str">
            <v>C5713</v>
          </cell>
          <cell r="N4717" t="str">
            <v>Jalaa\الجلاء</v>
          </cell>
        </row>
        <row r="4718">
          <cell r="L4718" t="str">
            <v>SY110100</v>
          </cell>
          <cell r="M4718" t="str">
            <v>C5683</v>
          </cell>
          <cell r="N4718" t="str">
            <v>Kalta\الكالطة</v>
          </cell>
        </row>
        <row r="4719">
          <cell r="L4719" t="str">
            <v>SY110100</v>
          </cell>
          <cell r="M4719" t="str">
            <v>C5740</v>
          </cell>
          <cell r="N4719" t="str">
            <v>Kardus\كردوس</v>
          </cell>
        </row>
        <row r="4720">
          <cell r="L4720" t="str">
            <v>SY110100</v>
          </cell>
          <cell r="M4720" t="str">
            <v>C5675</v>
          </cell>
          <cell r="N4720" t="str">
            <v>Katuniyeh\الخاتونية</v>
          </cell>
        </row>
        <row r="4721">
          <cell r="L4721" t="str">
            <v>SY110100</v>
          </cell>
          <cell r="M4721" t="str">
            <v>C5739</v>
          </cell>
          <cell r="N4721" t="str">
            <v>Kdeiran\كديران</v>
          </cell>
        </row>
        <row r="4722">
          <cell r="L4722" t="str">
            <v>SY110100</v>
          </cell>
          <cell r="M4722" t="str">
            <v>C5688</v>
          </cell>
          <cell r="N4722" t="str">
            <v>Khayala\الخيالة</v>
          </cell>
        </row>
        <row r="4723">
          <cell r="L4723" t="str">
            <v>SY110100</v>
          </cell>
          <cell r="M4723" t="str">
            <v>C5735</v>
          </cell>
          <cell r="N4723" t="str">
            <v>Kisret Elsheikh Jomaa\كسرة شيخ الجمعة</v>
          </cell>
        </row>
        <row r="4724">
          <cell r="L4724" t="str">
            <v>SY110100</v>
          </cell>
          <cell r="M4724" t="str">
            <v>C5738</v>
          </cell>
          <cell r="N4724" t="str">
            <v>Laqta\لقطة</v>
          </cell>
        </row>
        <row r="4725">
          <cell r="L4725" t="str">
            <v>SY110100</v>
          </cell>
          <cell r="M4725" t="str">
            <v>C5708</v>
          </cell>
          <cell r="N4725" t="str">
            <v>Little Sweidiyeh\سويدية صغيرة</v>
          </cell>
        </row>
        <row r="4726">
          <cell r="L4726" t="str">
            <v>SY110100</v>
          </cell>
          <cell r="M4726" t="str">
            <v>C5734</v>
          </cell>
          <cell r="N4726" t="str">
            <v>Marj Abu Shareb\مرج أبو شارب</v>
          </cell>
        </row>
        <row r="4727">
          <cell r="L4727" t="str">
            <v>SY110100</v>
          </cell>
          <cell r="M4727" t="str">
            <v>C5705</v>
          </cell>
          <cell r="N4727" t="str">
            <v>Mashrafa\المشرفة</v>
          </cell>
        </row>
        <row r="4728">
          <cell r="L4728" t="str">
            <v>SY110100</v>
          </cell>
          <cell r="M4728" t="str">
            <v>C6377</v>
          </cell>
          <cell r="N4728" t="str">
            <v>Middle Kabsh\كبش وسطي</v>
          </cell>
        </row>
        <row r="4729">
          <cell r="L4729" t="str">
            <v>SY110100</v>
          </cell>
          <cell r="M4729" t="str">
            <v>C5736</v>
          </cell>
          <cell r="N4729" t="str">
            <v>Milsun\ميسلون</v>
          </cell>
        </row>
        <row r="4730">
          <cell r="L4730" t="str">
            <v>SY110100</v>
          </cell>
          <cell r="M4730" t="str">
            <v>C5742</v>
          </cell>
          <cell r="N4730" t="str">
            <v>Moezleh\معيزيلة</v>
          </cell>
        </row>
        <row r="4731">
          <cell r="L4731" t="str">
            <v>SY110100</v>
          </cell>
          <cell r="M4731" t="str">
            <v>C5726</v>
          </cell>
          <cell r="N4731" t="str">
            <v>Qahtaniyyeh\القحطانية</v>
          </cell>
        </row>
        <row r="4732">
          <cell r="L4732" t="str">
            <v>SY110100</v>
          </cell>
          <cell r="M4732" t="str">
            <v>C5714</v>
          </cell>
          <cell r="N4732" t="str">
            <v>Rabee'a\ربيعة</v>
          </cell>
        </row>
        <row r="4733">
          <cell r="L4733" t="str">
            <v>SY110100</v>
          </cell>
          <cell r="M4733" t="str">
            <v>C5699</v>
          </cell>
          <cell r="N4733" t="str">
            <v>Raeqqet Samra\رقة سمرة</v>
          </cell>
        </row>
        <row r="4734">
          <cell r="L4734" t="str">
            <v>SY110100</v>
          </cell>
          <cell r="M4734" t="str">
            <v>C5733</v>
          </cell>
          <cell r="N4734" t="str">
            <v>Rahmaniya\الرحمانية</v>
          </cell>
        </row>
        <row r="4735">
          <cell r="L4735" t="str">
            <v>SY110100</v>
          </cell>
          <cell r="M4735" t="str">
            <v>C5730</v>
          </cell>
          <cell r="N4735" t="str">
            <v>Rashidiyeh\الرشيد</v>
          </cell>
        </row>
        <row r="4736">
          <cell r="L4736" t="str">
            <v>SY110100</v>
          </cell>
          <cell r="M4736" t="str">
            <v>C5725</v>
          </cell>
          <cell r="N4736" t="str">
            <v>Rohayat\الرحيات</v>
          </cell>
        </row>
        <row r="4737">
          <cell r="L4737" t="str">
            <v>SY110100</v>
          </cell>
          <cell r="M4737" t="str">
            <v>C5677</v>
          </cell>
          <cell r="N4737" t="str">
            <v>Royan\رويان</v>
          </cell>
        </row>
        <row r="4738">
          <cell r="L4738" t="str">
            <v>SY110100</v>
          </cell>
          <cell r="M4738" t="str">
            <v>C5711</v>
          </cell>
          <cell r="N4738" t="str">
            <v>Safyan\صفيان</v>
          </cell>
        </row>
        <row r="4739">
          <cell r="L4739" t="str">
            <v>SY110100</v>
          </cell>
          <cell r="M4739" t="str">
            <v>C5719</v>
          </cell>
          <cell r="N4739" t="str">
            <v>Sahl\السحل</v>
          </cell>
        </row>
        <row r="4740">
          <cell r="L4740" t="str">
            <v>SY110100</v>
          </cell>
          <cell r="M4740" t="str">
            <v>C5695</v>
          </cell>
          <cell r="N4740" t="str">
            <v>Shamiyeh\الشامية</v>
          </cell>
        </row>
        <row r="4741">
          <cell r="L4741" t="str">
            <v>SY110100</v>
          </cell>
          <cell r="M4741" t="str">
            <v>C5681</v>
          </cell>
          <cell r="N4741" t="str">
            <v>Sukariyet Tal Elsamen\سكرية تل السمن</v>
          </cell>
        </row>
        <row r="4742">
          <cell r="L4742" t="str">
            <v>SY110100</v>
          </cell>
          <cell r="M4742" t="str">
            <v>C5689</v>
          </cell>
          <cell r="N4742" t="str">
            <v>Tal Elsamen Dahham\تل السمن دحام</v>
          </cell>
        </row>
        <row r="4743">
          <cell r="L4743" t="str">
            <v>SY110100</v>
          </cell>
          <cell r="M4743" t="str">
            <v>C5694</v>
          </cell>
          <cell r="N4743" t="str">
            <v>Talet Elansar\طالعة الأنصار</v>
          </cell>
        </row>
        <row r="4744">
          <cell r="L4744" t="str">
            <v>SY110100</v>
          </cell>
          <cell r="M4744" t="str">
            <v>C5686</v>
          </cell>
          <cell r="N4744" t="str">
            <v>Tawi Rumman\طاوي رمان</v>
          </cell>
        </row>
        <row r="4745">
          <cell r="L4745" t="str">
            <v>SY110100</v>
          </cell>
          <cell r="M4745" t="str">
            <v>C5722</v>
          </cell>
          <cell r="N4745" t="str">
            <v>Thulth Khneiz\ثلث خنيز</v>
          </cell>
        </row>
        <row r="4746">
          <cell r="L4746" t="str">
            <v>SY110100</v>
          </cell>
          <cell r="M4746" t="str">
            <v>C5731</v>
          </cell>
          <cell r="N4746" t="str">
            <v>Tishrine\تشرين</v>
          </cell>
        </row>
        <row r="4747">
          <cell r="L4747" t="str">
            <v>SY110100</v>
          </cell>
          <cell r="M4747" t="str">
            <v>C5712</v>
          </cell>
          <cell r="N4747" t="str">
            <v>Tweilah\الطويلعة</v>
          </cell>
        </row>
        <row r="4748">
          <cell r="L4748" t="str">
            <v>SY110100</v>
          </cell>
          <cell r="M4748" t="str">
            <v>C5700</v>
          </cell>
          <cell r="N4748" t="str">
            <v>Um Elhweyeh\أم الحوية</v>
          </cell>
        </row>
        <row r="4749">
          <cell r="L4749" t="str">
            <v>SY110100</v>
          </cell>
          <cell r="M4749" t="str">
            <v>C5717</v>
          </cell>
          <cell r="N4749" t="str">
            <v>Upper Khneiz\خنيز فوقاني</v>
          </cell>
        </row>
        <row r="4750">
          <cell r="L4750" t="str">
            <v>SY110100</v>
          </cell>
          <cell r="M4750" t="str">
            <v>C5737</v>
          </cell>
          <cell r="N4750" t="str">
            <v>Western Kabsh\كبش غربي</v>
          </cell>
        </row>
        <row r="4751">
          <cell r="L4751" t="str">
            <v>SY110100</v>
          </cell>
          <cell r="M4751" t="str">
            <v>C5727</v>
          </cell>
          <cell r="N4751" t="str">
            <v>Western Sahlabiyeh\السلحبية غربية</v>
          </cell>
        </row>
        <row r="4752">
          <cell r="L4752" t="str">
            <v>SY110100</v>
          </cell>
          <cell r="M4752" t="str">
            <v>C5673</v>
          </cell>
          <cell r="N4752" t="str">
            <v>Widyan\الوديان</v>
          </cell>
        </row>
        <row r="4753">
          <cell r="L4753" t="str">
            <v>SY110100</v>
          </cell>
          <cell r="M4753" t="str">
            <v>C5680</v>
          </cell>
          <cell r="N4753" t="str">
            <v>Wihdeh\الوحدة</v>
          </cell>
        </row>
        <row r="4754">
          <cell r="L4754" t="str">
            <v>SY110100</v>
          </cell>
          <cell r="M4754" t="str">
            <v>C5741</v>
          </cell>
          <cell r="N4754" t="str">
            <v>Yaarub\يعرب</v>
          </cell>
        </row>
        <row r="4755">
          <cell r="L4755" t="str">
            <v>SY110100</v>
          </cell>
          <cell r="M4755" t="str">
            <v>C5692</v>
          </cell>
          <cell r="N4755" t="str">
            <v>Yamama\اليمامة</v>
          </cell>
        </row>
        <row r="4756">
          <cell r="L4756" t="str">
            <v>SY110100</v>
          </cell>
          <cell r="M4756" t="str">
            <v>C5701</v>
          </cell>
          <cell r="N4756" t="str">
            <v>Yarmuk\اليرموك</v>
          </cell>
        </row>
        <row r="4757">
          <cell r="L4757" t="str">
            <v>SY110100</v>
          </cell>
          <cell r="M4757" t="str">
            <v>C5685</v>
          </cell>
          <cell r="N4757" t="str">
            <v>Zahera\الزاهرة</v>
          </cell>
        </row>
        <row r="4758">
          <cell r="L4758" t="str">
            <v>SY110101</v>
          </cell>
          <cell r="M4758" t="str">
            <v>C5752</v>
          </cell>
          <cell r="N4758" t="str">
            <v>Akeirshi\العكيرشي</v>
          </cell>
        </row>
        <row r="4759">
          <cell r="L4759" t="str">
            <v>SY110101</v>
          </cell>
          <cell r="M4759" t="str">
            <v>C5755</v>
          </cell>
          <cell r="N4759" t="str">
            <v>Bir Elsabkhawi\بئر السبخاوي</v>
          </cell>
        </row>
        <row r="4760">
          <cell r="L4760" t="str">
            <v>SY110101</v>
          </cell>
          <cell r="M4760" t="str">
            <v>C5750</v>
          </cell>
          <cell r="N4760" t="str">
            <v>Dahleh\الدلحة</v>
          </cell>
        </row>
        <row r="4761">
          <cell r="L4761" t="str">
            <v>SY110101</v>
          </cell>
          <cell r="M4761" t="str">
            <v>C5753</v>
          </cell>
          <cell r="N4761" t="str">
            <v>Hweijet Shnan\حويجة شنان</v>
          </cell>
        </row>
        <row r="4762">
          <cell r="L4762" t="str">
            <v>SY110101</v>
          </cell>
          <cell r="M4762" t="str">
            <v>C5751</v>
          </cell>
          <cell r="N4762" t="str">
            <v>Jabli\الجبلي</v>
          </cell>
        </row>
        <row r="4763">
          <cell r="L4763" t="str">
            <v>SY110101</v>
          </cell>
          <cell r="M4763" t="str">
            <v>C5756</v>
          </cell>
          <cell r="N4763" t="str">
            <v>Masarra\المسرة</v>
          </cell>
        </row>
        <row r="4764">
          <cell r="L4764" t="str">
            <v>SY110101</v>
          </cell>
          <cell r="M4764" t="str">
            <v>C5748</v>
          </cell>
          <cell r="N4764" t="str">
            <v>Ojeil\العجيل</v>
          </cell>
        </row>
        <row r="4765">
          <cell r="L4765" t="str">
            <v>SY110101</v>
          </cell>
          <cell r="M4765" t="str">
            <v>C5744</v>
          </cell>
          <cell r="N4765" t="str">
            <v>Rabyeh\الرابية</v>
          </cell>
        </row>
        <row r="4766">
          <cell r="L4766" t="str">
            <v>SY110101</v>
          </cell>
          <cell r="M4766" t="str">
            <v>C5746</v>
          </cell>
          <cell r="N4766" t="str">
            <v>Raddeh\الردة</v>
          </cell>
        </row>
        <row r="4767">
          <cell r="L4767" t="str">
            <v>SY110101</v>
          </cell>
          <cell r="M4767" t="str">
            <v>C5754</v>
          </cell>
          <cell r="N4767" t="str">
            <v>Rahbi\الرحبي</v>
          </cell>
        </row>
        <row r="4768">
          <cell r="L4768" t="str">
            <v>SY110101</v>
          </cell>
          <cell r="M4768" t="str">
            <v>C5747</v>
          </cell>
          <cell r="N4768" t="str">
            <v>Sabka\السبخة</v>
          </cell>
        </row>
        <row r="4769">
          <cell r="L4769" t="str">
            <v>SY110101</v>
          </cell>
          <cell r="M4769" t="str">
            <v>C5745</v>
          </cell>
          <cell r="N4769" t="str">
            <v>Sfin - Kisret Mohammed Agha\صفين_كسرة محمد آغا</v>
          </cell>
        </row>
        <row r="4770">
          <cell r="L4770" t="str">
            <v>SY110101</v>
          </cell>
          <cell r="M4770" t="str">
            <v>C5743</v>
          </cell>
          <cell r="N4770" t="str">
            <v>Shamra\شمرة</v>
          </cell>
        </row>
        <row r="4771">
          <cell r="L4771" t="str">
            <v>SY110102</v>
          </cell>
          <cell r="M4771" t="str">
            <v>C5761</v>
          </cell>
          <cell r="N4771" t="str">
            <v>Abu Touta\أبو توتة</v>
          </cell>
        </row>
        <row r="4772">
          <cell r="L4772" t="str">
            <v>SY110102</v>
          </cell>
          <cell r="M4772" t="str">
            <v>C5759</v>
          </cell>
          <cell r="N4772" t="str">
            <v>Bader\بدر</v>
          </cell>
        </row>
        <row r="4773">
          <cell r="L4773" t="str">
            <v>SY110102</v>
          </cell>
          <cell r="M4773" t="str">
            <v>C5758</v>
          </cell>
          <cell r="N4773" t="str">
            <v>Baladiya\البلدية</v>
          </cell>
        </row>
        <row r="4774">
          <cell r="L4774" t="str">
            <v>SY110102</v>
          </cell>
          <cell r="M4774" t="str">
            <v>C5773</v>
          </cell>
          <cell r="N4774" t="str">
            <v>Baydar - Fatsa Birm\البيدر_فاطسة بيرم</v>
          </cell>
        </row>
        <row r="4775">
          <cell r="L4775" t="str">
            <v>SY110102</v>
          </cell>
          <cell r="M4775" t="str">
            <v>C5770</v>
          </cell>
          <cell r="N4775" t="str">
            <v>Esmailieh - Fatsa Abdelesmail\الاسماعيلية_فاطسة عبد الاسماعيل</v>
          </cell>
        </row>
        <row r="4776">
          <cell r="L4776" t="str">
            <v>SY110102</v>
          </cell>
          <cell r="M4776" t="str">
            <v>C5767</v>
          </cell>
          <cell r="N4776" t="str">
            <v>Ghassaniyeh\الغسانية</v>
          </cell>
        </row>
        <row r="4777">
          <cell r="L4777" t="str">
            <v>SY110102</v>
          </cell>
          <cell r="M4777" t="str">
            <v>C5763</v>
          </cell>
          <cell r="N4777" t="str">
            <v>Hala - Khas Hbal\الهالة_خس هبال</v>
          </cell>
        </row>
        <row r="4778">
          <cell r="L4778" t="str">
            <v>SY110102</v>
          </cell>
          <cell r="M4778" t="str">
            <v>C5764</v>
          </cell>
          <cell r="N4778" t="str">
            <v>Hama\الهامة</v>
          </cell>
        </row>
        <row r="4779">
          <cell r="L4779" t="str">
            <v>SY110102</v>
          </cell>
          <cell r="M4779" t="str">
            <v>C5769</v>
          </cell>
          <cell r="N4779" t="str">
            <v>Hamrat Balasim\حمرة بلاسم</v>
          </cell>
        </row>
        <row r="4780">
          <cell r="L4780" t="str">
            <v>SY110102</v>
          </cell>
          <cell r="M4780" t="str">
            <v>C5757</v>
          </cell>
          <cell r="N4780" t="str">
            <v>Jdidet Kahit\جديدة كحيط</v>
          </cell>
        </row>
        <row r="4781">
          <cell r="L4781" t="str">
            <v>SY110102</v>
          </cell>
          <cell r="M4781" t="str">
            <v>C5760</v>
          </cell>
          <cell r="N4781" t="str">
            <v>Jdidet Khabur\جديدة خابور</v>
          </cell>
        </row>
        <row r="4782">
          <cell r="L4782" t="str">
            <v>SY110102</v>
          </cell>
          <cell r="M4782" t="str">
            <v>C5766</v>
          </cell>
          <cell r="N4782" t="str">
            <v>Karama\الكرامة</v>
          </cell>
        </row>
        <row r="4783">
          <cell r="L4783" t="str">
            <v>SY110102</v>
          </cell>
          <cell r="M4783" t="str">
            <v>C5775</v>
          </cell>
          <cell r="N4783" t="str">
            <v>Leksun\لكسون</v>
          </cell>
        </row>
        <row r="4784">
          <cell r="L4784" t="str">
            <v>SY110102</v>
          </cell>
          <cell r="M4784" t="str">
            <v>C6379</v>
          </cell>
          <cell r="N4784" t="str">
            <v>Masaada\مسعدة</v>
          </cell>
        </row>
        <row r="4785">
          <cell r="L4785" t="str">
            <v>SY110102</v>
          </cell>
          <cell r="M4785" t="str">
            <v>C5777</v>
          </cell>
          <cell r="N4785" t="str">
            <v>Matab Elburashed\مطب البوراشد</v>
          </cell>
        </row>
        <row r="4786">
          <cell r="L4786" t="str">
            <v>SY110102</v>
          </cell>
          <cell r="M4786" t="str">
            <v>C5776</v>
          </cell>
          <cell r="N4786" t="str">
            <v>Modar\مضر</v>
          </cell>
        </row>
        <row r="4787">
          <cell r="L4787" t="str">
            <v>SY110102</v>
          </cell>
          <cell r="M4787" t="str">
            <v>C5762</v>
          </cell>
          <cell r="N4787" t="str">
            <v>Nasra\الناصرة</v>
          </cell>
        </row>
        <row r="4788">
          <cell r="L4788" t="str">
            <v>SY110102</v>
          </cell>
          <cell r="M4788" t="str">
            <v>C5765</v>
          </cell>
          <cell r="N4788" t="str">
            <v>Ojet Btir\عوجة بتير</v>
          </cell>
        </row>
        <row r="4789">
          <cell r="L4789" t="str">
            <v>SY110102</v>
          </cell>
          <cell r="M4789" t="str">
            <v>C6381</v>
          </cell>
          <cell r="N4789" t="str">
            <v>Qadessiyeh\القادسية</v>
          </cell>
        </row>
        <row r="4790">
          <cell r="L4790" t="str">
            <v>SY110102</v>
          </cell>
          <cell r="M4790" t="str">
            <v>C5772</v>
          </cell>
          <cell r="N4790" t="str">
            <v>Qadessiyeh Kajla\القادسية الكجلة</v>
          </cell>
        </row>
        <row r="4791">
          <cell r="L4791" t="str">
            <v>SY110102</v>
          </cell>
          <cell r="M4791" t="str">
            <v>C5771</v>
          </cell>
          <cell r="N4791" t="str">
            <v>Samera - Oweija Hamad Elassaf\السامرة_عويجة حمد العساف</v>
          </cell>
        </row>
        <row r="4792">
          <cell r="L4792" t="str">
            <v>SY110102</v>
          </cell>
          <cell r="M4792" t="str">
            <v>C5768</v>
          </cell>
          <cell r="N4792" t="str">
            <v>Shaher\الشاهر</v>
          </cell>
        </row>
        <row r="4793">
          <cell r="L4793" t="str">
            <v>SY110102</v>
          </cell>
          <cell r="M4793" t="str">
            <v>C6380</v>
          </cell>
          <cell r="N4793" t="str">
            <v>Shweihan Trifawi\شويحان طريفاوي</v>
          </cell>
        </row>
        <row r="4794">
          <cell r="L4794" t="str">
            <v>SY110102</v>
          </cell>
          <cell r="M4794" t="str">
            <v>C5774</v>
          </cell>
          <cell r="N4794" t="str">
            <v>Yarobiyeh - Khas Ejil\اليعربية_خس عجيل</v>
          </cell>
        </row>
        <row r="4795">
          <cell r="L4795" t="str">
            <v>SY110103</v>
          </cell>
          <cell r="M4795" t="str">
            <v>C6383</v>
          </cell>
          <cell r="N4795" t="str">
            <v>Atshana\العطشانة</v>
          </cell>
        </row>
        <row r="4796">
          <cell r="L4796" t="str">
            <v>SY110103</v>
          </cell>
          <cell r="M4796" t="str">
            <v>C5786</v>
          </cell>
          <cell r="N4796" t="str">
            <v>Big Maghalla\مغلة كبيرة</v>
          </cell>
        </row>
        <row r="4797">
          <cell r="L4797" t="str">
            <v>SY110103</v>
          </cell>
          <cell r="M4797" t="str">
            <v>C5780</v>
          </cell>
          <cell r="N4797" t="str">
            <v>Daama\الدعمة</v>
          </cell>
        </row>
        <row r="4798">
          <cell r="L4798" t="str">
            <v>SY110103</v>
          </cell>
          <cell r="M4798" t="str">
            <v>C6382</v>
          </cell>
          <cell r="N4798" t="str">
            <v>Hamadaniyeh\الحمدانية</v>
          </cell>
        </row>
        <row r="4799">
          <cell r="L4799" t="str">
            <v>SY110103</v>
          </cell>
          <cell r="M4799" t="str">
            <v>C5783</v>
          </cell>
          <cell r="N4799" t="str">
            <v>Hardan\الحردان</v>
          </cell>
        </row>
        <row r="4800">
          <cell r="L4800" t="str">
            <v>SY110103</v>
          </cell>
          <cell r="M4800" t="str">
            <v>C5784</v>
          </cell>
          <cell r="N4800" t="str">
            <v>Jaber\الجابر</v>
          </cell>
        </row>
        <row r="4801">
          <cell r="L4801" t="str">
            <v>SY110103</v>
          </cell>
          <cell r="M4801" t="str">
            <v>C5778</v>
          </cell>
          <cell r="N4801" t="str">
            <v>Khamisiyeh\الخميسية</v>
          </cell>
        </row>
        <row r="4802">
          <cell r="L4802" t="str">
            <v>SY110103</v>
          </cell>
          <cell r="M4802" t="str">
            <v>C5785</v>
          </cell>
          <cell r="N4802" t="str">
            <v>Little Maghalla\مغلة صغيرة</v>
          </cell>
        </row>
        <row r="4803">
          <cell r="L4803" t="str">
            <v>SY110103</v>
          </cell>
          <cell r="M4803" t="str">
            <v>C5787</v>
          </cell>
          <cell r="N4803" t="str">
            <v>Maadan\معدان</v>
          </cell>
        </row>
        <row r="4804">
          <cell r="L4804" t="str">
            <v>SY110103</v>
          </cell>
          <cell r="M4804" t="str">
            <v>C5782</v>
          </cell>
          <cell r="N4804" t="str">
            <v>Namisa\النميصة</v>
          </cell>
        </row>
        <row r="4805">
          <cell r="L4805" t="str">
            <v>SY110103</v>
          </cell>
          <cell r="M4805" t="str">
            <v>C5781</v>
          </cell>
          <cell r="N4805" t="str">
            <v>Sweida\السويدة</v>
          </cell>
        </row>
        <row r="4806">
          <cell r="L4806" t="str">
            <v>SY110103</v>
          </cell>
          <cell r="M4806" t="str">
            <v>C5779</v>
          </cell>
          <cell r="N4806" t="str">
            <v>Tishrin 6\6 تشرين</v>
          </cell>
        </row>
        <row r="4807">
          <cell r="L4807" t="str">
            <v>SY110200</v>
          </cell>
          <cell r="M4807" t="str">
            <v>C5800</v>
          </cell>
          <cell r="N4807" t="str">
            <v>Abadi\عبادي</v>
          </cell>
        </row>
        <row r="4808">
          <cell r="L4808" t="str">
            <v>SY110200</v>
          </cell>
          <cell r="M4808" t="str">
            <v>C5822</v>
          </cell>
          <cell r="N4808" t="str">
            <v>Abatin\عباطين</v>
          </cell>
        </row>
        <row r="4809">
          <cell r="L4809" t="str">
            <v>SY110200</v>
          </cell>
          <cell r="M4809" t="str">
            <v>C5824</v>
          </cell>
          <cell r="N4809" t="str">
            <v>Abu Haye\أبو حية</v>
          </cell>
        </row>
        <row r="4810">
          <cell r="L4810" t="str">
            <v>SY110200</v>
          </cell>
          <cell r="M4810" t="str">
            <v>C5802</v>
          </cell>
          <cell r="N4810" t="str">
            <v>Ammuriyeh\عمورية</v>
          </cell>
        </row>
        <row r="4811">
          <cell r="L4811" t="str">
            <v>SY110200</v>
          </cell>
          <cell r="M4811" t="str">
            <v>C5795</v>
          </cell>
          <cell r="N4811" t="str">
            <v>Badi\البديع</v>
          </cell>
        </row>
        <row r="4812">
          <cell r="L4812" t="str">
            <v>SY110200</v>
          </cell>
          <cell r="M4812" t="str">
            <v>C5809</v>
          </cell>
          <cell r="N4812" t="str">
            <v>Banat Ali\بنات علي</v>
          </cell>
        </row>
        <row r="4813">
          <cell r="L4813" t="str">
            <v>SY110200</v>
          </cell>
          <cell r="M4813" t="str">
            <v>C5827</v>
          </cell>
          <cell r="N4813" t="str">
            <v>Big Yamama\يمامة كبيرة</v>
          </cell>
        </row>
        <row r="4814">
          <cell r="L4814" t="str">
            <v>SY110200</v>
          </cell>
          <cell r="M4814" t="str">
            <v>C5810</v>
          </cell>
          <cell r="N4814" t="str">
            <v>Bir Arab\بئر عرب</v>
          </cell>
        </row>
        <row r="4815">
          <cell r="L4815" t="str">
            <v>SY110200</v>
          </cell>
          <cell r="M4815" t="str">
            <v>C5808</v>
          </cell>
          <cell r="N4815" t="str">
            <v>Bir Asheq\بئر عاشق</v>
          </cell>
        </row>
        <row r="4816">
          <cell r="L4816" t="str">
            <v>SY110200</v>
          </cell>
          <cell r="M4816" t="str">
            <v>C5821</v>
          </cell>
          <cell r="N4816" t="str">
            <v>Breighi\بريغي</v>
          </cell>
        </row>
        <row r="4817">
          <cell r="L4817" t="str">
            <v>SY110200</v>
          </cell>
          <cell r="M4817" t="str">
            <v>C5791</v>
          </cell>
          <cell r="N4817" t="str">
            <v>Elleh\العلة</v>
          </cell>
        </row>
        <row r="4818">
          <cell r="L4818" t="str">
            <v>SY110200</v>
          </cell>
          <cell r="M4818" t="str">
            <v>C5829</v>
          </cell>
          <cell r="N4818" t="str">
            <v>Farja\فرجة</v>
          </cell>
        </row>
        <row r="4819">
          <cell r="L4819" t="str">
            <v>SY110200</v>
          </cell>
          <cell r="M4819" t="str">
            <v>C5805</v>
          </cell>
          <cell r="N4819" t="str">
            <v>Hweijet Abdi\حويجة عبدي</v>
          </cell>
        </row>
        <row r="4820">
          <cell r="L4820" t="str">
            <v>SY110200</v>
          </cell>
          <cell r="M4820" t="str">
            <v>C5813</v>
          </cell>
          <cell r="N4820" t="str">
            <v>Jamailiyeh\جميلية</v>
          </cell>
        </row>
        <row r="4821">
          <cell r="L4821" t="str">
            <v>SY110200</v>
          </cell>
          <cell r="M4821" t="str">
            <v>C5812</v>
          </cell>
          <cell r="N4821" t="str">
            <v>Jendawi\جنداوي</v>
          </cell>
        </row>
        <row r="4822">
          <cell r="L4822" t="str">
            <v>SY110200</v>
          </cell>
          <cell r="M4822" t="str">
            <v>C5819</v>
          </cell>
          <cell r="N4822" t="str">
            <v>Khabura\خابورة</v>
          </cell>
        </row>
        <row r="4823">
          <cell r="L4823" t="str">
            <v>SY110200</v>
          </cell>
          <cell r="M4823" t="str">
            <v>C5799</v>
          </cell>
          <cell r="N4823" t="str">
            <v>Kherbet Elfaras\خربة الفرس</v>
          </cell>
        </row>
        <row r="4824">
          <cell r="L4824" t="str">
            <v>SY110200</v>
          </cell>
          <cell r="M4824" t="str">
            <v>C5801</v>
          </cell>
          <cell r="N4824" t="str">
            <v>Kherbet Elroz\خربة الرز</v>
          </cell>
        </row>
        <row r="4825">
          <cell r="L4825" t="str">
            <v>SY110200</v>
          </cell>
          <cell r="M4825" t="str">
            <v>C5807</v>
          </cell>
          <cell r="N4825" t="str">
            <v>Kinana\الكنانة</v>
          </cell>
        </row>
        <row r="4826">
          <cell r="L4826" t="str">
            <v>SY110200</v>
          </cell>
          <cell r="M4826" t="str">
            <v>C5825</v>
          </cell>
          <cell r="N4826" t="str">
            <v>Lower Qorunful\قرنفل تحتاني</v>
          </cell>
        </row>
        <row r="4827">
          <cell r="L4827" t="str">
            <v>SY110200</v>
          </cell>
          <cell r="M4827" t="str">
            <v>C5828</v>
          </cell>
          <cell r="N4827" t="str">
            <v>Mashrafet Elsheikh\مشرفة الشيخ</v>
          </cell>
        </row>
        <row r="4828">
          <cell r="L4828" t="str">
            <v>SY110200</v>
          </cell>
          <cell r="M4828" t="str">
            <v>C5798</v>
          </cell>
          <cell r="N4828" t="str">
            <v>Mustadira\المستديرة</v>
          </cell>
        </row>
        <row r="4829">
          <cell r="L4829" t="str">
            <v>SY110200</v>
          </cell>
          <cell r="M4829" t="str">
            <v>C5816</v>
          </cell>
          <cell r="N4829" t="str">
            <v>Qaysariyeh\القيصرية</v>
          </cell>
        </row>
        <row r="4830">
          <cell r="L4830" t="str">
            <v>SY110200</v>
          </cell>
          <cell r="M4830" t="str">
            <v>C5806</v>
          </cell>
          <cell r="N4830" t="str">
            <v>Rajm Halawa\رجم حلاوة</v>
          </cell>
        </row>
        <row r="4831">
          <cell r="L4831" t="str">
            <v>SY110200</v>
          </cell>
          <cell r="M4831" t="str">
            <v>C5818</v>
          </cell>
          <cell r="N4831" t="str">
            <v>Ras Kbir\رأس كبير</v>
          </cell>
        </row>
        <row r="4832">
          <cell r="L4832" t="str">
            <v>SY110200</v>
          </cell>
          <cell r="M4832" t="str">
            <v>C5804</v>
          </cell>
          <cell r="N4832" t="str">
            <v>Rihana - Suna\ريحانة_صونة</v>
          </cell>
        </row>
        <row r="4833">
          <cell r="L4833" t="str">
            <v>SY110200</v>
          </cell>
          <cell r="M4833" t="str">
            <v>C5817</v>
          </cell>
          <cell r="N4833" t="str">
            <v>Saideh\سعيدة</v>
          </cell>
        </row>
        <row r="4834">
          <cell r="L4834" t="str">
            <v>SY110200</v>
          </cell>
          <cell r="M4834" t="str">
            <v>C5814</v>
          </cell>
          <cell r="N4834" t="str">
            <v>Sarajiyeh\سراجية</v>
          </cell>
        </row>
        <row r="4835">
          <cell r="L4835" t="str">
            <v>SY110200</v>
          </cell>
          <cell r="M4835" t="str">
            <v>C5823</v>
          </cell>
          <cell r="N4835" t="str">
            <v>Sawsak\سوسك</v>
          </cell>
        </row>
        <row r="4836">
          <cell r="L4836" t="str">
            <v>SY110200</v>
          </cell>
          <cell r="M4836" t="str">
            <v>C5794</v>
          </cell>
          <cell r="N4836" t="str">
            <v>Sehrijeh\صهريجة</v>
          </cell>
        </row>
        <row r="4837">
          <cell r="L4837" t="str">
            <v>SY110200</v>
          </cell>
          <cell r="M4837" t="str">
            <v>C5789</v>
          </cell>
          <cell r="N4837" t="str">
            <v>Shaaleh Mankali\شعلة منكلي</v>
          </cell>
        </row>
        <row r="4838">
          <cell r="L4838" t="str">
            <v>SY110200</v>
          </cell>
          <cell r="M4838" t="str">
            <v>C5790</v>
          </cell>
          <cell r="N4838" t="str">
            <v>Shreian\شريعان</v>
          </cell>
        </row>
        <row r="4839">
          <cell r="L4839" t="str">
            <v>SY110200</v>
          </cell>
          <cell r="M4839" t="str">
            <v>C5820</v>
          </cell>
          <cell r="N4839" t="str">
            <v>Sokkariyeh\السكرية</v>
          </cell>
        </row>
        <row r="4840">
          <cell r="L4840" t="str">
            <v>SY110200</v>
          </cell>
          <cell r="M4840" t="str">
            <v>C5797</v>
          </cell>
          <cell r="N4840" t="str">
            <v>Tal Akhdar\تل أخضر</v>
          </cell>
        </row>
        <row r="4841">
          <cell r="L4841" t="str">
            <v>SY110200</v>
          </cell>
          <cell r="M4841" t="str">
            <v>C5793</v>
          </cell>
          <cell r="N4841" t="str">
            <v>Tal Elkibir\تل الكبير</v>
          </cell>
        </row>
        <row r="4842">
          <cell r="L4842" t="str">
            <v>SY110200</v>
          </cell>
          <cell r="M4842" t="str">
            <v>C5788</v>
          </cell>
          <cell r="N4842" t="str">
            <v>Tal Fandar\تل فندر</v>
          </cell>
        </row>
        <row r="4843">
          <cell r="L4843" t="str">
            <v>SY110200</v>
          </cell>
          <cell r="M4843" t="str">
            <v>C5792</v>
          </cell>
          <cell r="N4843" t="str">
            <v>Tell Abiad\تل أبيض</v>
          </cell>
        </row>
        <row r="4844">
          <cell r="L4844" t="str">
            <v>SY110200</v>
          </cell>
          <cell r="M4844" t="str">
            <v>C5796</v>
          </cell>
          <cell r="N4844" t="str">
            <v>Upper Tal Ahmar\تل أحمر فوقاني</v>
          </cell>
        </row>
        <row r="4845">
          <cell r="L4845" t="str">
            <v>SY110200</v>
          </cell>
          <cell r="M4845" t="str">
            <v>C5815</v>
          </cell>
          <cell r="N4845" t="str">
            <v>Western Dik\الديك غربي</v>
          </cell>
        </row>
        <row r="4846">
          <cell r="L4846" t="str">
            <v>SY110200</v>
          </cell>
          <cell r="M4846" t="str">
            <v>C5830</v>
          </cell>
          <cell r="N4846" t="str">
            <v>Western Qassas\قصاص غربي</v>
          </cell>
        </row>
        <row r="4847">
          <cell r="L4847" t="str">
            <v>SY110200</v>
          </cell>
          <cell r="M4847" t="str">
            <v>C5811</v>
          </cell>
          <cell r="N4847" t="str">
            <v>Western Zanbaqa\زنبقة غربي</v>
          </cell>
        </row>
        <row r="4848">
          <cell r="L4848" t="str">
            <v>SY110200</v>
          </cell>
          <cell r="M4848" t="str">
            <v>C5826</v>
          </cell>
          <cell r="N4848" t="str">
            <v>Yabseh\يابسة</v>
          </cell>
        </row>
        <row r="4849">
          <cell r="L4849" t="str">
            <v>SY110200</v>
          </cell>
          <cell r="M4849" t="str">
            <v>C5803</v>
          </cell>
          <cell r="N4849" t="str">
            <v>Zarzuri\الزرزوري</v>
          </cell>
        </row>
        <row r="4850">
          <cell r="L4850" t="str">
            <v>SY110201</v>
          </cell>
          <cell r="M4850" t="str">
            <v>C5874</v>
          </cell>
          <cell r="N4850" t="str">
            <v>Abu Haya\أبو حيا</v>
          </cell>
        </row>
        <row r="4851">
          <cell r="L4851" t="str">
            <v>SY110201</v>
          </cell>
          <cell r="M4851" t="str">
            <v>C5881</v>
          </cell>
          <cell r="N4851" t="str">
            <v>Abu Haye El Hoz\أبو حية الهوز</v>
          </cell>
        </row>
        <row r="4852">
          <cell r="L4852" t="str">
            <v>SY110201</v>
          </cell>
          <cell r="M4852" t="str">
            <v>C5885</v>
          </cell>
          <cell r="N4852" t="str">
            <v>Akel\العكل</v>
          </cell>
        </row>
        <row r="4853">
          <cell r="L4853" t="str">
            <v>SY110201</v>
          </cell>
          <cell r="M4853" t="str">
            <v>C5873</v>
          </cell>
          <cell r="N4853" t="str">
            <v>Alia\عالية</v>
          </cell>
        </row>
        <row r="4854">
          <cell r="L4854" t="str">
            <v>SY110201</v>
          </cell>
          <cell r="M4854" t="str">
            <v>C5863</v>
          </cell>
          <cell r="N4854" t="str">
            <v>Al-Malikeyyeh\المالكية</v>
          </cell>
        </row>
        <row r="4855">
          <cell r="L4855" t="str">
            <v>SY110201</v>
          </cell>
          <cell r="M4855" t="str">
            <v>C5867</v>
          </cell>
          <cell r="N4855" t="str">
            <v>Arbid\عربيد</v>
          </cell>
        </row>
        <row r="4856">
          <cell r="L4856" t="str">
            <v>SY110201</v>
          </cell>
          <cell r="M4856" t="str">
            <v>C5842</v>
          </cell>
          <cell r="N4856" t="str">
            <v>Aslim Elbarashmeh\أصيلم_البراشمة</v>
          </cell>
        </row>
        <row r="4857">
          <cell r="L4857" t="str">
            <v>SY110201</v>
          </cell>
          <cell r="M4857" t="str">
            <v>C5877</v>
          </cell>
          <cell r="N4857" t="str">
            <v>Atshana Sluk\العطشانة سلوك</v>
          </cell>
        </row>
        <row r="4858">
          <cell r="L4858" t="str">
            <v>SY110201</v>
          </cell>
          <cell r="M4858" t="str">
            <v>C5870</v>
          </cell>
          <cell r="N4858" t="str">
            <v>Aysha\عايشة</v>
          </cell>
        </row>
        <row r="4859">
          <cell r="L4859" t="str">
            <v>SY110201</v>
          </cell>
          <cell r="M4859" t="str">
            <v>C5882</v>
          </cell>
          <cell r="N4859" t="str">
            <v>Bab Elkheir\باب الخير</v>
          </cell>
        </row>
        <row r="4860">
          <cell r="L4860" t="str">
            <v>SY110201</v>
          </cell>
          <cell r="M4860" t="str">
            <v>C5883</v>
          </cell>
          <cell r="N4860" t="str">
            <v>Badei Sluk\بديع سلوك</v>
          </cell>
        </row>
        <row r="4861">
          <cell r="L4861" t="str">
            <v>SY110201</v>
          </cell>
          <cell r="M4861" t="str">
            <v>C5856</v>
          </cell>
          <cell r="N4861" t="str">
            <v>Big Khweireh\الخويرة الكبيرة</v>
          </cell>
        </row>
        <row r="4862">
          <cell r="L4862" t="str">
            <v>SY110201</v>
          </cell>
          <cell r="M4862" t="str">
            <v>C5864</v>
          </cell>
          <cell r="N4862" t="str">
            <v>Bir Asi\بئر عاصي</v>
          </cell>
        </row>
        <row r="4863">
          <cell r="L4863" t="str">
            <v>SY110201</v>
          </cell>
          <cell r="M4863" t="str">
            <v>C5878</v>
          </cell>
          <cell r="N4863" t="str">
            <v>Bir Elkhafaji\بئر الخفاجي</v>
          </cell>
        </row>
        <row r="4864">
          <cell r="L4864" t="str">
            <v>SY110201</v>
          </cell>
          <cell r="M4864" t="str">
            <v>C5875</v>
          </cell>
          <cell r="N4864" t="str">
            <v>Bir Elmaajleh\بئر المعاجلة</v>
          </cell>
        </row>
        <row r="4865">
          <cell r="L4865" t="str">
            <v>SY110201</v>
          </cell>
          <cell r="M4865" t="str">
            <v>C5861</v>
          </cell>
          <cell r="N4865" t="str">
            <v>Bir Mohmmed Elkhader\بئر محمد الخضر</v>
          </cell>
        </row>
        <row r="4866">
          <cell r="L4866" t="str">
            <v>SY110201</v>
          </cell>
          <cell r="M4866" t="str">
            <v>C5857</v>
          </cell>
          <cell r="N4866" t="str">
            <v>Bir Safaak\بئر صفعك</v>
          </cell>
        </row>
        <row r="4867">
          <cell r="L4867" t="str">
            <v>SY110201</v>
          </cell>
          <cell r="M4867" t="str">
            <v>C5866</v>
          </cell>
          <cell r="N4867" t="str">
            <v>Bteiman\بطيمان</v>
          </cell>
        </row>
        <row r="4868">
          <cell r="L4868" t="str">
            <v>SY110201</v>
          </cell>
          <cell r="M4868" t="str">
            <v>C5858</v>
          </cell>
          <cell r="N4868" t="str">
            <v>Bweider\البويدر</v>
          </cell>
        </row>
        <row r="4869">
          <cell r="L4869" t="str">
            <v>SY110201</v>
          </cell>
          <cell r="M4869" t="str">
            <v>C5839</v>
          </cell>
          <cell r="N4869" t="str">
            <v>Dadu\ددو</v>
          </cell>
        </row>
        <row r="4870">
          <cell r="L4870" t="str">
            <v>SY110201</v>
          </cell>
          <cell r="M4870" t="str">
            <v>C5879</v>
          </cell>
          <cell r="N4870" t="str">
            <v>Dehiz\الدهليز</v>
          </cell>
        </row>
        <row r="4871">
          <cell r="L4871" t="str">
            <v>SY110201</v>
          </cell>
          <cell r="M4871" t="str">
            <v>C5888</v>
          </cell>
          <cell r="N4871" t="str">
            <v>Dkheilaniyeh\الدخيلانية</v>
          </cell>
        </row>
        <row r="4872">
          <cell r="L4872" t="str">
            <v>SY110201</v>
          </cell>
          <cell r="M4872" t="str">
            <v>C5836</v>
          </cell>
          <cell r="N4872" t="str">
            <v>Eastern Serb\السرب الشرقية</v>
          </cell>
        </row>
        <row r="4873">
          <cell r="L4873" t="str">
            <v>SY110201</v>
          </cell>
          <cell r="M4873" t="str">
            <v>C5876</v>
          </cell>
          <cell r="N4873" t="str">
            <v>Ghizlan\غزلان</v>
          </cell>
        </row>
        <row r="4874">
          <cell r="L4874" t="str">
            <v>SY110201</v>
          </cell>
          <cell r="M4874" t="str">
            <v>C5889</v>
          </cell>
          <cell r="N4874" t="str">
            <v>Ghweilan\غويلان</v>
          </cell>
        </row>
        <row r="4875">
          <cell r="L4875" t="str">
            <v>SY110201</v>
          </cell>
          <cell r="M4875" t="str">
            <v>C5893</v>
          </cell>
          <cell r="N4875" t="str">
            <v>Haksha\هكشة</v>
          </cell>
        </row>
        <row r="4876">
          <cell r="L4876" t="str">
            <v>SY110201</v>
          </cell>
          <cell r="M4876" t="str">
            <v>C6319</v>
          </cell>
          <cell r="N4876" t="str">
            <v>Hammam At-Turkman\حمام التركمان</v>
          </cell>
        </row>
        <row r="4877">
          <cell r="L4877" t="str">
            <v>SY110201</v>
          </cell>
          <cell r="M4877" t="str">
            <v>C5847</v>
          </cell>
          <cell r="N4877" t="str">
            <v>Hawasi\حواسي</v>
          </cell>
        </row>
        <row r="4878">
          <cell r="L4878" t="str">
            <v>SY110201</v>
          </cell>
          <cell r="M4878" t="str">
            <v>C5884</v>
          </cell>
          <cell r="N4878" t="str">
            <v>Hiba\الهبة</v>
          </cell>
        </row>
        <row r="4879">
          <cell r="L4879" t="str">
            <v>SY110201</v>
          </cell>
          <cell r="M4879" t="str">
            <v>C5891</v>
          </cell>
          <cell r="N4879" t="str">
            <v>Hteil Elhomor\هطيل الحمر</v>
          </cell>
        </row>
        <row r="4880">
          <cell r="L4880" t="str">
            <v>SY110201</v>
          </cell>
          <cell r="M4880" t="str">
            <v>C5859</v>
          </cell>
          <cell r="N4880" t="str">
            <v>Iweh\عيوة</v>
          </cell>
        </row>
        <row r="4881">
          <cell r="L4881" t="str">
            <v>SY110201</v>
          </cell>
          <cell r="M4881" t="str">
            <v>C5892</v>
          </cell>
          <cell r="N4881" t="str">
            <v>Kattar\كطار</v>
          </cell>
        </row>
        <row r="4882">
          <cell r="L4882" t="str">
            <v>SY110201</v>
          </cell>
          <cell r="M4882" t="str">
            <v>C5850</v>
          </cell>
          <cell r="N4882" t="str">
            <v>Katun\الخاتون</v>
          </cell>
        </row>
        <row r="4883">
          <cell r="L4883" t="str">
            <v>SY110201</v>
          </cell>
          <cell r="M4883" t="str">
            <v>C5855</v>
          </cell>
          <cell r="N4883" t="str">
            <v>Khatuniya Sluk\خاتونية سلوك</v>
          </cell>
        </row>
        <row r="4884">
          <cell r="L4884" t="str">
            <v>SY110201</v>
          </cell>
          <cell r="M4884" t="str">
            <v>C5833</v>
          </cell>
          <cell r="N4884" t="str">
            <v>Kherbet Elnaqa\خربة الناقة</v>
          </cell>
        </row>
        <row r="4885">
          <cell r="L4885" t="str">
            <v>SY110201</v>
          </cell>
          <cell r="M4885" t="str">
            <v>C5840</v>
          </cell>
          <cell r="N4885" t="str">
            <v>Kherbet Jreidi\خربة جريدي</v>
          </cell>
        </row>
        <row r="4886">
          <cell r="L4886" t="str">
            <v>SY110201</v>
          </cell>
          <cell r="M4886" t="str">
            <v>C5837</v>
          </cell>
          <cell r="N4886" t="str">
            <v>Khneifis\خنيفس</v>
          </cell>
        </row>
        <row r="4887">
          <cell r="L4887" t="str">
            <v>SY110201</v>
          </cell>
          <cell r="M4887" t="str">
            <v>C5841</v>
          </cell>
          <cell r="N4887" t="str">
            <v>Khweitleh\الخويتلة</v>
          </cell>
        </row>
        <row r="4888">
          <cell r="L4888" t="str">
            <v>SY110201</v>
          </cell>
          <cell r="M4888" t="str">
            <v>C5865</v>
          </cell>
          <cell r="N4888" t="str">
            <v>Kisum\الكيصوم</v>
          </cell>
        </row>
        <row r="4889">
          <cell r="L4889" t="str">
            <v>SY110201</v>
          </cell>
          <cell r="M4889" t="str">
            <v>C5848</v>
          </cell>
          <cell r="N4889" t="str">
            <v>Little Khweireh \الخويرة الصغيرة</v>
          </cell>
        </row>
        <row r="4890">
          <cell r="L4890" t="str">
            <v>SY110201</v>
          </cell>
          <cell r="M4890" t="str">
            <v>C5871</v>
          </cell>
          <cell r="N4890" t="str">
            <v>Makef\الماكف</v>
          </cell>
        </row>
        <row r="4891">
          <cell r="L4891" t="str">
            <v>SY110201</v>
          </cell>
          <cell r="M4891" t="str">
            <v>C5869</v>
          </cell>
          <cell r="N4891" t="str">
            <v>Maleh\المالح</v>
          </cell>
        </row>
        <row r="4892">
          <cell r="L4892" t="str">
            <v>SY110201</v>
          </cell>
          <cell r="M4892" t="str">
            <v>C5872</v>
          </cell>
          <cell r="N4892" t="str">
            <v>Quneitra\القنيطرة</v>
          </cell>
        </row>
        <row r="4893">
          <cell r="L4893" t="str">
            <v>SY110201</v>
          </cell>
          <cell r="M4893" t="str">
            <v>C5853</v>
          </cell>
          <cell r="N4893" t="str">
            <v>Rajm Onwah\رجم عنوة</v>
          </cell>
        </row>
        <row r="4894">
          <cell r="L4894" t="str">
            <v>SY110201</v>
          </cell>
          <cell r="M4894" t="str">
            <v>C5851</v>
          </cell>
          <cell r="N4894" t="str">
            <v>Rgheilan\رغيلان</v>
          </cell>
        </row>
        <row r="4895">
          <cell r="L4895" t="str">
            <v>SY110201</v>
          </cell>
          <cell r="M4895" t="str">
            <v>C5852</v>
          </cell>
          <cell r="N4895" t="str">
            <v>Shakil\شكيل</v>
          </cell>
        </row>
        <row r="4896">
          <cell r="L4896" t="str">
            <v>SY110201</v>
          </cell>
          <cell r="M4896" t="str">
            <v>C5846</v>
          </cell>
          <cell r="N4896" t="str">
            <v>Shalkhi\الشلخي</v>
          </cell>
        </row>
        <row r="4897">
          <cell r="L4897" t="str">
            <v>SY110201</v>
          </cell>
          <cell r="M4897" t="str">
            <v>C5854</v>
          </cell>
          <cell r="N4897" t="str">
            <v>Shamandur\شمندور</v>
          </cell>
        </row>
        <row r="4898">
          <cell r="L4898" t="str">
            <v>SY110201</v>
          </cell>
          <cell r="M4898" t="str">
            <v>C5887</v>
          </cell>
          <cell r="N4898" t="str">
            <v>Sufan\صوفان</v>
          </cell>
        </row>
        <row r="4899">
          <cell r="L4899" t="str">
            <v>SY110201</v>
          </cell>
          <cell r="M4899" t="str">
            <v>C5843</v>
          </cell>
          <cell r="N4899" t="str">
            <v>Suluk\سلوك</v>
          </cell>
        </row>
        <row r="4900">
          <cell r="L4900" t="str">
            <v>SY110201</v>
          </cell>
          <cell r="M4900" t="str">
            <v>C5844</v>
          </cell>
          <cell r="N4900" t="str">
            <v>Tal Hammam\تل حمام</v>
          </cell>
        </row>
        <row r="4901">
          <cell r="L4901" t="str">
            <v>SY110201</v>
          </cell>
          <cell r="M4901" t="str">
            <v>C5868</v>
          </cell>
          <cell r="N4901" t="str">
            <v>Tawil Elshweikh\طويل الشويخ</v>
          </cell>
        </row>
        <row r="4902">
          <cell r="L4902" t="str">
            <v>SY110201</v>
          </cell>
          <cell r="M4902" t="str">
            <v>C5880</v>
          </cell>
          <cell r="N4902" t="str">
            <v>Thadyen\الثديين</v>
          </cell>
        </row>
        <row r="4903">
          <cell r="L4903" t="str">
            <v>SY110201</v>
          </cell>
          <cell r="M4903" t="str">
            <v>C5832</v>
          </cell>
          <cell r="N4903" t="str">
            <v>Thiban\ذيبان</v>
          </cell>
        </row>
        <row r="4904">
          <cell r="L4904" t="str">
            <v>SY110201</v>
          </cell>
          <cell r="M4904" t="str">
            <v>C5849</v>
          </cell>
          <cell r="N4904" t="str">
            <v>Tiba\الطيبة</v>
          </cell>
        </row>
        <row r="4905">
          <cell r="L4905" t="str">
            <v>SY110201</v>
          </cell>
          <cell r="M4905" t="str">
            <v>C5845</v>
          </cell>
          <cell r="N4905" t="str">
            <v>Um Elhayaya\أم الحيايا</v>
          </cell>
        </row>
        <row r="4906">
          <cell r="L4906" t="str">
            <v>SY110201</v>
          </cell>
          <cell r="M4906" t="str">
            <v>C5838</v>
          </cell>
          <cell r="N4906" t="str">
            <v>Um Harmal\أم حرمل</v>
          </cell>
        </row>
        <row r="4907">
          <cell r="L4907" t="str">
            <v>SY110201</v>
          </cell>
          <cell r="M4907" t="str">
            <v>C5835</v>
          </cell>
          <cell r="N4907" t="str">
            <v>Zaydi\الزيدي</v>
          </cell>
        </row>
        <row r="4908">
          <cell r="L4908" t="str">
            <v>SY110201</v>
          </cell>
          <cell r="M4908" t="str">
            <v>C5834</v>
          </cell>
          <cell r="N4908" t="str">
            <v>Zazu\الزعزوع</v>
          </cell>
        </row>
        <row r="4909">
          <cell r="L4909" t="str">
            <v>SY110202</v>
          </cell>
          <cell r="M4909" t="str">
            <v>C5898</v>
          </cell>
          <cell r="N4909" t="str">
            <v>Abu Khorzeh\أبو خرزة</v>
          </cell>
        </row>
        <row r="4910">
          <cell r="L4910" t="str">
            <v>SY110202</v>
          </cell>
          <cell r="M4910" t="str">
            <v>C5917</v>
          </cell>
          <cell r="N4910" t="str">
            <v>Abu Misnatein\أبو مسناتين</v>
          </cell>
        </row>
        <row r="4911">
          <cell r="L4911" t="str">
            <v>SY110202</v>
          </cell>
          <cell r="M4911" t="str">
            <v>C5914</v>
          </cell>
          <cell r="N4911" t="str">
            <v>Abu Nituleh\أبو نيتولة</v>
          </cell>
        </row>
        <row r="4912">
          <cell r="L4912" t="str">
            <v>SY110202</v>
          </cell>
          <cell r="M4912" t="str">
            <v>C5912</v>
          </cell>
          <cell r="N4912" t="str">
            <v>Amin\الأمين</v>
          </cell>
        </row>
        <row r="4913">
          <cell r="L4913" t="str">
            <v>SY110202</v>
          </cell>
          <cell r="M4913" t="str">
            <v>C5903</v>
          </cell>
          <cell r="N4913" t="str">
            <v>Arida Abu Jarada\عريضة أبو جرادة</v>
          </cell>
        </row>
        <row r="4914">
          <cell r="L4914" t="str">
            <v>SY110202</v>
          </cell>
          <cell r="M4914" t="str">
            <v>C5899</v>
          </cell>
          <cell r="N4914" t="str">
            <v>Arida Ojeil\عريضة عجيل</v>
          </cell>
        </row>
        <row r="4915">
          <cell r="L4915" t="str">
            <v>SY110202</v>
          </cell>
          <cell r="M4915" t="str">
            <v>C5894</v>
          </cell>
          <cell r="N4915" t="str">
            <v>Bir Issa\بئر عيسى</v>
          </cell>
        </row>
        <row r="4916">
          <cell r="L4916" t="str">
            <v>SY110202</v>
          </cell>
          <cell r="M4916" t="str">
            <v>C5910</v>
          </cell>
          <cell r="N4916" t="str">
            <v>Bir Khat\بئر خات</v>
          </cell>
        </row>
        <row r="4917">
          <cell r="L4917" t="str">
            <v>SY110202</v>
          </cell>
          <cell r="M4917" t="str">
            <v>C5905</v>
          </cell>
          <cell r="N4917" t="str">
            <v>Ein Issa\عين عيسى</v>
          </cell>
        </row>
        <row r="4918">
          <cell r="L4918" t="str">
            <v>SY110202</v>
          </cell>
          <cell r="M4918" t="str">
            <v>C5923</v>
          </cell>
          <cell r="N4918" t="str">
            <v>Farhaniya\فرحانية</v>
          </cell>
        </row>
        <row r="4919">
          <cell r="L4919" t="str">
            <v>SY110202</v>
          </cell>
          <cell r="M4919" t="str">
            <v>C5913</v>
          </cell>
          <cell r="N4919" t="str">
            <v>Fatsa\الفاطسة</v>
          </cell>
        </row>
        <row r="4920">
          <cell r="L4920" t="str">
            <v>SY110202</v>
          </cell>
          <cell r="M4920" t="str">
            <v>C5922</v>
          </cell>
          <cell r="N4920" t="str">
            <v>Hanano\هنانو</v>
          </cell>
        </row>
        <row r="4921">
          <cell r="L4921" t="str">
            <v>SY110202</v>
          </cell>
          <cell r="M4921" t="str">
            <v>C5904</v>
          </cell>
          <cell r="N4921" t="str">
            <v>Hijazieh\الحجازية</v>
          </cell>
        </row>
        <row r="4922">
          <cell r="L4922" t="str">
            <v>SY110202</v>
          </cell>
          <cell r="M4922" t="str">
            <v>C5927</v>
          </cell>
          <cell r="N4922" t="str">
            <v>Hisheh\هيشة</v>
          </cell>
        </row>
        <row r="4923">
          <cell r="L4923" t="str">
            <v>SY110202</v>
          </cell>
          <cell r="M4923" t="str">
            <v>C5915</v>
          </cell>
          <cell r="N4923" t="str">
            <v>Jahjah\الجهجاه</v>
          </cell>
        </row>
        <row r="4924">
          <cell r="L4924" t="str">
            <v>SY110202</v>
          </cell>
          <cell r="M4924" t="str">
            <v>C5918</v>
          </cell>
          <cell r="N4924" t="str">
            <v>Kafifeh\كفيفة</v>
          </cell>
        </row>
        <row r="4925">
          <cell r="L4925" t="str">
            <v>SY110202</v>
          </cell>
          <cell r="M4925" t="str">
            <v>C5916</v>
          </cell>
          <cell r="N4925" t="str">
            <v>Kherbet Elbeida\خربة البيضا</v>
          </cell>
        </row>
        <row r="4926">
          <cell r="L4926" t="str">
            <v>SY110202</v>
          </cell>
          <cell r="M4926" t="str">
            <v>C5906</v>
          </cell>
          <cell r="N4926" t="str">
            <v>Kherbet Hadla\خربة هدلا</v>
          </cell>
        </row>
        <row r="4927">
          <cell r="L4927" t="str">
            <v>SY110202</v>
          </cell>
          <cell r="M4927" t="str">
            <v>C5924</v>
          </cell>
          <cell r="N4927" t="str">
            <v>Laqta\لقطة</v>
          </cell>
        </row>
        <row r="4928">
          <cell r="L4928" t="str">
            <v>SY110202</v>
          </cell>
          <cell r="M4928" t="str">
            <v>C5897</v>
          </cell>
          <cell r="N4928" t="str">
            <v>Lower Jern Elaswad\جرن الأسود تحتاني</v>
          </cell>
        </row>
        <row r="4929">
          <cell r="L4929" t="str">
            <v>SY110202</v>
          </cell>
          <cell r="M4929" t="str">
            <v>C5925</v>
          </cell>
          <cell r="N4929" t="str">
            <v>Madlaj\مدلج</v>
          </cell>
        </row>
        <row r="4930">
          <cell r="L4930" t="str">
            <v>SY110202</v>
          </cell>
          <cell r="M4930" t="str">
            <v>C5921</v>
          </cell>
          <cell r="N4930" t="str">
            <v>Maghar\مغار</v>
          </cell>
        </row>
        <row r="4931">
          <cell r="L4931" t="str">
            <v>SY110202</v>
          </cell>
          <cell r="M4931" t="str">
            <v>C5928</v>
          </cell>
          <cell r="N4931" t="str">
            <v>Mashrafet Elhzzaa\مشرفة الهزاع</v>
          </cell>
        </row>
        <row r="4932">
          <cell r="L4932" t="str">
            <v>SY110202</v>
          </cell>
          <cell r="M4932" t="str">
            <v>C5920</v>
          </cell>
          <cell r="N4932" t="str">
            <v>Milsun Ein Issa\ميسلون عين عيسى</v>
          </cell>
        </row>
        <row r="4933">
          <cell r="L4933" t="str">
            <v>SY110202</v>
          </cell>
          <cell r="M4933" t="str">
            <v>C5902</v>
          </cell>
          <cell r="N4933" t="str">
            <v>Mohra\المهرة</v>
          </cell>
        </row>
        <row r="4934">
          <cell r="L4934" t="str">
            <v>SY110202</v>
          </cell>
          <cell r="M4934" t="str">
            <v>C5926</v>
          </cell>
          <cell r="N4934" t="str">
            <v>Mreiran\مريران</v>
          </cell>
        </row>
        <row r="4935">
          <cell r="L4935" t="str">
            <v>SY110202</v>
          </cell>
          <cell r="M4935" t="str">
            <v>C5900</v>
          </cell>
          <cell r="N4935" t="str">
            <v>Nasriyeh\الناصرية</v>
          </cell>
        </row>
        <row r="4936">
          <cell r="L4936" t="str">
            <v>SY110202</v>
          </cell>
          <cell r="M4936" t="str">
            <v>C5896</v>
          </cell>
          <cell r="N4936" t="str">
            <v>Sabe Jfar\سبع جفار</v>
          </cell>
        </row>
        <row r="4937">
          <cell r="L4937" t="str">
            <v>SY110202</v>
          </cell>
          <cell r="M4937" t="str">
            <v>C5908</v>
          </cell>
          <cell r="N4937" t="str">
            <v>Sakhret Elsheikh\صخرة عبد الشيخ</v>
          </cell>
        </row>
        <row r="4938">
          <cell r="L4938" t="str">
            <v>SY110202</v>
          </cell>
          <cell r="M4938" t="str">
            <v>C5909</v>
          </cell>
          <cell r="N4938" t="str">
            <v>Saramda\السرامدة</v>
          </cell>
        </row>
        <row r="4939">
          <cell r="L4939" t="str">
            <v>SY110202</v>
          </cell>
          <cell r="M4939" t="str">
            <v>C5911</v>
          </cell>
          <cell r="N4939" t="str">
            <v>Sharkrak\الشركراك</v>
          </cell>
        </row>
        <row r="4940">
          <cell r="L4940" t="str">
            <v>SY110202</v>
          </cell>
          <cell r="M4940" t="str">
            <v>C5895</v>
          </cell>
          <cell r="N4940" t="str">
            <v>Umaya\أمية</v>
          </cell>
        </row>
        <row r="4941">
          <cell r="L4941" t="str">
            <v>SY110202</v>
          </cell>
          <cell r="M4941" t="str">
            <v>C5919</v>
          </cell>
          <cell r="N4941" t="str">
            <v>Wastet Elhijan\واسطة الهيجان</v>
          </cell>
        </row>
        <row r="4942">
          <cell r="L4942" t="str">
            <v>SY110202</v>
          </cell>
          <cell r="M4942" t="str">
            <v>C5907</v>
          </cell>
          <cell r="N4942" t="str">
            <v>Zenbaq\الزنباق</v>
          </cell>
        </row>
        <row r="4943">
          <cell r="L4943" t="str">
            <v>SY110300</v>
          </cell>
          <cell r="M4943" t="str">
            <v>C5929</v>
          </cell>
          <cell r="N4943" t="str">
            <v>Al-Thawrah\الثورة</v>
          </cell>
        </row>
        <row r="4944">
          <cell r="L4944" t="str">
            <v>SY110301</v>
          </cell>
          <cell r="M4944" t="str">
            <v>C5932</v>
          </cell>
          <cell r="N4944" t="str">
            <v>Abu Horaira\أبو هريرة</v>
          </cell>
        </row>
        <row r="4945">
          <cell r="L4945" t="str">
            <v>SY110301</v>
          </cell>
          <cell r="M4945" t="str">
            <v>C5936</v>
          </cell>
          <cell r="N4945" t="str">
            <v>Abu Kbee - West \أبو كبيع غربي</v>
          </cell>
        </row>
        <row r="4946">
          <cell r="L4946" t="str">
            <v>SY110301</v>
          </cell>
          <cell r="M4946" t="str">
            <v>C5949</v>
          </cell>
          <cell r="N4946" t="str">
            <v>Bir Abu Kubra\بئر أبو كبرى</v>
          </cell>
        </row>
        <row r="4947">
          <cell r="L4947" t="str">
            <v>SY110301</v>
          </cell>
          <cell r="M4947" t="str">
            <v>C5940</v>
          </cell>
          <cell r="N4947" t="str">
            <v>Bir Enbaj\بئر إنباج</v>
          </cell>
        </row>
        <row r="4948">
          <cell r="L4948" t="str">
            <v>SY110301</v>
          </cell>
          <cell r="M4948" t="str">
            <v>C5933</v>
          </cell>
          <cell r="N4948" t="str">
            <v>Bir Hadleh\بئر هدلة</v>
          </cell>
        </row>
        <row r="4949">
          <cell r="L4949" t="str">
            <v>SY110301</v>
          </cell>
          <cell r="M4949" t="str">
            <v>C5945</v>
          </cell>
          <cell r="N4949" t="str">
            <v>Bir Khattab\بئر خطاب</v>
          </cell>
        </row>
        <row r="4950">
          <cell r="L4950" t="str">
            <v>SY110301</v>
          </cell>
          <cell r="M4950" t="str">
            <v>C5939</v>
          </cell>
          <cell r="N4950" t="str">
            <v>Debsi Afnan\دبسي عفنان</v>
          </cell>
        </row>
        <row r="4951">
          <cell r="L4951" t="str">
            <v>SY110301</v>
          </cell>
          <cell r="M4951" t="str">
            <v>C5931</v>
          </cell>
          <cell r="N4951" t="str">
            <v>Debsi Faraj\دبسي فرج</v>
          </cell>
        </row>
        <row r="4952">
          <cell r="L4952" t="str">
            <v>SY110301</v>
          </cell>
          <cell r="M4952" t="str">
            <v>C5944</v>
          </cell>
          <cell r="N4952" t="str">
            <v>Eastern Ghazala\غزالة شرقية</v>
          </cell>
        </row>
        <row r="4953">
          <cell r="L4953" t="str">
            <v>SY110301</v>
          </cell>
          <cell r="M4953" t="str">
            <v>C5948</v>
          </cell>
          <cell r="N4953" t="str">
            <v>Eastern Zamleh\الزملة الشرقية</v>
          </cell>
        </row>
        <row r="4954">
          <cell r="L4954" t="str">
            <v>SY110301</v>
          </cell>
          <cell r="M4954" t="str">
            <v>C5943</v>
          </cell>
          <cell r="N4954" t="str">
            <v>Emeirat\العميرات</v>
          </cell>
        </row>
        <row r="4955">
          <cell r="L4955" t="str">
            <v>SY110301</v>
          </cell>
          <cell r="M4955" t="str">
            <v>C5953</v>
          </cell>
          <cell r="N4955" t="str">
            <v>Fakhikheh\فخيخة</v>
          </cell>
        </row>
        <row r="4956">
          <cell r="L4956" t="str">
            <v>SY110301</v>
          </cell>
          <cell r="M4956" t="str">
            <v>C5946</v>
          </cell>
          <cell r="N4956" t="str">
            <v>Ghamamiz\الغماميز</v>
          </cell>
        </row>
        <row r="4957">
          <cell r="L4957" t="str">
            <v>SY110301</v>
          </cell>
          <cell r="M4957" t="str">
            <v>C5937</v>
          </cell>
          <cell r="N4957" t="str">
            <v>Hora\الهورة</v>
          </cell>
        </row>
        <row r="4958">
          <cell r="L4958" t="str">
            <v>SY110301</v>
          </cell>
          <cell r="M4958" t="str">
            <v>C5935</v>
          </cell>
          <cell r="N4958" t="str">
            <v>Jeidine\جعيدين</v>
          </cell>
        </row>
        <row r="4959">
          <cell r="L4959" t="str">
            <v>SY110301</v>
          </cell>
          <cell r="M4959" t="str">
            <v>C5934</v>
          </cell>
          <cell r="N4959" t="str">
            <v>Karadi\الكرادي</v>
          </cell>
        </row>
        <row r="4960">
          <cell r="L4960" t="str">
            <v>SY110301</v>
          </cell>
          <cell r="M4960" t="str">
            <v>C5941</v>
          </cell>
          <cell r="N4960" t="str">
            <v>Krein\الكرين</v>
          </cell>
        </row>
        <row r="4961">
          <cell r="L4961" t="str">
            <v>SY110301</v>
          </cell>
          <cell r="M4961" t="str">
            <v>C5951</v>
          </cell>
          <cell r="N4961" t="str">
            <v>Madhir\مدحير</v>
          </cell>
        </row>
        <row r="4962">
          <cell r="L4962" t="str">
            <v>SY110301</v>
          </cell>
          <cell r="M4962" t="str">
            <v>C5942</v>
          </cell>
          <cell r="N4962" t="str">
            <v>Mansura\المنصورة</v>
          </cell>
        </row>
        <row r="4963">
          <cell r="L4963" t="str">
            <v>SY110301</v>
          </cell>
          <cell r="M4963" t="str">
            <v>C5952</v>
          </cell>
          <cell r="N4963" t="str">
            <v>Mashrafet Elsaab\مشرفة الصعب</v>
          </cell>
        </row>
        <row r="4964">
          <cell r="L4964" t="str">
            <v>SY110301</v>
          </cell>
          <cell r="M4964" t="str">
            <v>C5930</v>
          </cell>
          <cell r="N4964" t="str">
            <v>Ramthan\رمثان</v>
          </cell>
        </row>
        <row r="4965">
          <cell r="L4965" t="str">
            <v>SY110301</v>
          </cell>
          <cell r="M4965" t="str">
            <v>C5938</v>
          </cell>
          <cell r="N4965" t="str">
            <v>Sefsafa\الصفصافة</v>
          </cell>
        </row>
        <row r="4966">
          <cell r="L4966" t="str">
            <v>SY110301</v>
          </cell>
          <cell r="M4966" t="str">
            <v>C5947</v>
          </cell>
          <cell r="N4966" t="str">
            <v>Sheib Eldakar\شعيب الذكر</v>
          </cell>
        </row>
        <row r="4967">
          <cell r="L4967" t="str">
            <v>SY110302</v>
          </cell>
          <cell r="M4967" t="str">
            <v>C5974</v>
          </cell>
          <cell r="N4967" t="str">
            <v>Abu Sakhra\أبو صخرة</v>
          </cell>
        </row>
        <row r="4968">
          <cell r="L4968" t="str">
            <v>SY110302</v>
          </cell>
          <cell r="M4968" t="str">
            <v>C5967</v>
          </cell>
          <cell r="N4968" t="str">
            <v>Abu Shamat - Abul Kalat\أبو الشامات_أبو الكالات</v>
          </cell>
        </row>
        <row r="4969">
          <cell r="L4969" t="str">
            <v>SY110302</v>
          </cell>
          <cell r="M4969" t="str">
            <v>C5989</v>
          </cell>
          <cell r="N4969" t="str">
            <v>Ajajiyeh\العجاجية</v>
          </cell>
        </row>
        <row r="4970">
          <cell r="L4970" t="str">
            <v>SY110302</v>
          </cell>
          <cell r="M4970" t="str">
            <v>C5971</v>
          </cell>
          <cell r="N4970" t="str">
            <v>Badiat Elshoaa\بادية الشوعة</v>
          </cell>
        </row>
        <row r="4971">
          <cell r="L4971" t="str">
            <v>SY110302</v>
          </cell>
          <cell r="M4971" t="str">
            <v>C5954</v>
          </cell>
          <cell r="N4971" t="str">
            <v>Bir Elatshaneh\بئر العطشانة</v>
          </cell>
        </row>
        <row r="4972">
          <cell r="L4972" t="str">
            <v>SY110302</v>
          </cell>
          <cell r="M4972" t="str">
            <v>C5955</v>
          </cell>
          <cell r="N4972" t="str">
            <v>Bir Elkhozam\بئر الخزام</v>
          </cell>
        </row>
        <row r="4973">
          <cell r="L4973" t="str">
            <v>SY110302</v>
          </cell>
          <cell r="M4973" t="str">
            <v>C5985</v>
          </cell>
          <cell r="N4973" t="str">
            <v>Bir Haj Khalif\بئر حاج خليف</v>
          </cell>
        </row>
        <row r="4974">
          <cell r="L4974" t="str">
            <v>SY110302</v>
          </cell>
          <cell r="M4974" t="str">
            <v>C5984</v>
          </cell>
          <cell r="N4974" t="str">
            <v>Bir Shallal\بئر شلال</v>
          </cell>
        </row>
        <row r="4975">
          <cell r="L4975" t="str">
            <v>SY110302</v>
          </cell>
          <cell r="M4975" t="str">
            <v>C5980</v>
          </cell>
          <cell r="N4975" t="str">
            <v>Bisrawi\بصراوي</v>
          </cell>
        </row>
        <row r="4976">
          <cell r="L4976" t="str">
            <v>SY110302</v>
          </cell>
          <cell r="M4976" t="str">
            <v>C5978</v>
          </cell>
          <cell r="N4976" t="str">
            <v>Dahweh\ضحوة</v>
          </cell>
        </row>
        <row r="4977">
          <cell r="L4977" t="str">
            <v>SY110302</v>
          </cell>
          <cell r="M4977" t="str">
            <v>C5969</v>
          </cell>
          <cell r="N4977" t="str">
            <v>Dukhan \دخان</v>
          </cell>
        </row>
        <row r="4978">
          <cell r="L4978" t="str">
            <v>SY110302</v>
          </cell>
          <cell r="M4978" t="str">
            <v>C5981</v>
          </cell>
          <cell r="N4978" t="str">
            <v>Eastern Jaabar \جعبر شرقي</v>
          </cell>
        </row>
        <row r="4979">
          <cell r="L4979" t="str">
            <v>SY110302</v>
          </cell>
          <cell r="M4979" t="str">
            <v>C5990</v>
          </cell>
          <cell r="N4979" t="str">
            <v>Falah Rabu\فلاح ربو</v>
          </cell>
        </row>
        <row r="4980">
          <cell r="L4980" t="str">
            <v>SY110302</v>
          </cell>
          <cell r="M4980" t="str">
            <v>C5977</v>
          </cell>
          <cell r="N4980" t="str">
            <v>Hamra\الحمرة</v>
          </cell>
        </row>
        <row r="4981">
          <cell r="L4981" t="str">
            <v>SY110302</v>
          </cell>
          <cell r="M4981" t="str">
            <v>C5957</v>
          </cell>
          <cell r="N4981" t="str">
            <v>Hazzum\حزوم</v>
          </cell>
        </row>
        <row r="4982">
          <cell r="L4982" t="str">
            <v>SY110302</v>
          </cell>
          <cell r="M4982" t="str">
            <v>C6384</v>
          </cell>
          <cell r="N4982" t="str">
            <v>Hurriyeh\الحرية</v>
          </cell>
        </row>
        <row r="4983">
          <cell r="L4983" t="str">
            <v>SY110302</v>
          </cell>
          <cell r="M4983" t="str">
            <v>C5961</v>
          </cell>
          <cell r="N4983" t="str">
            <v>Hweijet Halawa\حويجة حلاوة</v>
          </cell>
        </row>
        <row r="4984">
          <cell r="L4984" t="str">
            <v>SY110302</v>
          </cell>
          <cell r="M4984" t="str">
            <v>C5983</v>
          </cell>
          <cell r="N4984" t="str">
            <v>Jeiber\جعيبر</v>
          </cell>
        </row>
        <row r="4985">
          <cell r="L4985" t="str">
            <v>SY110302</v>
          </cell>
          <cell r="M4985" t="str">
            <v>C5965</v>
          </cell>
          <cell r="N4985" t="str">
            <v>Jurneyyeh\الجرنية</v>
          </cell>
        </row>
        <row r="4986">
          <cell r="L4986" t="str">
            <v>SY110302</v>
          </cell>
          <cell r="M4986" t="str">
            <v>C5962</v>
          </cell>
          <cell r="N4986" t="str">
            <v>Kanu\الكنو</v>
          </cell>
        </row>
        <row r="4987">
          <cell r="L4987" t="str">
            <v>SY110302</v>
          </cell>
          <cell r="M4987" t="str">
            <v>C6386</v>
          </cell>
          <cell r="N4987" t="str">
            <v>Karawan\الكروان</v>
          </cell>
        </row>
        <row r="4988">
          <cell r="L4988" t="str">
            <v>SY110302</v>
          </cell>
          <cell r="M4988" t="str">
            <v>C5964</v>
          </cell>
          <cell r="N4988" t="str">
            <v>Khatuniya Eljerniyah\خاتونية الجرنية</v>
          </cell>
        </row>
        <row r="4989">
          <cell r="L4989" t="str">
            <v>SY110302</v>
          </cell>
          <cell r="M4989" t="str">
            <v>C5968</v>
          </cell>
          <cell r="N4989" t="str">
            <v>Mahmudli\المحمودلي</v>
          </cell>
        </row>
        <row r="4990">
          <cell r="L4990" t="str">
            <v>SY110302</v>
          </cell>
          <cell r="M4990" t="str">
            <v>C6385</v>
          </cell>
          <cell r="N4990" t="str">
            <v>Mazyuneh\المزيونة</v>
          </cell>
        </row>
        <row r="4991">
          <cell r="L4991" t="str">
            <v>SY110302</v>
          </cell>
          <cell r="M4991" t="str">
            <v>C5991</v>
          </cell>
          <cell r="N4991" t="str">
            <v>Mjeibnet Elamya\مجيبنة العمياء</v>
          </cell>
        </row>
        <row r="4992">
          <cell r="L4992" t="str">
            <v>SY110302</v>
          </cell>
          <cell r="M4992" t="str">
            <v>C5966</v>
          </cell>
          <cell r="N4992" t="str">
            <v>Msheirfet Eljerniyeh\المشيرفة الجرنية</v>
          </cell>
        </row>
        <row r="4993">
          <cell r="L4993" t="str">
            <v>SY110302</v>
          </cell>
          <cell r="M4993" t="str">
            <v>C5960</v>
          </cell>
          <cell r="N4993" t="str">
            <v>Mweileh\المويلح</v>
          </cell>
        </row>
        <row r="4994">
          <cell r="L4994" t="str">
            <v>SY110302</v>
          </cell>
          <cell r="M4994" t="str">
            <v>C5959</v>
          </cell>
          <cell r="N4994" t="str">
            <v>Nafileh\النفيلة</v>
          </cell>
        </row>
        <row r="4995">
          <cell r="L4995" t="str">
            <v>SY110302</v>
          </cell>
          <cell r="M4995" t="str">
            <v>C5963</v>
          </cell>
          <cell r="N4995" t="str">
            <v>Rajm Elhamam\رجم الحمام</v>
          </cell>
        </row>
        <row r="4996">
          <cell r="L4996" t="str">
            <v>SY110302</v>
          </cell>
          <cell r="M4996" t="str">
            <v>C5975</v>
          </cell>
          <cell r="N4996" t="str">
            <v>Ramleh\الرملة</v>
          </cell>
        </row>
        <row r="4997">
          <cell r="L4997" t="str">
            <v>SY110302</v>
          </cell>
          <cell r="M4997" t="str">
            <v>C5979</v>
          </cell>
          <cell r="N4997" t="str">
            <v>Safra\الصفرة</v>
          </cell>
        </row>
        <row r="4998">
          <cell r="L4998" t="str">
            <v>SY110302</v>
          </cell>
          <cell r="M4998" t="str">
            <v>C5986</v>
          </cell>
          <cell r="N4998" t="str">
            <v>Shahid Ellah\شهيد الله</v>
          </cell>
        </row>
        <row r="4999">
          <cell r="L4999" t="str">
            <v>SY110302</v>
          </cell>
          <cell r="M4999" t="str">
            <v>C5988</v>
          </cell>
          <cell r="N4999" t="str">
            <v>Shams Eldin\شمس الدين</v>
          </cell>
        </row>
        <row r="5000">
          <cell r="L5000" t="str">
            <v>SY110302</v>
          </cell>
          <cell r="M5000" t="str">
            <v>C5972</v>
          </cell>
          <cell r="N5000" t="str">
            <v>Tal Othman\تل عثمان</v>
          </cell>
        </row>
        <row r="5001">
          <cell r="L5001" t="str">
            <v>SY110302</v>
          </cell>
          <cell r="M5001" t="str">
            <v>C5976</v>
          </cell>
          <cell r="N5001" t="str">
            <v>Tawi\طاوي</v>
          </cell>
        </row>
        <row r="5002">
          <cell r="L5002" t="str">
            <v>SY110302</v>
          </cell>
          <cell r="M5002" t="str">
            <v>C5987</v>
          </cell>
          <cell r="N5002" t="str">
            <v>Thaheriya\الظاهرية</v>
          </cell>
        </row>
        <row r="5003">
          <cell r="L5003" t="str">
            <v>SY110302</v>
          </cell>
          <cell r="M5003" t="str">
            <v>C5973</v>
          </cell>
          <cell r="N5003" t="str">
            <v>Thlath Khrab\ثلاث خراب</v>
          </cell>
        </row>
        <row r="5004">
          <cell r="L5004" t="str">
            <v>SY110302</v>
          </cell>
          <cell r="M5004" t="str">
            <v>C5958</v>
          </cell>
          <cell r="N5004" t="str">
            <v>Wasta \الواسطة</v>
          </cell>
        </row>
        <row r="5005">
          <cell r="L5005" t="str">
            <v>SY110302</v>
          </cell>
          <cell r="M5005" t="str">
            <v>C5982</v>
          </cell>
          <cell r="N5005" t="str">
            <v>Western Jaabar\جعبر غربي</v>
          </cell>
        </row>
        <row r="5006">
          <cell r="L5006" t="str">
            <v>SY110302</v>
          </cell>
          <cell r="M5006" t="str">
            <v>C5956</v>
          </cell>
          <cell r="N5006" t="str">
            <v>Zarijiyet Shams Eldin\زريجية شمس الدين</v>
          </cell>
        </row>
        <row r="5007">
          <cell r="L5007" t="str">
            <v>SY120000</v>
          </cell>
          <cell r="M5007" t="str">
            <v>C5994</v>
          </cell>
          <cell r="N5007" t="str">
            <v>Atman\عتمان</v>
          </cell>
        </row>
        <row r="5008">
          <cell r="L5008" t="str">
            <v>SY120000</v>
          </cell>
          <cell r="M5008" t="str">
            <v>C5993</v>
          </cell>
          <cell r="N5008" t="str">
            <v>Dar'a\درعا</v>
          </cell>
        </row>
        <row r="5009">
          <cell r="L5009" t="str">
            <v>SY120000</v>
          </cell>
          <cell r="M5009" t="str">
            <v>C5998</v>
          </cell>
          <cell r="N5009" t="str">
            <v>Kahil\كحيل</v>
          </cell>
        </row>
        <row r="5010">
          <cell r="L5010" t="str">
            <v>SY120000</v>
          </cell>
          <cell r="M5010" t="str">
            <v>C5999</v>
          </cell>
          <cell r="N5010" t="str">
            <v>Nasib \نصيب</v>
          </cell>
        </row>
        <row r="5011">
          <cell r="L5011" t="str">
            <v>SY120000</v>
          </cell>
          <cell r="M5011" t="str">
            <v>C5997</v>
          </cell>
          <cell r="N5011" t="str">
            <v>Neimeh\النعيمة</v>
          </cell>
        </row>
        <row r="5012">
          <cell r="L5012" t="str">
            <v>SY120000</v>
          </cell>
          <cell r="M5012" t="str">
            <v>C5995</v>
          </cell>
          <cell r="N5012" t="str">
            <v>Sayda\صيدا</v>
          </cell>
        </row>
        <row r="5013">
          <cell r="L5013" t="str">
            <v>SY120000</v>
          </cell>
          <cell r="M5013" t="str">
            <v>C5992</v>
          </cell>
          <cell r="N5013" t="str">
            <v>Tiba\الطيبة</v>
          </cell>
        </row>
        <row r="5014">
          <cell r="L5014" t="str">
            <v>SY120000</v>
          </cell>
          <cell r="M5014" t="str">
            <v>C5996</v>
          </cell>
          <cell r="N5014" t="str">
            <v>Um Elmayathen\أم المياذن</v>
          </cell>
        </row>
        <row r="5015">
          <cell r="L5015" t="str">
            <v>SY120001</v>
          </cell>
          <cell r="M5015" t="str">
            <v>C6006</v>
          </cell>
          <cell r="N5015" t="str">
            <v>Abu Katuleh\أبو كاتولة</v>
          </cell>
        </row>
        <row r="5016">
          <cell r="L5016" t="str">
            <v>SY120001</v>
          </cell>
          <cell r="M5016" t="str">
            <v>C6002</v>
          </cell>
          <cell r="N5016" t="str">
            <v>Busra Esh-Sham\بصرى الشام</v>
          </cell>
        </row>
        <row r="5017">
          <cell r="L5017" t="str">
            <v>SY120001</v>
          </cell>
          <cell r="M5017" t="str">
            <v>C6005</v>
          </cell>
          <cell r="N5017" t="str">
            <v>Jemrine\جمرين</v>
          </cell>
        </row>
        <row r="5018">
          <cell r="L5018" t="str">
            <v>SY120001</v>
          </cell>
          <cell r="M5018" t="str">
            <v>C6008</v>
          </cell>
          <cell r="N5018" t="str">
            <v>Moraba\معربة</v>
          </cell>
        </row>
        <row r="5019">
          <cell r="L5019" t="str">
            <v>SY120001</v>
          </cell>
          <cell r="M5019" t="str">
            <v>C6007</v>
          </cell>
          <cell r="N5019" t="str">
            <v>Nada\ندى</v>
          </cell>
        </row>
        <row r="5020">
          <cell r="L5020" t="str">
            <v>SY120001</v>
          </cell>
          <cell r="M5020" t="str">
            <v>C6003</v>
          </cell>
          <cell r="N5020" t="str">
            <v>Simej\سمج</v>
          </cell>
        </row>
        <row r="5021">
          <cell r="L5021" t="str">
            <v>SY120001</v>
          </cell>
          <cell r="M5021" t="str">
            <v>C6004</v>
          </cell>
          <cell r="N5021" t="str">
            <v>Smad\صماد</v>
          </cell>
        </row>
        <row r="5022">
          <cell r="L5022" t="str">
            <v>SY120001</v>
          </cell>
          <cell r="M5022" t="str">
            <v>C6001</v>
          </cell>
          <cell r="N5022" t="str">
            <v>Smaqiyat\السماقيات</v>
          </cell>
        </row>
        <row r="5023">
          <cell r="L5023" t="str">
            <v>SY120001</v>
          </cell>
          <cell r="M5023" t="str">
            <v>C6000</v>
          </cell>
          <cell r="N5023" t="str">
            <v>Tisiya\طيسيا</v>
          </cell>
        </row>
        <row r="5024">
          <cell r="L5024" t="str">
            <v>SY120002</v>
          </cell>
          <cell r="M5024" t="str">
            <v>C6011</v>
          </cell>
          <cell r="N5024" t="str">
            <v>Alma\علما</v>
          </cell>
        </row>
        <row r="5025">
          <cell r="L5025" t="str">
            <v>SY120002</v>
          </cell>
          <cell r="M5025" t="str">
            <v>C6009</v>
          </cell>
          <cell r="N5025" t="str">
            <v>Eastern Ghariyeh\الغارية الشرقية</v>
          </cell>
        </row>
        <row r="5026">
          <cell r="L5026" t="str">
            <v>SY120002</v>
          </cell>
          <cell r="M5026" t="str">
            <v>C6012</v>
          </cell>
          <cell r="N5026" t="str">
            <v>Kherbet Ghazala\خربة غزالة</v>
          </cell>
        </row>
        <row r="5027">
          <cell r="L5027" t="str">
            <v>SY120002</v>
          </cell>
          <cell r="M5027" t="str">
            <v>C6010</v>
          </cell>
          <cell r="N5027" t="str">
            <v>Western Ghariyeh\الغارية الغريبة</v>
          </cell>
        </row>
        <row r="5028">
          <cell r="L5028" t="str">
            <v>SY120003</v>
          </cell>
          <cell r="M5028" t="str">
            <v>C6023</v>
          </cell>
          <cell r="N5028" t="str">
            <v>Abdin\عابدين</v>
          </cell>
        </row>
        <row r="5029">
          <cell r="L5029" t="str">
            <v>SY120003</v>
          </cell>
          <cell r="M5029" t="str">
            <v>C6020</v>
          </cell>
          <cell r="N5029" t="str">
            <v>Abu Hartein\أبو حارتين</v>
          </cell>
        </row>
        <row r="5030">
          <cell r="L5030" t="str">
            <v>SY120003</v>
          </cell>
          <cell r="M5030" t="str">
            <v>C6017</v>
          </cell>
          <cell r="N5030" t="str">
            <v>Al-Qusayr\القصير</v>
          </cell>
        </row>
        <row r="5031">
          <cell r="L5031" t="str">
            <v>SY120003</v>
          </cell>
          <cell r="M5031" t="str">
            <v>C6016</v>
          </cell>
          <cell r="N5031" t="str">
            <v>Arda\العارضه</v>
          </cell>
        </row>
        <row r="5032">
          <cell r="L5032" t="str">
            <v>SY120003</v>
          </cell>
          <cell r="M5032" t="str">
            <v>C6021</v>
          </cell>
          <cell r="N5032" t="str">
            <v>Ash-Shajara\الشجرة</v>
          </cell>
        </row>
        <row r="5033">
          <cell r="L5033" t="str">
            <v>SY120003</v>
          </cell>
          <cell r="M5033" t="str">
            <v>C6022</v>
          </cell>
          <cell r="N5033" t="str">
            <v>Beit Ara\بيت أرة</v>
          </cell>
        </row>
        <row r="5034">
          <cell r="L5034" t="str">
            <v>SY120003</v>
          </cell>
          <cell r="M5034" t="str">
            <v>C6014</v>
          </cell>
          <cell r="N5034" t="str">
            <v>Ein Thakar\عين ذكر</v>
          </cell>
        </row>
        <row r="5035">
          <cell r="L5035" t="str">
            <v>SY120003</v>
          </cell>
          <cell r="M5035" t="str">
            <v>C6013</v>
          </cell>
          <cell r="N5035" t="str">
            <v>Hit\حيط</v>
          </cell>
        </row>
        <row r="5036">
          <cell r="L5036" t="str">
            <v>SY120003</v>
          </cell>
          <cell r="M5036" t="str">
            <v>C6024</v>
          </cell>
          <cell r="N5036" t="str">
            <v>Jomleh\جملة</v>
          </cell>
        </row>
        <row r="5037">
          <cell r="L5037" t="str">
            <v>SY120003</v>
          </cell>
          <cell r="M5037" t="str">
            <v>C6025</v>
          </cell>
          <cell r="N5037" t="str">
            <v>Koya\كويا</v>
          </cell>
        </row>
        <row r="5038">
          <cell r="L5038" t="str">
            <v>SY120003</v>
          </cell>
          <cell r="M5038" t="str">
            <v>C6015</v>
          </cell>
          <cell r="N5038" t="str">
            <v>Lweiheq\اللويحق</v>
          </cell>
        </row>
        <row r="5039">
          <cell r="L5039" t="str">
            <v>SY120003</v>
          </cell>
          <cell r="M5039" t="str">
            <v>C6029</v>
          </cell>
          <cell r="N5039" t="str">
            <v>Maariya\معرية</v>
          </cell>
        </row>
        <row r="5040">
          <cell r="L5040" t="str">
            <v>SY120003</v>
          </cell>
          <cell r="M5040" t="str">
            <v>C6027</v>
          </cell>
          <cell r="N5040" t="str">
            <v>Manshiyet Koya\منشية كويا</v>
          </cell>
        </row>
        <row r="5041">
          <cell r="L5041" t="str">
            <v>SY120003</v>
          </cell>
          <cell r="M5041" t="str">
            <v>C6026</v>
          </cell>
          <cell r="N5041" t="str">
            <v>Mseitriyeh\مسيرتية</v>
          </cell>
        </row>
        <row r="5042">
          <cell r="L5042" t="str">
            <v>SY120003</v>
          </cell>
          <cell r="M5042" t="str">
            <v>C6028</v>
          </cell>
          <cell r="N5042" t="str">
            <v>Nafeaa\نافعة</v>
          </cell>
        </row>
        <row r="5043">
          <cell r="L5043" t="str">
            <v>SY120003</v>
          </cell>
          <cell r="M5043" t="str">
            <v>C6018</v>
          </cell>
          <cell r="N5043" t="str">
            <v>Sahm El Golan\سحم الجولان</v>
          </cell>
        </row>
        <row r="5044">
          <cell r="L5044" t="str">
            <v>SY120003</v>
          </cell>
          <cell r="M5044" t="str">
            <v>C6019</v>
          </cell>
          <cell r="N5044" t="str">
            <v>Shabraq\الشبرق</v>
          </cell>
        </row>
        <row r="5045">
          <cell r="L5045" t="str">
            <v>SY120004</v>
          </cell>
          <cell r="M5045" t="str">
            <v>C6031</v>
          </cell>
          <cell r="N5045" t="str">
            <v>Abtaa\أبطع</v>
          </cell>
        </row>
        <row r="5046">
          <cell r="L5046" t="str">
            <v>SY120004</v>
          </cell>
          <cell r="M5046" t="str">
            <v>C6030</v>
          </cell>
          <cell r="N5046" t="str">
            <v>Da'el\داعل</v>
          </cell>
        </row>
        <row r="5047">
          <cell r="L5047" t="str">
            <v>SY120005</v>
          </cell>
          <cell r="M5047" t="str">
            <v>C6035</v>
          </cell>
          <cell r="N5047" t="str">
            <v>Ajami\العجمي</v>
          </cell>
        </row>
        <row r="5048">
          <cell r="L5048" t="str">
            <v>SY120005</v>
          </cell>
          <cell r="M5048" t="str">
            <v>C6038</v>
          </cell>
          <cell r="N5048" t="str">
            <v>Jlein\جلين</v>
          </cell>
        </row>
        <row r="5049">
          <cell r="L5049" t="str">
            <v>SY120005</v>
          </cell>
          <cell r="M5049" t="str">
            <v>C6039</v>
          </cell>
          <cell r="N5049" t="str">
            <v>Mzeireb\مزيريب</v>
          </cell>
        </row>
        <row r="5050">
          <cell r="L5050" t="str">
            <v>SY120005</v>
          </cell>
          <cell r="M5050" t="str">
            <v>C6040</v>
          </cell>
          <cell r="N5050" t="str">
            <v>Nahj\نهج</v>
          </cell>
        </row>
        <row r="5051">
          <cell r="L5051" t="str">
            <v>SY120005</v>
          </cell>
          <cell r="M5051" t="str">
            <v>C6036</v>
          </cell>
          <cell r="N5051" t="str">
            <v>Tabriyat\الطبريات</v>
          </cell>
        </row>
        <row r="5052">
          <cell r="L5052" t="str">
            <v>SY120005</v>
          </cell>
          <cell r="M5052" t="str">
            <v>C6034</v>
          </cell>
          <cell r="N5052" t="str">
            <v>Tafs\طفس</v>
          </cell>
        </row>
        <row r="5053">
          <cell r="L5053" t="str">
            <v>SY120005</v>
          </cell>
          <cell r="M5053" t="str">
            <v>C6033</v>
          </cell>
          <cell r="N5053" t="str">
            <v>Tal Shihab\تل شهاب</v>
          </cell>
        </row>
        <row r="5054">
          <cell r="L5054" t="str">
            <v>SY120005</v>
          </cell>
          <cell r="M5054" t="str">
            <v>C6032</v>
          </cell>
          <cell r="N5054" t="str">
            <v>Yadudeh\اليادودة</v>
          </cell>
        </row>
        <row r="5055">
          <cell r="L5055" t="str">
            <v>SY120005</v>
          </cell>
          <cell r="M5055" t="str">
            <v>C6037</v>
          </cell>
          <cell r="N5055" t="str">
            <v>Zayzun\زيزون</v>
          </cell>
        </row>
        <row r="5056">
          <cell r="L5056" t="str">
            <v>SY120006</v>
          </cell>
          <cell r="M5056" t="str">
            <v>C6042</v>
          </cell>
          <cell r="N5056" t="str">
            <v>Ghasm\غصم</v>
          </cell>
        </row>
        <row r="5057">
          <cell r="L5057" t="str">
            <v>SY120006</v>
          </cell>
          <cell r="M5057" t="str">
            <v>C6043</v>
          </cell>
          <cell r="N5057" t="str">
            <v>Jizeh\الجيزة</v>
          </cell>
        </row>
        <row r="5058">
          <cell r="L5058" t="str">
            <v>SY120006</v>
          </cell>
          <cell r="M5058" t="str">
            <v>C6041</v>
          </cell>
          <cell r="N5058" t="str">
            <v>Mataeiyeh\المتاعية</v>
          </cell>
        </row>
        <row r="5059">
          <cell r="L5059" t="str">
            <v>SY120007</v>
          </cell>
          <cell r="M5059" t="str">
            <v>C6047</v>
          </cell>
          <cell r="N5059" t="str">
            <v>Karak\الكرك</v>
          </cell>
        </row>
        <row r="5060">
          <cell r="L5060" t="str">
            <v>SY120007</v>
          </cell>
          <cell r="M5060" t="str">
            <v>C6044</v>
          </cell>
          <cell r="N5060" t="str">
            <v>Mseifra\المسيفرة</v>
          </cell>
        </row>
        <row r="5061">
          <cell r="L5061" t="str">
            <v>SY120007</v>
          </cell>
          <cell r="M5061" t="str">
            <v>C6045</v>
          </cell>
          <cell r="N5061" t="str">
            <v>Sahwa\السهوة</v>
          </cell>
        </row>
        <row r="5062">
          <cell r="L5062" t="str">
            <v>SY120007</v>
          </cell>
          <cell r="M5062" t="str">
            <v>C6046</v>
          </cell>
          <cell r="N5062" t="str">
            <v>Um Walad\أم ولد</v>
          </cell>
        </row>
        <row r="5063">
          <cell r="L5063" t="str">
            <v>SY120200</v>
          </cell>
          <cell r="M5063" t="str">
            <v>C6058</v>
          </cell>
          <cell r="N5063" t="str">
            <v>Ankhal\أنخل</v>
          </cell>
        </row>
        <row r="5064">
          <cell r="L5064" t="str">
            <v>SY120200</v>
          </cell>
          <cell r="M5064" t="str">
            <v>C6051</v>
          </cell>
          <cell r="N5064" t="str">
            <v>As-Sanamayn\الصنمين</v>
          </cell>
        </row>
        <row r="5065">
          <cell r="L5065" t="str">
            <v>SY120200</v>
          </cell>
          <cell r="M5065" t="str">
            <v>C6052</v>
          </cell>
          <cell r="N5065" t="str">
            <v>Barqa\برقة</v>
          </cell>
        </row>
        <row r="5066">
          <cell r="L5066" t="str">
            <v>SY120200</v>
          </cell>
          <cell r="M5066" t="str">
            <v>C6056</v>
          </cell>
          <cell r="N5066" t="str">
            <v>Bsir\بصير</v>
          </cell>
        </row>
        <row r="5067">
          <cell r="L5067" t="str">
            <v>SY120200</v>
          </cell>
          <cell r="M5067" t="str">
            <v>C6054</v>
          </cell>
          <cell r="N5067" t="str">
            <v>Eib\ايب</v>
          </cell>
        </row>
        <row r="5068">
          <cell r="L5068" t="str">
            <v>SY120200</v>
          </cell>
          <cell r="M5068" t="str">
            <v>C6048</v>
          </cell>
          <cell r="N5068" t="str">
            <v>Hara\الحارة</v>
          </cell>
        </row>
        <row r="5069">
          <cell r="L5069" t="str">
            <v>SY120200</v>
          </cell>
          <cell r="M5069" t="str">
            <v>C6059</v>
          </cell>
          <cell r="N5069" t="str">
            <v>Jidya\جديا</v>
          </cell>
        </row>
        <row r="5070">
          <cell r="L5070" t="str">
            <v>SY120200</v>
          </cell>
          <cell r="M5070" t="str">
            <v>C6060</v>
          </cell>
          <cell r="N5070" t="str">
            <v>Jisri\الجسري</v>
          </cell>
        </row>
        <row r="5071">
          <cell r="L5071" t="str">
            <v>SY120200</v>
          </cell>
          <cell r="M5071" t="str">
            <v>C6063</v>
          </cell>
          <cell r="N5071" t="str">
            <v>Kafr Shams\كفر شمس</v>
          </cell>
        </row>
        <row r="5072">
          <cell r="L5072" t="str">
            <v>SY120200</v>
          </cell>
          <cell r="M5072" t="str">
            <v>C6053</v>
          </cell>
          <cell r="N5072" t="str">
            <v>Khebab\خبب</v>
          </cell>
        </row>
        <row r="5073">
          <cell r="L5073" t="str">
            <v>SY120200</v>
          </cell>
          <cell r="M5073" t="str">
            <v>C6078</v>
          </cell>
          <cell r="N5073" t="str">
            <v>Northern Karim\كريم الشمالي</v>
          </cell>
        </row>
        <row r="5074">
          <cell r="L5074" t="str">
            <v>SY120200</v>
          </cell>
          <cell r="M5074" t="str">
            <v>C6050</v>
          </cell>
          <cell r="N5074" t="str">
            <v>Qanniyeh\القنية</v>
          </cell>
        </row>
        <row r="5075">
          <cell r="L5075" t="str">
            <v>SY120200</v>
          </cell>
          <cell r="M5075" t="str">
            <v>C6061</v>
          </cell>
          <cell r="N5075" t="str">
            <v>Qayta\قيطة</v>
          </cell>
        </row>
        <row r="5076">
          <cell r="L5076" t="str">
            <v>SY120200</v>
          </cell>
          <cell r="M5076" t="str">
            <v>C6055</v>
          </cell>
          <cell r="N5076" t="str">
            <v>Samlin\سملين</v>
          </cell>
        </row>
        <row r="5077">
          <cell r="L5077" t="str">
            <v>SY120200</v>
          </cell>
          <cell r="M5077" t="str">
            <v>C6057</v>
          </cell>
          <cell r="N5077" t="str">
            <v>Tabneh\تبنه</v>
          </cell>
        </row>
        <row r="5078">
          <cell r="L5078" t="str">
            <v>SY120200</v>
          </cell>
          <cell r="M5078" t="str">
            <v>C6062</v>
          </cell>
          <cell r="N5078" t="str">
            <v>Western Karim\كريم الجنوبي</v>
          </cell>
        </row>
        <row r="5079">
          <cell r="L5079" t="str">
            <v>SY120200</v>
          </cell>
          <cell r="M5079" t="str">
            <v>C6049</v>
          </cell>
          <cell r="N5079" t="str">
            <v>Zamrin\زمرين</v>
          </cell>
        </row>
        <row r="5080">
          <cell r="L5080" t="str">
            <v>SY120201</v>
          </cell>
          <cell r="M5080" t="str">
            <v>C6075</v>
          </cell>
          <cell r="N5080" t="str">
            <v>Bali\بلي</v>
          </cell>
        </row>
        <row r="5081">
          <cell r="L5081" t="str">
            <v>SY120201</v>
          </cell>
          <cell r="M5081" t="str">
            <v>C6072</v>
          </cell>
          <cell r="N5081" t="str">
            <v>Barraq\براق</v>
          </cell>
        </row>
        <row r="5082">
          <cell r="L5082" t="str">
            <v>SY120201</v>
          </cell>
          <cell r="M5082" t="str">
            <v>C6073</v>
          </cell>
          <cell r="N5082" t="str">
            <v>Bweidan\بويضان</v>
          </cell>
        </row>
        <row r="5083">
          <cell r="L5083" t="str">
            <v>SY120201</v>
          </cell>
          <cell r="M5083" t="str">
            <v>C6077</v>
          </cell>
          <cell r="N5083" t="str">
            <v>Maaret Elbeida\معرة البيضة</v>
          </cell>
        </row>
        <row r="5084">
          <cell r="L5084" t="str">
            <v>SY120201</v>
          </cell>
          <cell r="M5084" t="str">
            <v>C6068</v>
          </cell>
          <cell r="N5084" t="str">
            <v>Masmiyyeh\المسمية</v>
          </cell>
        </row>
        <row r="5085">
          <cell r="L5085" t="str">
            <v>SY120201</v>
          </cell>
          <cell r="M5085" t="str">
            <v>C6065</v>
          </cell>
          <cell r="N5085" t="str">
            <v>Sakra\ساكرة</v>
          </cell>
        </row>
        <row r="5086">
          <cell r="L5086" t="str">
            <v>SY120201</v>
          </cell>
          <cell r="M5086" t="str">
            <v>C6387</v>
          </cell>
          <cell r="N5086" t="str">
            <v>Sateh Zahnan\سطح زهنان</v>
          </cell>
        </row>
        <row r="5087">
          <cell r="L5087" t="str">
            <v>SY120201</v>
          </cell>
          <cell r="M5087" t="str">
            <v>C6067</v>
          </cell>
          <cell r="N5087" t="str">
            <v>Shaara\شعارة</v>
          </cell>
        </row>
        <row r="5088">
          <cell r="L5088" t="str">
            <v>SY120201</v>
          </cell>
          <cell r="M5088" t="str">
            <v>C6069</v>
          </cell>
          <cell r="N5088" t="str">
            <v>Shaqraniyeh\الشقرانية</v>
          </cell>
        </row>
        <row r="5089">
          <cell r="L5089" t="str">
            <v>SY120201</v>
          </cell>
          <cell r="M5089" t="str">
            <v>C6076</v>
          </cell>
          <cell r="N5089" t="str">
            <v>Sharae\الشرائع</v>
          </cell>
        </row>
        <row r="5090">
          <cell r="L5090" t="str">
            <v>SY120201</v>
          </cell>
          <cell r="M5090" t="str">
            <v>C6074</v>
          </cell>
          <cell r="N5090" t="str">
            <v>Sweinmreh\السويمرة</v>
          </cell>
        </row>
        <row r="5091">
          <cell r="L5091" t="str">
            <v>SY120201</v>
          </cell>
          <cell r="M5091" t="str">
            <v>C6070</v>
          </cell>
          <cell r="N5091" t="str">
            <v>Taf\الطف</v>
          </cell>
        </row>
        <row r="5092">
          <cell r="L5092" t="str">
            <v>SY120201</v>
          </cell>
          <cell r="M5092" t="str">
            <v>C6066</v>
          </cell>
          <cell r="N5092" t="str">
            <v>Um Elqosur\أم القصور</v>
          </cell>
        </row>
        <row r="5093">
          <cell r="L5093" t="str">
            <v>SY120201</v>
          </cell>
          <cell r="M5093" t="str">
            <v>C6064</v>
          </cell>
          <cell r="N5093" t="str">
            <v>Zbeidiyeh\الزبيدية</v>
          </cell>
        </row>
        <row r="5094">
          <cell r="L5094" t="str">
            <v>SY120202</v>
          </cell>
          <cell r="M5094" t="str">
            <v>C6084</v>
          </cell>
          <cell r="N5094" t="str">
            <v>Alqin\عالقين</v>
          </cell>
        </row>
        <row r="5095">
          <cell r="L5095" t="str">
            <v>SY120202</v>
          </cell>
          <cell r="M5095" t="str">
            <v>C6079</v>
          </cell>
          <cell r="N5095" t="str">
            <v>Aqraba\عقربا</v>
          </cell>
        </row>
        <row r="5096">
          <cell r="L5096" t="str">
            <v>SY120202</v>
          </cell>
          <cell r="M5096" t="str">
            <v>C6081</v>
          </cell>
          <cell r="N5096" t="str">
            <v>Deir Eladas\دير العدس</v>
          </cell>
        </row>
        <row r="5097">
          <cell r="L5097" t="str">
            <v>SY120202</v>
          </cell>
          <cell r="M5097" t="str">
            <v>C6082</v>
          </cell>
          <cell r="N5097" t="str">
            <v>Deir Elbakht\دير البخت</v>
          </cell>
        </row>
        <row r="5098">
          <cell r="L5098" t="str">
            <v>SY120202</v>
          </cell>
          <cell r="M5098" t="str">
            <v>C6083</v>
          </cell>
          <cell r="N5098" t="str">
            <v>Ghabagheb\غباغب</v>
          </cell>
        </row>
        <row r="5099">
          <cell r="L5099" t="str">
            <v>SY120202</v>
          </cell>
          <cell r="M5099" t="str">
            <v>C6086</v>
          </cell>
          <cell r="N5099" t="str">
            <v>Jbab\جباب</v>
          </cell>
        </row>
        <row r="5100">
          <cell r="L5100" t="str">
            <v>SY120202</v>
          </cell>
          <cell r="M5100" t="str">
            <v>C6089</v>
          </cell>
          <cell r="N5100" t="str">
            <v>Kafr Nassij\كفر ناسج</v>
          </cell>
        </row>
        <row r="5101">
          <cell r="L5101" t="str">
            <v>SY120202</v>
          </cell>
          <cell r="M5101" t="str">
            <v>C6087</v>
          </cell>
          <cell r="N5101" t="str">
            <v>Kammuneh\كمونة</v>
          </cell>
        </row>
        <row r="5102">
          <cell r="L5102" t="str">
            <v>SY120202</v>
          </cell>
          <cell r="M5102" t="str">
            <v>C6080</v>
          </cell>
          <cell r="N5102" t="str">
            <v>Mal\المال</v>
          </cell>
        </row>
        <row r="5103">
          <cell r="L5103" t="str">
            <v>SY120202</v>
          </cell>
          <cell r="M5103" t="str">
            <v>C6091</v>
          </cell>
          <cell r="N5103" t="str">
            <v>Mankat Elhatab\منكت الحطب</v>
          </cell>
        </row>
        <row r="5104">
          <cell r="L5104" t="str">
            <v>SY120202</v>
          </cell>
          <cell r="M5104" t="str">
            <v>C6090</v>
          </cell>
          <cell r="N5104" t="str">
            <v>Manshiyet Elsabil\منشية السبيل</v>
          </cell>
        </row>
        <row r="5105">
          <cell r="L5105" t="str">
            <v>SY120202</v>
          </cell>
          <cell r="M5105" t="str">
            <v>C6088</v>
          </cell>
          <cell r="N5105" t="str">
            <v>Mothabin\موثبين</v>
          </cell>
        </row>
        <row r="5106">
          <cell r="L5106" t="str">
            <v>SY120202</v>
          </cell>
          <cell r="M5106" t="str">
            <v>C6085</v>
          </cell>
          <cell r="N5106" t="str">
            <v>Tiha\الطيحة</v>
          </cell>
        </row>
        <row r="5107">
          <cell r="L5107" t="str">
            <v>SY120300</v>
          </cell>
          <cell r="M5107" t="str">
            <v>C6103</v>
          </cell>
          <cell r="N5107" t="str">
            <v>Asem\عاسم</v>
          </cell>
        </row>
        <row r="5108">
          <cell r="L5108" t="str">
            <v>SY120300</v>
          </cell>
          <cell r="M5108" t="str">
            <v>C6105</v>
          </cell>
          <cell r="N5108" t="str">
            <v>Bisr Elharir\بصرالحرير</v>
          </cell>
        </row>
        <row r="5109">
          <cell r="L5109" t="str">
            <v>SY120300</v>
          </cell>
          <cell r="M5109" t="str">
            <v>C6104</v>
          </cell>
          <cell r="N5109" t="str">
            <v>Bweir\البوير</v>
          </cell>
        </row>
        <row r="5110">
          <cell r="L5110" t="str">
            <v>SY120300</v>
          </cell>
          <cell r="M5110" t="str">
            <v>C6094</v>
          </cell>
          <cell r="N5110" t="str">
            <v>Hamer\حامر</v>
          </cell>
        </row>
        <row r="5111">
          <cell r="L5111" t="str">
            <v>SY120300</v>
          </cell>
          <cell r="M5111" t="str">
            <v>C6101</v>
          </cell>
          <cell r="N5111" t="str">
            <v>Izra'\ازرع</v>
          </cell>
        </row>
        <row r="5112">
          <cell r="L5112" t="str">
            <v>SY120300</v>
          </cell>
          <cell r="M5112" t="str">
            <v>C6096</v>
          </cell>
          <cell r="N5112" t="str">
            <v>Jadal\جدل</v>
          </cell>
        </row>
        <row r="5113">
          <cell r="L5113" t="str">
            <v>SY120300</v>
          </cell>
          <cell r="M5113" t="str">
            <v>C6107</v>
          </cell>
          <cell r="N5113" t="str">
            <v>Mahjeh\محجة</v>
          </cell>
        </row>
        <row r="5114">
          <cell r="L5114" t="str">
            <v>SY120300</v>
          </cell>
          <cell r="M5114" t="str">
            <v>C6097</v>
          </cell>
          <cell r="N5114" t="str">
            <v>Malzumeh\الملزومة</v>
          </cell>
        </row>
        <row r="5115">
          <cell r="L5115" t="str">
            <v>SY120300</v>
          </cell>
          <cell r="M5115" t="str">
            <v>C6110</v>
          </cell>
          <cell r="N5115" t="str">
            <v>Masikeh-Lajat\مسيكة</v>
          </cell>
        </row>
        <row r="5116">
          <cell r="L5116" t="str">
            <v>SY120300</v>
          </cell>
          <cell r="M5116" t="str">
            <v>C6093</v>
          </cell>
          <cell r="N5116" t="str">
            <v>Matleh\المطلة</v>
          </cell>
        </row>
        <row r="5117">
          <cell r="L5117" t="str">
            <v>SY120300</v>
          </cell>
          <cell r="M5117" t="str">
            <v>C6102</v>
          </cell>
          <cell r="N5117" t="str">
            <v>Mjeidel\المجيدل</v>
          </cell>
        </row>
        <row r="5118">
          <cell r="L5118" t="str">
            <v>SY120300</v>
          </cell>
          <cell r="M5118" t="str">
            <v>C6108</v>
          </cell>
          <cell r="N5118" t="str">
            <v>Mlihet Elatash\مليحة العطش</v>
          </cell>
        </row>
        <row r="5119">
          <cell r="L5119" t="str">
            <v>SY120300</v>
          </cell>
          <cell r="M5119" t="str">
            <v>C6100</v>
          </cell>
          <cell r="N5119" t="str">
            <v>Najih\النجيح</v>
          </cell>
        </row>
        <row r="5120">
          <cell r="L5120" t="str">
            <v>SY120300</v>
          </cell>
          <cell r="M5120" t="str">
            <v>C6109</v>
          </cell>
          <cell r="N5120" t="str">
            <v>Qirata\قيراطة</v>
          </cell>
        </row>
        <row r="5121">
          <cell r="L5121" t="str">
            <v>SY120300</v>
          </cell>
          <cell r="M5121" t="str">
            <v>C6092</v>
          </cell>
          <cell r="N5121" t="str">
            <v>Rweisat\رويسات</v>
          </cell>
        </row>
        <row r="5122">
          <cell r="L5122" t="str">
            <v>SY120300</v>
          </cell>
          <cell r="M5122" t="str">
            <v>C6099</v>
          </cell>
          <cell r="N5122" t="str">
            <v>Shaqra\شقرا</v>
          </cell>
        </row>
        <row r="5123">
          <cell r="L5123" t="str">
            <v>SY120300</v>
          </cell>
          <cell r="M5123" t="str">
            <v>C6098</v>
          </cell>
          <cell r="N5123" t="str">
            <v>Sur\صور</v>
          </cell>
        </row>
        <row r="5124">
          <cell r="L5124" t="str">
            <v>SY120300</v>
          </cell>
          <cell r="M5124" t="str">
            <v>C6106</v>
          </cell>
          <cell r="N5124" t="str">
            <v>Wrad\الوراد</v>
          </cell>
        </row>
        <row r="5125">
          <cell r="L5125" t="str">
            <v>SY120300</v>
          </cell>
          <cell r="M5125" t="str">
            <v>C6095</v>
          </cell>
          <cell r="N5125" t="str">
            <v>Zabayer\الزباير</v>
          </cell>
        </row>
        <row r="5126">
          <cell r="L5126" t="str">
            <v>SY120301</v>
          </cell>
          <cell r="M5126" t="str">
            <v>C6111</v>
          </cell>
          <cell r="N5126" t="str">
            <v>Jasim\جاسم</v>
          </cell>
        </row>
        <row r="5127">
          <cell r="L5127" t="str">
            <v>SY120301</v>
          </cell>
          <cell r="M5127" t="str">
            <v>C6112</v>
          </cell>
          <cell r="N5127" t="str">
            <v>Nimer\نمر</v>
          </cell>
        </row>
        <row r="5128">
          <cell r="L5128" t="str">
            <v>SY120302</v>
          </cell>
          <cell r="M5128" t="str">
            <v>C6117</v>
          </cell>
          <cell r="N5128" t="str">
            <v>Eastern Maliha\المليحة الشرقية</v>
          </cell>
        </row>
        <row r="5129">
          <cell r="L5129" t="str">
            <v>SY120302</v>
          </cell>
          <cell r="M5129" t="str">
            <v>C6116</v>
          </cell>
          <cell r="N5129" t="str">
            <v>Hrak\الحراك</v>
          </cell>
        </row>
        <row r="5130">
          <cell r="L5130" t="str">
            <v>SY120302</v>
          </cell>
          <cell r="M5130" t="str">
            <v>C6118</v>
          </cell>
          <cell r="N5130" t="str">
            <v>Nahta\ناحتة</v>
          </cell>
        </row>
        <row r="5131">
          <cell r="L5131" t="str">
            <v>SY120302</v>
          </cell>
          <cell r="M5131" t="str">
            <v>C6113</v>
          </cell>
          <cell r="N5131" t="str">
            <v>Rikhim\رخم</v>
          </cell>
        </row>
        <row r="5132">
          <cell r="L5132" t="str">
            <v>SY120302</v>
          </cell>
          <cell r="M5132" t="str">
            <v>C6115</v>
          </cell>
          <cell r="N5132" t="str">
            <v>Sura\الصورة</v>
          </cell>
        </row>
        <row r="5133">
          <cell r="L5133" t="str">
            <v>SY120302</v>
          </cell>
          <cell r="M5133" t="str">
            <v>C6114</v>
          </cell>
          <cell r="N5133" t="str">
            <v>Western Maliha\المليحة الغربية</v>
          </cell>
        </row>
        <row r="5134">
          <cell r="L5134" t="str">
            <v>SY120303</v>
          </cell>
          <cell r="M5134" t="str">
            <v>C6119</v>
          </cell>
          <cell r="N5134" t="str">
            <v>Edwan\عدوان</v>
          </cell>
        </row>
        <row r="5135">
          <cell r="L5135" t="str">
            <v>SY120303</v>
          </cell>
          <cell r="M5135" t="str">
            <v>C6121</v>
          </cell>
          <cell r="N5135" t="str">
            <v>Jabaliyeh\الجبيلية</v>
          </cell>
        </row>
        <row r="5136">
          <cell r="L5136" t="str">
            <v>SY120303</v>
          </cell>
          <cell r="M5136" t="str">
            <v>C6123</v>
          </cell>
          <cell r="N5136" t="str">
            <v>Nasriyeh\الناصرية</v>
          </cell>
        </row>
        <row r="5137">
          <cell r="L5137" t="str">
            <v>SY120303</v>
          </cell>
          <cell r="M5137" t="str">
            <v>C6124</v>
          </cell>
          <cell r="N5137" t="str">
            <v>Nawa\نوى</v>
          </cell>
        </row>
        <row r="5138">
          <cell r="L5138" t="str">
            <v>SY120303</v>
          </cell>
          <cell r="M5138" t="str">
            <v>C6120</v>
          </cell>
          <cell r="N5138" t="str">
            <v>Sheikh Saed\الشيخ سعد</v>
          </cell>
        </row>
        <row r="5139">
          <cell r="L5139" t="str">
            <v>SY120303</v>
          </cell>
          <cell r="M5139" t="str">
            <v>C6122</v>
          </cell>
          <cell r="N5139" t="str">
            <v>Sokkariyeh\السكرية</v>
          </cell>
        </row>
        <row r="5140">
          <cell r="L5140" t="str">
            <v>SY120304</v>
          </cell>
          <cell r="M5140" t="str">
            <v>C6125</v>
          </cell>
          <cell r="N5140" t="str">
            <v>Dali\الدلي</v>
          </cell>
        </row>
        <row r="5141">
          <cell r="L5141" t="str">
            <v>SY120304</v>
          </cell>
          <cell r="M5141" t="str">
            <v>C6127</v>
          </cell>
          <cell r="N5141" t="str">
            <v>Faqie\الفقيع</v>
          </cell>
        </row>
        <row r="5142">
          <cell r="L5142" t="str">
            <v>SY120304</v>
          </cell>
          <cell r="M5142" t="str">
            <v>C6129</v>
          </cell>
          <cell r="N5142" t="str">
            <v>Namer\نامر</v>
          </cell>
        </row>
        <row r="5143">
          <cell r="L5143" t="str">
            <v>SY120304</v>
          </cell>
          <cell r="M5143" t="str">
            <v>C6130</v>
          </cell>
          <cell r="N5143" t="str">
            <v>Qarfa\قرفا</v>
          </cell>
        </row>
        <row r="5144">
          <cell r="L5144" t="str">
            <v>SY120304</v>
          </cell>
          <cell r="M5144" t="str">
            <v>C6126</v>
          </cell>
          <cell r="N5144" t="str">
            <v>Sheikh Miskine\الشيخ مسكين</v>
          </cell>
        </row>
        <row r="5145">
          <cell r="L5145" t="str">
            <v>SY120304</v>
          </cell>
          <cell r="M5145" t="str">
            <v>C6128</v>
          </cell>
          <cell r="N5145" t="str">
            <v>Sheiliyeh\السحيلية</v>
          </cell>
        </row>
        <row r="5146">
          <cell r="L5146" t="str">
            <v>SY120305</v>
          </cell>
          <cell r="M5146" t="str">
            <v>C6132</v>
          </cell>
          <cell r="N5146" t="str">
            <v>Bekar\البكار</v>
          </cell>
        </row>
        <row r="5147">
          <cell r="L5147" t="str">
            <v>SY120305</v>
          </cell>
          <cell r="M5147" t="str">
            <v>C6133</v>
          </cell>
          <cell r="N5147" t="str">
            <v>Eastern Bekar\البكار شرقي</v>
          </cell>
        </row>
        <row r="5148">
          <cell r="L5148" t="str">
            <v>SY120305</v>
          </cell>
          <cell r="M5148" t="str">
            <v>C6131</v>
          </cell>
          <cell r="N5148" t="str">
            <v>Tassil\تسيل</v>
          </cell>
        </row>
        <row r="5149">
          <cell r="L5149" t="str">
            <v>SY130000</v>
          </cell>
          <cell r="M5149" t="str">
            <v>C6142</v>
          </cell>
          <cell r="N5149" t="str">
            <v>Aslaha\الاصلحا</v>
          </cell>
        </row>
        <row r="5150">
          <cell r="L5150" t="str">
            <v>SY130000</v>
          </cell>
          <cell r="M5150" t="str">
            <v>C6147</v>
          </cell>
          <cell r="N5150" t="str">
            <v>As-Sweida\السويداء</v>
          </cell>
        </row>
        <row r="5151">
          <cell r="L5151" t="str">
            <v>SY130000</v>
          </cell>
          <cell r="M5151" t="str">
            <v>C6145</v>
          </cell>
          <cell r="N5151" t="str">
            <v>Atil\عتيل</v>
          </cell>
        </row>
        <row r="5152">
          <cell r="L5152" t="str">
            <v>SY130000</v>
          </cell>
          <cell r="M5152" t="str">
            <v>C6135</v>
          </cell>
          <cell r="N5152" t="str">
            <v>Dara\الدارة</v>
          </cell>
        </row>
        <row r="5153">
          <cell r="L5153" t="str">
            <v>SY130000</v>
          </cell>
          <cell r="M5153" t="str">
            <v>C6149</v>
          </cell>
          <cell r="N5153" t="str">
            <v>Habrab\حبران</v>
          </cell>
        </row>
        <row r="5154">
          <cell r="L5154" t="str">
            <v>SY130000</v>
          </cell>
          <cell r="M5154" t="str">
            <v>C6136</v>
          </cell>
          <cell r="N5154" t="str">
            <v>Jbib\جبيب</v>
          </cell>
        </row>
        <row r="5155">
          <cell r="L5155" t="str">
            <v>SY130000</v>
          </cell>
          <cell r="M5155" t="str">
            <v>C6143</v>
          </cell>
          <cell r="N5155" t="str">
            <v>Kafr\الكفر</v>
          </cell>
        </row>
        <row r="5156">
          <cell r="L5156" t="str">
            <v>SY130000</v>
          </cell>
          <cell r="M5156" t="str">
            <v>C6158</v>
          </cell>
          <cell r="N5156" t="str">
            <v>Kafr Ellahaf\كفر اللحف</v>
          </cell>
        </row>
        <row r="5157">
          <cell r="L5157" t="str">
            <v>SY130000</v>
          </cell>
          <cell r="M5157" t="str">
            <v>C6155</v>
          </cell>
          <cell r="N5157" t="str">
            <v>Kanaker\كناكر</v>
          </cell>
        </row>
        <row r="5158">
          <cell r="L5158" t="str">
            <v>SY130000</v>
          </cell>
          <cell r="M5158" t="str">
            <v>C6150</v>
          </cell>
          <cell r="N5158" t="str">
            <v>Kherba\خربا</v>
          </cell>
        </row>
        <row r="5159">
          <cell r="L5159" t="str">
            <v>SY130000</v>
          </cell>
          <cell r="M5159" t="str">
            <v>C6153</v>
          </cell>
          <cell r="N5159" t="str">
            <v>Mafaala\مفعلة</v>
          </cell>
        </row>
        <row r="5160">
          <cell r="L5160" t="str">
            <v>SY130000</v>
          </cell>
          <cell r="M5160" t="str">
            <v>C6156</v>
          </cell>
          <cell r="N5160" t="str">
            <v>Masad\مصاد</v>
          </cell>
        </row>
        <row r="5161">
          <cell r="L5161" t="str">
            <v>SY130000</v>
          </cell>
          <cell r="M5161" t="str">
            <v>C6157</v>
          </cell>
          <cell r="N5161" t="str">
            <v>Mayamas\مياماس</v>
          </cell>
        </row>
        <row r="5162">
          <cell r="L5162" t="str">
            <v>SY130000</v>
          </cell>
          <cell r="M5162" t="str">
            <v>C6134</v>
          </cell>
          <cell r="N5162" t="str">
            <v>Mjeimer\المجيمر</v>
          </cell>
        </row>
        <row r="5163">
          <cell r="L5163" t="str">
            <v>SY130000</v>
          </cell>
          <cell r="M5163" t="str">
            <v>C6138</v>
          </cell>
          <cell r="N5163" t="str">
            <v>Ora\عرى</v>
          </cell>
        </row>
        <row r="5164">
          <cell r="L5164" t="str">
            <v>SY130000</v>
          </cell>
          <cell r="M5164" t="str">
            <v>C6154</v>
          </cell>
          <cell r="N5164" t="str">
            <v>Qanawat\قنوات</v>
          </cell>
        </row>
        <row r="5165">
          <cell r="L5165" t="str">
            <v>SY130000</v>
          </cell>
          <cell r="M5165" t="str">
            <v>C6141</v>
          </cell>
          <cell r="N5165" t="str">
            <v>Raha\الرحى</v>
          </cell>
        </row>
        <row r="5166">
          <cell r="L5166" t="str">
            <v>SY130000</v>
          </cell>
          <cell r="M5166" t="str">
            <v>C6146</v>
          </cell>
          <cell r="N5166" t="str">
            <v>Rassas\رساس</v>
          </cell>
        </row>
        <row r="5167">
          <cell r="L5167" t="str">
            <v>SY130000</v>
          </cell>
          <cell r="M5167" t="str">
            <v>C6148</v>
          </cell>
          <cell r="N5167" t="str">
            <v>Rima Hazem\ريمة حازم</v>
          </cell>
        </row>
        <row r="5168">
          <cell r="L5168" t="str">
            <v>SY130000</v>
          </cell>
          <cell r="M5168" t="str">
            <v>C6144</v>
          </cell>
          <cell r="N5168" t="str">
            <v>Sahwet Balata\سهوة بلاطة</v>
          </cell>
        </row>
        <row r="5169">
          <cell r="L5169" t="str">
            <v>SY130000</v>
          </cell>
          <cell r="M5169" t="str">
            <v>C6139</v>
          </cell>
          <cell r="N5169" t="str">
            <v>Sahwet Elkhodar\سهوة الخضر</v>
          </cell>
        </row>
        <row r="5170">
          <cell r="L5170" t="str">
            <v>SY130000</v>
          </cell>
          <cell r="M5170" t="str">
            <v>C6151</v>
          </cell>
          <cell r="N5170" t="str">
            <v>Sakaka\السكاكة</v>
          </cell>
        </row>
        <row r="5171">
          <cell r="L5171" t="str">
            <v>SY130000</v>
          </cell>
          <cell r="M5171" t="str">
            <v>C6137</v>
          </cell>
          <cell r="N5171" t="str">
            <v>Salim\سليم</v>
          </cell>
        </row>
        <row r="5172">
          <cell r="L5172" t="str">
            <v>SY130000</v>
          </cell>
          <cell r="M5172" t="str">
            <v>C6140</v>
          </cell>
          <cell r="N5172" t="str">
            <v>Thaala\الثعلة</v>
          </cell>
        </row>
        <row r="5173">
          <cell r="L5173" t="str">
            <v>SY130000</v>
          </cell>
          <cell r="M5173" t="str">
            <v>C6152</v>
          </cell>
          <cell r="N5173" t="str">
            <v>Walgha\ولغا</v>
          </cell>
        </row>
        <row r="5174">
          <cell r="L5174" t="str">
            <v>SY130001</v>
          </cell>
          <cell r="M5174" t="str">
            <v>C6160</v>
          </cell>
          <cell r="N5174" t="str">
            <v>Dor\الدور</v>
          </cell>
        </row>
        <row r="5175">
          <cell r="L5175" t="str">
            <v>SY130001</v>
          </cell>
          <cell r="M5175" t="str">
            <v>C6163</v>
          </cell>
          <cell r="N5175" t="str">
            <v>Dweira\الدويرة</v>
          </cell>
        </row>
        <row r="5176">
          <cell r="L5176" t="str">
            <v>SY130001</v>
          </cell>
          <cell r="M5176" t="str">
            <v>C6167</v>
          </cell>
          <cell r="N5176" t="str">
            <v>Jidya\جديا</v>
          </cell>
        </row>
        <row r="5177">
          <cell r="L5177" t="str">
            <v>SY130001</v>
          </cell>
          <cell r="M5177" t="str">
            <v>C6165</v>
          </cell>
          <cell r="N5177" t="str">
            <v>Majdal 6\المجدل 6</v>
          </cell>
        </row>
        <row r="5178">
          <cell r="L5178" t="str">
            <v>SY130001</v>
          </cell>
          <cell r="M5178" t="str">
            <v>C6164</v>
          </cell>
          <cell r="N5178" t="str">
            <v>Mazra'a - Sijn\المزرعة_السجن</v>
          </cell>
        </row>
        <row r="5179">
          <cell r="L5179" t="str">
            <v>SY130001</v>
          </cell>
          <cell r="M5179" t="str">
            <v>C6168</v>
          </cell>
          <cell r="N5179" t="str">
            <v>Najran\نجران</v>
          </cell>
        </row>
        <row r="5180">
          <cell r="L5180" t="str">
            <v>SY130001</v>
          </cell>
          <cell r="M5180" t="str">
            <v>C6169</v>
          </cell>
          <cell r="N5180" t="str">
            <v>Qarrasa\قراصة</v>
          </cell>
        </row>
        <row r="5181">
          <cell r="L5181" t="str">
            <v>SY130001</v>
          </cell>
          <cell r="M5181" t="str">
            <v>C6159</v>
          </cell>
          <cell r="N5181" t="str">
            <v>Rima Ellahf\ريمة اللحف</v>
          </cell>
        </row>
        <row r="5182">
          <cell r="L5182" t="str">
            <v>SY130001</v>
          </cell>
          <cell r="M5182" t="str">
            <v>C6162</v>
          </cell>
          <cell r="N5182" t="str">
            <v>Samie\سميع</v>
          </cell>
        </row>
        <row r="5183">
          <cell r="L5183" t="str">
            <v>SY130001</v>
          </cell>
          <cell r="M5183" t="str">
            <v>C6166</v>
          </cell>
          <cell r="N5183" t="str">
            <v>Taara\تعارة</v>
          </cell>
        </row>
        <row r="5184">
          <cell r="L5184" t="str">
            <v>SY130001</v>
          </cell>
          <cell r="M5184" t="str">
            <v>C6161</v>
          </cell>
          <cell r="N5184" t="str">
            <v>Tira\الطيرة</v>
          </cell>
        </row>
        <row r="5185">
          <cell r="L5185" t="str">
            <v>SY130002</v>
          </cell>
          <cell r="M5185" t="str">
            <v>C6179</v>
          </cell>
          <cell r="N5185" t="str">
            <v>Bosan\بوسان</v>
          </cell>
        </row>
        <row r="5186">
          <cell r="L5186" t="str">
            <v>SY130002</v>
          </cell>
          <cell r="M5186" t="str">
            <v>C6183</v>
          </cell>
          <cell r="N5186" t="str">
            <v>Gheida\الغيضة</v>
          </cell>
        </row>
        <row r="5187">
          <cell r="L5187" t="str">
            <v>SY130002</v>
          </cell>
          <cell r="M5187" t="str">
            <v>C6176</v>
          </cell>
          <cell r="N5187" t="str">
            <v>Kassib\الكسيب</v>
          </cell>
        </row>
        <row r="5188">
          <cell r="L5188" t="str">
            <v>SY130002</v>
          </cell>
          <cell r="M5188" t="str">
            <v>C6172</v>
          </cell>
          <cell r="N5188" t="str">
            <v>Mashnaf\المشنف</v>
          </cell>
        </row>
        <row r="5189">
          <cell r="L5189" t="str">
            <v>SY130002</v>
          </cell>
          <cell r="M5189" t="str">
            <v>C6174</v>
          </cell>
          <cell r="N5189" t="str">
            <v>Ojeilat\العجيلات</v>
          </cell>
        </row>
        <row r="5190">
          <cell r="L5190" t="str">
            <v>SY130002</v>
          </cell>
          <cell r="M5190" t="str">
            <v>C6173</v>
          </cell>
          <cell r="N5190" t="str">
            <v>Rami\رامي</v>
          </cell>
        </row>
        <row r="5191">
          <cell r="L5191" t="str">
            <v>SY130002</v>
          </cell>
          <cell r="M5191" t="str">
            <v>C6182</v>
          </cell>
          <cell r="N5191" t="str">
            <v>Rashideh\الرشيدة</v>
          </cell>
        </row>
        <row r="5192">
          <cell r="L5192" t="str">
            <v>SY130002</v>
          </cell>
          <cell r="M5192" t="str">
            <v>C6178</v>
          </cell>
          <cell r="N5192" t="str">
            <v>Saana\السعنا</v>
          </cell>
        </row>
        <row r="5193">
          <cell r="L5193" t="str">
            <v>SY130002</v>
          </cell>
          <cell r="M5193" t="str">
            <v>C6177</v>
          </cell>
          <cell r="N5193" t="str">
            <v>Sala\سالة</v>
          </cell>
        </row>
        <row r="5194">
          <cell r="L5194" t="str">
            <v>SY130002</v>
          </cell>
          <cell r="M5194" t="str">
            <v>C6181</v>
          </cell>
          <cell r="N5194" t="str">
            <v>Shabki\الشبكي</v>
          </cell>
        </row>
        <row r="5195">
          <cell r="L5195" t="str">
            <v>SY130002</v>
          </cell>
          <cell r="M5195" t="str">
            <v>C6171</v>
          </cell>
          <cell r="N5195" t="str">
            <v>Shrehi\الشريحي</v>
          </cell>
        </row>
        <row r="5196">
          <cell r="L5196" t="str">
            <v>SY130002</v>
          </cell>
          <cell r="M5196" t="str">
            <v>C6175</v>
          </cell>
          <cell r="N5196" t="str">
            <v>Tarba\طربا</v>
          </cell>
        </row>
        <row r="5197">
          <cell r="L5197" t="str">
            <v>SY130002</v>
          </cell>
          <cell r="M5197" t="str">
            <v>C6170</v>
          </cell>
          <cell r="N5197" t="str">
            <v>Tiba\الطيبة</v>
          </cell>
        </row>
        <row r="5198">
          <cell r="L5198" t="str">
            <v>SY130002</v>
          </cell>
          <cell r="M5198" t="str">
            <v>C6180</v>
          </cell>
          <cell r="N5198" t="str">
            <v>Um Riwaq\أم رواق</v>
          </cell>
        </row>
        <row r="5199">
          <cell r="L5199" t="str">
            <v>SY130200</v>
          </cell>
          <cell r="M5199" t="str">
            <v>C6189</v>
          </cell>
          <cell r="N5199" t="str">
            <v>Amtan\امتان</v>
          </cell>
        </row>
        <row r="5200">
          <cell r="L5200" t="str">
            <v>SY130200</v>
          </cell>
          <cell r="M5200" t="str">
            <v>C6191</v>
          </cell>
          <cell r="N5200" t="str">
            <v>Anat\العانات</v>
          </cell>
        </row>
        <row r="5201">
          <cell r="L5201" t="str">
            <v>SY130200</v>
          </cell>
          <cell r="M5201" t="str">
            <v>C6186</v>
          </cell>
          <cell r="N5201" t="str">
            <v>Arman\عرمان</v>
          </cell>
        </row>
        <row r="5202">
          <cell r="L5202" t="str">
            <v>SY130200</v>
          </cell>
          <cell r="M5202" t="str">
            <v>C6185</v>
          </cell>
          <cell r="N5202" t="str">
            <v>Karbes\الكاربس</v>
          </cell>
        </row>
        <row r="5203">
          <cell r="L5203" t="str">
            <v>SY130200</v>
          </cell>
          <cell r="M5203" t="str">
            <v>C6195</v>
          </cell>
          <cell r="N5203" t="str">
            <v>Mashquq\المشقوق</v>
          </cell>
        </row>
        <row r="5204">
          <cell r="L5204" t="str">
            <v>SY130200</v>
          </cell>
          <cell r="M5204" t="str">
            <v>C6192</v>
          </cell>
          <cell r="N5204" t="str">
            <v>Mneithreh\المنيذرة</v>
          </cell>
        </row>
        <row r="5205">
          <cell r="L5205" t="str">
            <v>SY130200</v>
          </cell>
          <cell r="M5205" t="str">
            <v>C6187</v>
          </cell>
          <cell r="N5205" t="str">
            <v>Os\عوس</v>
          </cell>
        </row>
        <row r="5206">
          <cell r="L5206" t="str">
            <v>SY130200</v>
          </cell>
          <cell r="M5206" t="str">
            <v>C6193</v>
          </cell>
          <cell r="N5206" t="str">
            <v>Oyun\عيون</v>
          </cell>
        </row>
        <row r="5207">
          <cell r="L5207" t="str">
            <v>SY130200</v>
          </cell>
          <cell r="M5207" t="str">
            <v>C6190</v>
          </cell>
          <cell r="N5207" t="str">
            <v>Rafqa\الرافقة</v>
          </cell>
        </row>
        <row r="5208">
          <cell r="L5208" t="str">
            <v>SY130200</v>
          </cell>
          <cell r="M5208" t="str">
            <v>C6184</v>
          </cell>
          <cell r="N5208" t="str">
            <v>Salkhad\صلخد</v>
          </cell>
        </row>
        <row r="5209">
          <cell r="L5209" t="str">
            <v>SY130200</v>
          </cell>
          <cell r="M5209" t="str">
            <v>C6188</v>
          </cell>
          <cell r="N5209" t="str">
            <v>Sama Elbardan\صما البردان</v>
          </cell>
        </row>
        <row r="5210">
          <cell r="L5210" t="str">
            <v>SY130200</v>
          </cell>
          <cell r="M5210" t="str">
            <v>C6196</v>
          </cell>
          <cell r="N5210" t="str">
            <v>Shannireh\شنيرة</v>
          </cell>
        </row>
        <row r="5211">
          <cell r="L5211" t="str">
            <v>SY130200</v>
          </cell>
          <cell r="M5211" t="str">
            <v>C6194</v>
          </cell>
          <cell r="N5211" t="str">
            <v>Tahula\تحولا</v>
          </cell>
        </row>
        <row r="5212">
          <cell r="L5212" t="str">
            <v>SY130201</v>
          </cell>
          <cell r="M5212" t="str">
            <v>C6198</v>
          </cell>
          <cell r="N5212" t="str">
            <v>Afineh\العفينة</v>
          </cell>
        </row>
        <row r="5213">
          <cell r="L5213" t="str">
            <v>SY130201</v>
          </cell>
          <cell r="M5213" t="str">
            <v>C6197</v>
          </cell>
          <cell r="N5213" t="str">
            <v>Barad\برد</v>
          </cell>
        </row>
        <row r="5214">
          <cell r="L5214" t="str">
            <v>SY130201</v>
          </cell>
          <cell r="M5214" t="str">
            <v>C6199</v>
          </cell>
          <cell r="N5214" t="str">
            <v>Hota\حوط</v>
          </cell>
        </row>
        <row r="5215">
          <cell r="L5215" t="str">
            <v>SY130201</v>
          </cell>
          <cell r="M5215" t="str">
            <v>C6200</v>
          </cell>
          <cell r="N5215" t="str">
            <v>Qarayya\القريا</v>
          </cell>
        </row>
        <row r="5216">
          <cell r="L5216" t="str">
            <v>SY130202</v>
          </cell>
          <cell r="M5216" t="str">
            <v>C6202</v>
          </cell>
          <cell r="N5216" t="str">
            <v>Anz\عنز</v>
          </cell>
        </row>
        <row r="5217">
          <cell r="L5217" t="str">
            <v>SY130202</v>
          </cell>
          <cell r="M5217" t="str">
            <v>C6201</v>
          </cell>
          <cell r="N5217" t="str">
            <v>Gharyeh\الغارية</v>
          </cell>
        </row>
        <row r="5218">
          <cell r="L5218" t="str">
            <v>SY130202</v>
          </cell>
          <cell r="M5218" t="str">
            <v>C6203</v>
          </cell>
          <cell r="N5218" t="str">
            <v>Kherbet Awad\خربة عواد</v>
          </cell>
        </row>
        <row r="5219">
          <cell r="L5219" t="str">
            <v>SY130202</v>
          </cell>
          <cell r="M5219" t="str">
            <v>C6204</v>
          </cell>
          <cell r="N5219" t="str">
            <v>Maghir\المغير</v>
          </cell>
        </row>
        <row r="5220">
          <cell r="L5220" t="str">
            <v>SY130203</v>
          </cell>
          <cell r="M5220" t="str">
            <v>C6206</v>
          </cell>
          <cell r="N5220" t="str">
            <v>Baka\بكا</v>
          </cell>
        </row>
        <row r="5221">
          <cell r="L5221" t="str">
            <v>SY130203</v>
          </cell>
          <cell r="M5221" t="str">
            <v>C6205</v>
          </cell>
          <cell r="N5221" t="str">
            <v>Thibeen\ذيبين</v>
          </cell>
        </row>
        <row r="5222">
          <cell r="L5222" t="str">
            <v>SY130203</v>
          </cell>
          <cell r="M5222" t="str">
            <v>C6207</v>
          </cell>
          <cell r="N5222" t="str">
            <v>Um Elrumman\أم الرمان</v>
          </cell>
        </row>
        <row r="5223">
          <cell r="L5223" t="str">
            <v>SY130204</v>
          </cell>
          <cell r="M5223" t="str">
            <v>C6212</v>
          </cell>
          <cell r="N5223" t="str">
            <v>Abu Zreik\أبو زريق</v>
          </cell>
        </row>
        <row r="5224">
          <cell r="L5224" t="str">
            <v>SY130204</v>
          </cell>
          <cell r="M5224" t="str">
            <v>C6213</v>
          </cell>
          <cell r="N5224" t="str">
            <v>Behem\بهم</v>
          </cell>
        </row>
        <row r="5225">
          <cell r="L5225" t="str">
            <v>SY130204</v>
          </cell>
          <cell r="M5225" t="str">
            <v>C6209</v>
          </cell>
          <cell r="N5225" t="str">
            <v>Hoya\الهويا</v>
          </cell>
        </row>
        <row r="5226">
          <cell r="L5226" t="str">
            <v>SY130204</v>
          </cell>
          <cell r="M5226" t="str">
            <v>C6215</v>
          </cell>
          <cell r="N5226" t="str">
            <v>Hreiseh\الحريسة</v>
          </cell>
        </row>
        <row r="5227">
          <cell r="L5227" t="str">
            <v>SY130204</v>
          </cell>
          <cell r="M5227" t="str">
            <v>C6211</v>
          </cell>
          <cell r="N5227" t="str">
            <v>Khazmeh\خازمة</v>
          </cell>
        </row>
        <row r="5228">
          <cell r="L5228" t="str">
            <v>SY130204</v>
          </cell>
          <cell r="M5228" t="str">
            <v>C6219</v>
          </cell>
          <cell r="N5228" t="str">
            <v>Milh\ملح</v>
          </cell>
        </row>
        <row r="5229">
          <cell r="L5229" t="str">
            <v>SY130204</v>
          </cell>
          <cell r="M5229" t="str">
            <v>C6218</v>
          </cell>
          <cell r="N5229" t="str">
            <v>Qaysama\قيصما</v>
          </cell>
        </row>
        <row r="5230">
          <cell r="L5230" t="str">
            <v>SY130204</v>
          </cell>
          <cell r="M5230" t="str">
            <v>C6217</v>
          </cell>
          <cell r="N5230" t="str">
            <v>Shaaf\شعف</v>
          </cell>
        </row>
        <row r="5231">
          <cell r="L5231" t="str">
            <v>SY130204</v>
          </cell>
          <cell r="M5231" t="str">
            <v>C6208</v>
          </cell>
          <cell r="N5231" t="str">
            <v>Sheab\الشعاب</v>
          </cell>
        </row>
        <row r="5232">
          <cell r="L5232" t="str">
            <v>SY130204</v>
          </cell>
          <cell r="M5232" t="str">
            <v>C6216</v>
          </cell>
          <cell r="N5232" t="str">
            <v>Tal Elloz\تل اللوز</v>
          </cell>
        </row>
        <row r="5233">
          <cell r="L5233" t="str">
            <v>SY130204</v>
          </cell>
          <cell r="M5233" t="str">
            <v>C6214</v>
          </cell>
          <cell r="N5233" t="str">
            <v>Tleilin\طليلين</v>
          </cell>
        </row>
        <row r="5234">
          <cell r="L5234" t="str">
            <v>SY130204</v>
          </cell>
          <cell r="M5234" t="str">
            <v>C6210</v>
          </cell>
          <cell r="N5234" t="str">
            <v>Um Shama\أم شامة</v>
          </cell>
        </row>
        <row r="5235">
          <cell r="L5235" t="str">
            <v>SY130300</v>
          </cell>
          <cell r="M5235" t="str">
            <v>C6224</v>
          </cell>
          <cell r="N5235" t="str">
            <v>Amra\عمرة</v>
          </cell>
        </row>
        <row r="5236">
          <cell r="L5236" t="str">
            <v>SY130300</v>
          </cell>
          <cell r="M5236" t="str">
            <v>C6220</v>
          </cell>
          <cell r="N5236" t="str">
            <v>Breika\بريكة</v>
          </cell>
        </row>
        <row r="5237">
          <cell r="L5237" t="str">
            <v>SY130300</v>
          </cell>
          <cell r="M5237" t="str">
            <v>C6230</v>
          </cell>
          <cell r="N5237" t="str">
            <v>Majadel\مجادل</v>
          </cell>
        </row>
        <row r="5238">
          <cell r="L5238" t="str">
            <v>SY130300</v>
          </cell>
          <cell r="M5238" t="str">
            <v>C6229</v>
          </cell>
          <cell r="N5238" t="str">
            <v>Mardak\مردك</v>
          </cell>
        </row>
        <row r="5239">
          <cell r="L5239" t="str">
            <v>SY130300</v>
          </cell>
          <cell r="M5239" t="str">
            <v>C6221</v>
          </cell>
          <cell r="N5239" t="str">
            <v>Mtuna\المتونة</v>
          </cell>
        </row>
        <row r="5240">
          <cell r="L5240" t="str">
            <v>SY130300</v>
          </cell>
          <cell r="M5240" t="str">
            <v>C6231</v>
          </cell>
          <cell r="N5240" t="str">
            <v>Nemreh\نمرة</v>
          </cell>
        </row>
        <row r="5241">
          <cell r="L5241" t="str">
            <v>SY130300</v>
          </cell>
          <cell r="M5241" t="str">
            <v>C6223</v>
          </cell>
          <cell r="N5241" t="str">
            <v>Salakhed\صلاخد</v>
          </cell>
        </row>
        <row r="5242">
          <cell r="L5242" t="str">
            <v>SY130300</v>
          </cell>
          <cell r="M5242" t="str">
            <v>C6226</v>
          </cell>
          <cell r="N5242" t="str">
            <v>Shahba\شهبا</v>
          </cell>
        </row>
        <row r="5243">
          <cell r="L5243" t="str">
            <v>SY130300</v>
          </cell>
          <cell r="M5243" t="str">
            <v>C6228</v>
          </cell>
          <cell r="N5243" t="str">
            <v>Sweimreh\السويمرة</v>
          </cell>
        </row>
        <row r="5244">
          <cell r="L5244" t="str">
            <v>SY130300</v>
          </cell>
          <cell r="M5244" t="str">
            <v>C6225</v>
          </cell>
          <cell r="N5244" t="str">
            <v>Tima\تيما</v>
          </cell>
        </row>
        <row r="5245">
          <cell r="L5245" t="str">
            <v>SY130300</v>
          </cell>
          <cell r="M5245" t="str">
            <v>C6222</v>
          </cell>
          <cell r="N5245" t="str">
            <v>Um Dbeib\أم ضبيب</v>
          </cell>
        </row>
        <row r="5246">
          <cell r="L5246" t="str">
            <v>SY130300</v>
          </cell>
          <cell r="M5246" t="str">
            <v>C6227</v>
          </cell>
          <cell r="N5246" t="str">
            <v>Um Elzaytun\أم الزيتون</v>
          </cell>
        </row>
        <row r="5247">
          <cell r="L5247" t="str">
            <v>SY130301</v>
          </cell>
          <cell r="M5247" t="str">
            <v>C6234</v>
          </cell>
          <cell r="N5247" t="str">
            <v>Araja\عراجة</v>
          </cell>
        </row>
        <row r="5248">
          <cell r="L5248" t="str">
            <v>SY130301</v>
          </cell>
          <cell r="M5248" t="str">
            <v>C6237</v>
          </cell>
          <cell r="N5248" t="str">
            <v>Barek\بارك</v>
          </cell>
        </row>
        <row r="5249">
          <cell r="L5249" t="str">
            <v>SY130301</v>
          </cell>
          <cell r="M5249" t="str">
            <v>C6232</v>
          </cell>
          <cell r="N5249" t="str">
            <v>Bothaina\البثينة</v>
          </cell>
        </row>
        <row r="5250">
          <cell r="L5250" t="str">
            <v>SY130301</v>
          </cell>
          <cell r="M5250" t="str">
            <v>C6236</v>
          </cell>
          <cell r="N5250" t="str">
            <v>Duma\دوما</v>
          </cell>
        </row>
        <row r="5251">
          <cell r="L5251" t="str">
            <v>SY130301</v>
          </cell>
          <cell r="M5251" t="str">
            <v>C6239</v>
          </cell>
          <cell r="N5251" t="str">
            <v>Hayat\الهيات</v>
          </cell>
        </row>
        <row r="5252">
          <cell r="L5252" t="str">
            <v>SY130301</v>
          </cell>
          <cell r="M5252" t="str">
            <v>C6242</v>
          </cell>
          <cell r="N5252" t="str">
            <v>Hit\الهيت</v>
          </cell>
        </row>
        <row r="5253">
          <cell r="L5253" t="str">
            <v>SY130301</v>
          </cell>
          <cell r="M5253" t="str">
            <v>C6241</v>
          </cell>
          <cell r="N5253" t="str">
            <v>Jneineh\الجنينة</v>
          </cell>
        </row>
        <row r="5254">
          <cell r="L5254" t="str">
            <v>SY130301</v>
          </cell>
          <cell r="M5254" t="str">
            <v>C6238</v>
          </cell>
          <cell r="N5254" t="str">
            <v>Qasr\القصر</v>
          </cell>
        </row>
        <row r="5255">
          <cell r="L5255" t="str">
            <v>SY130301</v>
          </cell>
          <cell r="M5255" t="str">
            <v>C6240</v>
          </cell>
          <cell r="N5255" t="str">
            <v>Rdeimeh\الرضيمة</v>
          </cell>
        </row>
        <row r="5256">
          <cell r="L5256" t="str">
            <v>SY130301</v>
          </cell>
          <cell r="M5256" t="str">
            <v>C6233</v>
          </cell>
          <cell r="N5256" t="str">
            <v>Shaqa\شقا</v>
          </cell>
        </row>
        <row r="5257">
          <cell r="L5257" t="str">
            <v>SY130301</v>
          </cell>
          <cell r="M5257" t="str">
            <v>C6235</v>
          </cell>
          <cell r="N5257" t="str">
            <v>Taala\تعلا</v>
          </cell>
        </row>
        <row r="5258">
          <cell r="L5258" t="str">
            <v>SY130302</v>
          </cell>
          <cell r="M5258" t="str">
            <v>C6243</v>
          </cell>
          <cell r="N5258" t="str">
            <v>Ariqa\العريقة</v>
          </cell>
        </row>
        <row r="5259">
          <cell r="L5259" t="str">
            <v>SY130302</v>
          </cell>
          <cell r="M5259" t="str">
            <v>C6249</v>
          </cell>
          <cell r="N5259" t="str">
            <v>Dama\داما</v>
          </cell>
        </row>
        <row r="5260">
          <cell r="L5260" t="str">
            <v>SY130302</v>
          </cell>
          <cell r="M5260" t="str">
            <v>C6247</v>
          </cell>
          <cell r="N5260" t="str">
            <v>Deir Dama\دير داما</v>
          </cell>
        </row>
        <row r="5261">
          <cell r="L5261" t="str">
            <v>SY130302</v>
          </cell>
          <cell r="M5261" t="str">
            <v>C6246</v>
          </cell>
          <cell r="N5261" t="str">
            <v>Harran \حران</v>
          </cell>
        </row>
        <row r="5262">
          <cell r="L5262" t="str">
            <v>SY130302</v>
          </cell>
          <cell r="M5262" t="str">
            <v>C6245</v>
          </cell>
          <cell r="N5262" t="str">
            <v>Jrein\جرين</v>
          </cell>
        </row>
        <row r="5263">
          <cell r="L5263" t="str">
            <v>SY130302</v>
          </cell>
          <cell r="M5263" t="str">
            <v>C6248</v>
          </cell>
          <cell r="N5263" t="str">
            <v>Kharsa\الخرسا</v>
          </cell>
        </row>
        <row r="5264">
          <cell r="L5264" t="str">
            <v>SY130302</v>
          </cell>
          <cell r="M5264" t="str">
            <v>C6251</v>
          </cell>
          <cell r="N5264" t="str">
            <v>Lebbin\لبين</v>
          </cell>
        </row>
        <row r="5265">
          <cell r="L5265" t="str">
            <v>SY130302</v>
          </cell>
          <cell r="M5265" t="str">
            <v>C6244</v>
          </cell>
          <cell r="N5265" t="str">
            <v>Smeid\صميد</v>
          </cell>
        </row>
        <row r="5266">
          <cell r="L5266" t="str">
            <v>SY130302</v>
          </cell>
          <cell r="M5266" t="str">
            <v>C6250</v>
          </cell>
          <cell r="N5266" t="str">
            <v>Waqm\وقم</v>
          </cell>
        </row>
        <row r="5267">
          <cell r="L5267" t="str">
            <v>SY130303</v>
          </cell>
          <cell r="M5267" t="str">
            <v>C6261</v>
          </cell>
          <cell r="N5267" t="str">
            <v>Big Sura\الصورة الكبيرة</v>
          </cell>
        </row>
        <row r="5268">
          <cell r="L5268" t="str">
            <v>SY130303</v>
          </cell>
          <cell r="M5268" t="str">
            <v>C6260</v>
          </cell>
          <cell r="N5268" t="str">
            <v>Haqf\الحقف</v>
          </cell>
        </row>
        <row r="5269">
          <cell r="L5269" t="str">
            <v>SY130303</v>
          </cell>
          <cell r="M5269" t="str">
            <v>C6258</v>
          </cell>
          <cell r="N5269" t="str">
            <v>Hazm\حزم</v>
          </cell>
        </row>
        <row r="5270">
          <cell r="L5270" t="str">
            <v>SY130303</v>
          </cell>
          <cell r="M5270" t="str">
            <v>C6071</v>
          </cell>
          <cell r="N5270" t="str">
            <v>Hosh Hammad\حوش حماد</v>
          </cell>
        </row>
        <row r="5271">
          <cell r="L5271" t="str">
            <v>SY130303</v>
          </cell>
          <cell r="M5271" t="str">
            <v>C6256</v>
          </cell>
          <cell r="N5271" t="str">
            <v>Kalidiyeh\الخالدية</v>
          </cell>
        </row>
        <row r="5272">
          <cell r="L5272" t="str">
            <v>SY130303</v>
          </cell>
          <cell r="M5272" t="str">
            <v>C6253</v>
          </cell>
          <cell r="N5272" t="str">
            <v>Khalkhaleh\خلخلة</v>
          </cell>
        </row>
        <row r="5273">
          <cell r="L5273" t="str">
            <v>SY130303</v>
          </cell>
          <cell r="M5273" t="str">
            <v>C6263</v>
          </cell>
          <cell r="N5273" t="str">
            <v>Lahetheh\لاهثة</v>
          </cell>
        </row>
        <row r="5274">
          <cell r="L5274" t="str">
            <v>SY130303</v>
          </cell>
          <cell r="M5274" t="str">
            <v>C6259</v>
          </cell>
          <cell r="N5274" t="str">
            <v>Little Sura\الصورة الصغيرة</v>
          </cell>
        </row>
        <row r="5275">
          <cell r="L5275" t="str">
            <v>SY130303</v>
          </cell>
          <cell r="M5275" t="str">
            <v>C6252</v>
          </cell>
          <cell r="N5275" t="str">
            <v>Nothern Esheib\اشهيب الشمالي</v>
          </cell>
        </row>
        <row r="5276">
          <cell r="L5276" t="str">
            <v>SY130303</v>
          </cell>
          <cell r="M5276" t="str">
            <v>C6257</v>
          </cell>
          <cell r="N5276" t="str">
            <v>Radimeh Ellewa\رضيمة اللواء</v>
          </cell>
        </row>
        <row r="5277">
          <cell r="L5277" t="str">
            <v>SY130303</v>
          </cell>
          <cell r="M5277" t="str">
            <v>C6254</v>
          </cell>
          <cell r="N5277" t="str">
            <v>Salmiyeh\السالمية</v>
          </cell>
        </row>
        <row r="5278">
          <cell r="L5278" t="str">
            <v>SY130303</v>
          </cell>
          <cell r="M5278" t="str">
            <v>C6255</v>
          </cell>
          <cell r="N5278" t="str">
            <v>Thakir\ذكير</v>
          </cell>
        </row>
        <row r="5279">
          <cell r="L5279" t="str">
            <v>SY130303</v>
          </cell>
          <cell r="M5279" t="str">
            <v>C6262</v>
          </cell>
          <cell r="N5279" t="str">
            <v>Um Hartein\أم حارتين</v>
          </cell>
        </row>
        <row r="5280">
          <cell r="L5280" t="str">
            <v>SY140000</v>
          </cell>
          <cell r="M5280" t="str">
            <v>C6267</v>
          </cell>
          <cell r="N5280" t="str">
            <v>Bir Ajam\بئر عجم</v>
          </cell>
        </row>
        <row r="5281">
          <cell r="L5281" t="str">
            <v>SY140000</v>
          </cell>
          <cell r="M5281" t="str">
            <v>C6269</v>
          </cell>
          <cell r="N5281" t="str">
            <v>Breiqa \بريقة</v>
          </cell>
        </row>
        <row r="5282">
          <cell r="L5282" t="str">
            <v>SY140000</v>
          </cell>
          <cell r="M5282" t="str">
            <v>C6265</v>
          </cell>
          <cell r="N5282" t="str">
            <v>Hameidiyyeh\الحميدية</v>
          </cell>
        </row>
        <row r="5283">
          <cell r="L5283" t="str">
            <v>SY140000</v>
          </cell>
          <cell r="M5283" t="str">
            <v>C6270</v>
          </cell>
          <cell r="N5283" t="str">
            <v>Qahtaniyyeh\القحطانية</v>
          </cell>
        </row>
        <row r="5284">
          <cell r="L5284" t="str">
            <v>SY140000</v>
          </cell>
          <cell r="M5284" t="str">
            <v>C6268</v>
          </cell>
          <cell r="N5284" t="str">
            <v>Quneitra\القنيطرة</v>
          </cell>
        </row>
        <row r="5285">
          <cell r="L5285" t="str">
            <v>SY140000</v>
          </cell>
          <cell r="M5285" t="str">
            <v>C6264</v>
          </cell>
          <cell r="N5285" t="str">
            <v>Rweheineh\رويحينة</v>
          </cell>
        </row>
        <row r="5286">
          <cell r="L5286" t="str">
            <v>SY140000</v>
          </cell>
          <cell r="M5286" t="str">
            <v>C6266</v>
          </cell>
          <cell r="N5286" t="str">
            <v>Western Samadaniyeh \الصمدانية الغربية</v>
          </cell>
        </row>
        <row r="5287">
          <cell r="L5287" t="str">
            <v>SY140001</v>
          </cell>
          <cell r="M5287" t="str">
            <v>C6280</v>
          </cell>
          <cell r="N5287" t="str">
            <v>Ayoba\أيوبا</v>
          </cell>
        </row>
        <row r="5288">
          <cell r="L5288" t="str">
            <v>SY140001</v>
          </cell>
          <cell r="M5288" t="str">
            <v>C6275</v>
          </cell>
          <cell r="N5288" t="str">
            <v>Baath\البعث</v>
          </cell>
        </row>
        <row r="5289">
          <cell r="L5289" t="str">
            <v>SY140001</v>
          </cell>
          <cell r="M5289" t="str">
            <v>C6279</v>
          </cell>
          <cell r="N5289" t="str">
            <v>Eastern Samadaniyeh\صمدانية شرقية</v>
          </cell>
        </row>
        <row r="5290">
          <cell r="L5290" t="str">
            <v>SY140001</v>
          </cell>
          <cell r="M5290" t="str">
            <v>C6278</v>
          </cell>
          <cell r="N5290" t="str">
            <v>Hadar\حضر</v>
          </cell>
        </row>
        <row r="5291">
          <cell r="L5291" t="str">
            <v>SY140001</v>
          </cell>
          <cell r="M5291" t="str">
            <v>C6276</v>
          </cell>
          <cell r="N5291" t="str">
            <v>Halas\حلس</v>
          </cell>
        </row>
        <row r="5292">
          <cell r="L5292" t="str">
            <v>SY140001</v>
          </cell>
          <cell r="M5292" t="str">
            <v>C6388</v>
          </cell>
          <cell r="N5292" t="str">
            <v>Hurriyeh\الحرية</v>
          </cell>
        </row>
        <row r="5293">
          <cell r="L5293" t="str">
            <v>SY140001</v>
          </cell>
          <cell r="M5293" t="str">
            <v>C6277</v>
          </cell>
          <cell r="N5293" t="str">
            <v>Jaba\جبا</v>
          </cell>
        </row>
        <row r="5294">
          <cell r="L5294" t="str">
            <v>SY140001</v>
          </cell>
          <cell r="M5294" t="str">
            <v>C6281</v>
          </cell>
          <cell r="N5294" t="str">
            <v>Jbata Elkhashab\جباتا الخشب</v>
          </cell>
        </row>
        <row r="5295">
          <cell r="L5295" t="str">
            <v>SY140001</v>
          </cell>
          <cell r="M5295" t="str">
            <v>C6274</v>
          </cell>
          <cell r="N5295" t="str">
            <v>Kalidiyeh\الخالدية</v>
          </cell>
        </row>
        <row r="5296">
          <cell r="L5296" t="str">
            <v>SY140001</v>
          </cell>
          <cell r="M5296" t="str">
            <v>C6273</v>
          </cell>
          <cell r="N5296" t="str">
            <v>Khan Arnaba\خان أرنبة</v>
          </cell>
        </row>
        <row r="5297">
          <cell r="L5297" t="str">
            <v>SY140001</v>
          </cell>
          <cell r="M5297" t="str">
            <v>C6286</v>
          </cell>
          <cell r="N5297" t="str">
            <v>Kom Elbasha\كوم الباشا</v>
          </cell>
        </row>
        <row r="5298">
          <cell r="L5298" t="str">
            <v>SY140001</v>
          </cell>
          <cell r="M5298" t="str">
            <v>C6285</v>
          </cell>
          <cell r="N5298" t="str">
            <v>Kom Elwisseh - Marj Barghut\كوم الويسة_مرج برغوث</v>
          </cell>
        </row>
        <row r="5299">
          <cell r="L5299" t="str">
            <v>SY140001</v>
          </cell>
          <cell r="M5299" t="str">
            <v>C6283</v>
          </cell>
          <cell r="N5299" t="str">
            <v>Mashara\مسحرة</v>
          </cell>
        </row>
        <row r="5300">
          <cell r="L5300" t="str">
            <v>SY140001</v>
          </cell>
          <cell r="M5300" t="str">
            <v>C6284</v>
          </cell>
          <cell r="N5300" t="str">
            <v>Momtaneh\ممتنة</v>
          </cell>
        </row>
        <row r="5301">
          <cell r="L5301" t="str">
            <v>SY140001</v>
          </cell>
          <cell r="M5301" t="str">
            <v>C6287</v>
          </cell>
          <cell r="N5301" t="str">
            <v>Nabe Elsakher\نبع الصخر</v>
          </cell>
        </row>
        <row r="5302">
          <cell r="L5302" t="str">
            <v>SY140001</v>
          </cell>
          <cell r="M5302" t="str">
            <v>C6282</v>
          </cell>
          <cell r="N5302" t="str">
            <v>Ofania\أوفانيا</v>
          </cell>
        </row>
        <row r="5303">
          <cell r="L5303" t="str">
            <v>SY140001</v>
          </cell>
          <cell r="M5303" t="str">
            <v>C6271</v>
          </cell>
          <cell r="N5303" t="str">
            <v>Tarnaja\طرنجة</v>
          </cell>
        </row>
        <row r="5304">
          <cell r="L5304" t="str">
            <v>SY140001</v>
          </cell>
          <cell r="M5304" t="str">
            <v>C6272</v>
          </cell>
          <cell r="N5304" t="str">
            <v>Um Batna\أم باطنة</v>
          </cell>
        </row>
        <row r="5305">
          <cell r="L5305" t="str">
            <v>SY140002</v>
          </cell>
          <cell r="M5305" t="str">
            <v>C6288</v>
          </cell>
          <cell r="N5305" t="str">
            <v>Asbah\الأصبح</v>
          </cell>
        </row>
        <row r="5306">
          <cell r="L5306" t="str">
            <v>SY140002</v>
          </cell>
          <cell r="M5306" t="str">
            <v>C6294</v>
          </cell>
          <cell r="N5306" t="str">
            <v>Eastern Basa - Ein Qadi\البصة الشرقية_عين القاضي</v>
          </cell>
        </row>
        <row r="5307">
          <cell r="L5307" t="str">
            <v>SY140002</v>
          </cell>
          <cell r="M5307" t="str">
            <v>C6289</v>
          </cell>
          <cell r="N5307" t="str">
            <v>Ein Eltineh\عين التينة</v>
          </cell>
        </row>
        <row r="5308">
          <cell r="L5308" t="str">
            <v>SY140002</v>
          </cell>
          <cell r="M5308" t="str">
            <v>C6292</v>
          </cell>
          <cell r="N5308" t="str">
            <v>Esheh\العشة</v>
          </cell>
        </row>
        <row r="5309">
          <cell r="L5309" t="str">
            <v>SY140002</v>
          </cell>
          <cell r="M5309" t="str">
            <v>C6293</v>
          </cell>
          <cell r="N5309" t="str">
            <v>Ghadir Elbostan\غدير البستان</v>
          </cell>
        </row>
        <row r="5310">
          <cell r="L5310" t="str">
            <v>SY140002</v>
          </cell>
          <cell r="M5310" t="str">
            <v>C6295</v>
          </cell>
          <cell r="N5310" t="str">
            <v>Hijeh\الهجة</v>
          </cell>
        </row>
        <row r="5311">
          <cell r="L5311" t="str">
            <v>SY140002</v>
          </cell>
          <cell r="M5311" t="str">
            <v>C6299</v>
          </cell>
          <cell r="N5311" t="str">
            <v>Kodneh\كودنة</v>
          </cell>
        </row>
        <row r="5312">
          <cell r="L5312" t="str">
            <v>SY140002</v>
          </cell>
          <cell r="M5312" t="str">
            <v>C6298</v>
          </cell>
          <cell r="N5312" t="str">
            <v>Maalaqa\المعلقة</v>
          </cell>
        </row>
        <row r="5313">
          <cell r="L5313" t="str">
            <v>SY140002</v>
          </cell>
          <cell r="M5313" t="str">
            <v>C6301</v>
          </cell>
          <cell r="N5313" t="str">
            <v>Manshiyet Sweisa\منشية سويسة</v>
          </cell>
        </row>
        <row r="5314">
          <cell r="L5314" t="str">
            <v>SY140002</v>
          </cell>
          <cell r="M5314" t="str">
            <v>C6300</v>
          </cell>
          <cell r="N5314" t="str">
            <v>Qarqas\قرقس</v>
          </cell>
        </row>
        <row r="5315">
          <cell r="L5315" t="str">
            <v>SY140002</v>
          </cell>
          <cell r="M5315" t="str">
            <v>C6290</v>
          </cell>
          <cell r="N5315" t="str">
            <v>Qseibeh\القصيبة</v>
          </cell>
        </row>
        <row r="5316">
          <cell r="L5316" t="str">
            <v>SY140002</v>
          </cell>
          <cell r="M5316" t="str">
            <v>C6296</v>
          </cell>
          <cell r="N5316" t="str">
            <v>Rafid\الرفيد</v>
          </cell>
        </row>
        <row r="5317">
          <cell r="L5317" t="str">
            <v>SY140002</v>
          </cell>
          <cell r="M5317" t="str">
            <v>C6291</v>
          </cell>
          <cell r="N5317" t="str">
            <v>Sweisa\سويسة</v>
          </cell>
        </row>
        <row r="5318">
          <cell r="L5318" t="str">
            <v>SY140200</v>
          </cell>
          <cell r="M5318" t="str">
            <v>C6303</v>
          </cell>
          <cell r="N5318" t="str">
            <v>Razaniyet Saida\رزانية صيدا</v>
          </cell>
        </row>
        <row r="5319">
          <cell r="L5319" t="str">
            <v>SY140200</v>
          </cell>
          <cell r="M5319" t="str">
            <v>C6302</v>
          </cell>
          <cell r="N5319" t="str">
            <v>Sayda\صيدا</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cators"/>
      <sheetName val="Nut. Sit. Analysis U5 - Phys."/>
      <sheetName val="Nut. Sit. Analysis - Phys"/>
      <sheetName val="Nut. Sit. Analysis - Living"/>
    </sheetNames>
    <sheetDataSet>
      <sheetData sheetId="0"/>
      <sheetData sheetId="1">
        <row r="2">
          <cell r="B2" t="str">
            <v>GAM prevalence % 
(WHZ) for children 6-59 months</v>
          </cell>
          <cell r="C2" t="str">
            <v>ONLY IF GAM (WHZ) is not available:
GAM prevalence % 
(MUAC) for children 6-59 months</v>
          </cell>
        </row>
        <row r="4">
          <cell r="B4">
            <v>0.12</v>
          </cell>
          <cell r="C4">
            <v>0</v>
          </cell>
        </row>
        <row r="5">
          <cell r="B5">
            <v>0.14000000000000001</v>
          </cell>
          <cell r="C5">
            <v>0</v>
          </cell>
        </row>
        <row r="6">
          <cell r="B6">
            <v>0</v>
          </cell>
          <cell r="C6">
            <v>0.18</v>
          </cell>
        </row>
        <row r="7">
          <cell r="B7">
            <v>5.651194319090929E-2</v>
          </cell>
          <cell r="C7">
            <v>0</v>
          </cell>
        </row>
        <row r="8">
          <cell r="B8">
            <v>0.20699999999999999</v>
          </cell>
          <cell r="C8">
            <v>0</v>
          </cell>
        </row>
        <row r="9">
          <cell r="B9">
            <v>0</v>
          </cell>
          <cell r="C9">
            <v>0.11</v>
          </cell>
        </row>
        <row r="10">
          <cell r="B10">
            <v>0.183</v>
          </cell>
          <cell r="C10">
            <v>0</v>
          </cell>
        </row>
        <row r="11">
          <cell r="B11">
            <v>0</v>
          </cell>
          <cell r="C11">
            <v>0</v>
          </cell>
        </row>
      </sheetData>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ingform"/>
      <sheetName val="Instructions"/>
      <sheetName val="Indicator Registry"/>
      <sheetName val="Classification thresholds"/>
      <sheetName val="Scenarios 1&amp;2 - Nut.Analysis"/>
      <sheetName val="Population Figures"/>
      <sheetName val="PiN Physical &amp; Mental WB"/>
      <sheetName val="PiN Living Standards"/>
      <sheetName val="JIAF PiN"/>
      <sheetName val="JIAF Malnutrition HRP Analysis"/>
      <sheetName val="JIAF IYCF &amp; MN HRP Analysis"/>
      <sheetName val="Selected supplies"/>
      <sheetName val="Scenario 3 - Nut.Analysis "/>
      <sheetName val="Living Standards Analysis"/>
    </sheetNames>
    <sheetDataSet>
      <sheetData sheetId="0"/>
      <sheetData sheetId="1"/>
      <sheetData sheetId="2"/>
      <sheetData sheetId="3"/>
      <sheetData sheetId="4">
        <row r="6">
          <cell r="A6" t="str">
            <v>GAM prevalence % 
(WHZ) for children 6-59 months</v>
          </cell>
          <cell r="B6" t="str">
            <v>ONLY IF GAM (WHZ) is not available:
GAM prevalence % (MUAC) for children 6-59 months</v>
          </cell>
          <cell r="C6" t="str">
            <v>GAM prevalence % for PLW
(MUAC&lt;210-230mm)</v>
          </cell>
          <cell r="D6" t="str">
            <v>Severity Classification for "Physical" per geographical area</v>
          </cell>
          <cell r="E6" t="str">
            <v>Rationale</v>
          </cell>
        </row>
        <row r="8">
          <cell r="A8">
            <v>0</v>
          </cell>
          <cell r="B8">
            <v>0</v>
          </cell>
          <cell r="C8">
            <v>0.13</v>
          </cell>
          <cell r="D8" t="str">
            <v>Phase 2</v>
          </cell>
          <cell r="E8" t="str">
            <v>GAM based on WHZ takes all, only if GAM by WHZ is not available, then we take GAM by MUAC, only if those two are not available and then PLW</v>
          </cell>
          <cell r="F8">
            <v>0</v>
          </cell>
        </row>
        <row r="9">
          <cell r="A9">
            <v>0.25</v>
          </cell>
          <cell r="B9">
            <v>0</v>
          </cell>
          <cell r="C9">
            <v>0.25</v>
          </cell>
          <cell r="D9" t="str">
            <v>Phase 4</v>
          </cell>
          <cell r="E9">
            <v>0</v>
          </cell>
          <cell r="F9">
            <v>0</v>
          </cell>
        </row>
        <row r="10">
          <cell r="A10">
            <v>0</v>
          </cell>
          <cell r="B10">
            <v>0.18</v>
          </cell>
          <cell r="C10">
            <v>0.23</v>
          </cell>
          <cell r="D10" t="str">
            <v>Phase 3</v>
          </cell>
          <cell r="E10">
            <v>0</v>
          </cell>
          <cell r="F10">
            <v>0</v>
          </cell>
        </row>
        <row r="11">
          <cell r="A11">
            <v>0</v>
          </cell>
          <cell r="B11">
            <v>0</v>
          </cell>
          <cell r="C11">
            <v>0.25</v>
          </cell>
          <cell r="D11" t="str">
            <v>Phase 3</v>
          </cell>
          <cell r="E11">
            <v>0</v>
          </cell>
          <cell r="F11">
            <v>0</v>
          </cell>
        </row>
        <row r="12">
          <cell r="A12">
            <v>4.9807175082149227E-2</v>
          </cell>
          <cell r="B12">
            <v>0</v>
          </cell>
          <cell r="C12">
            <v>0.12</v>
          </cell>
          <cell r="D12" t="str">
            <v>Phase 1</v>
          </cell>
          <cell r="E12">
            <v>0</v>
          </cell>
          <cell r="F12">
            <v>0</v>
          </cell>
        </row>
        <row r="13">
          <cell r="A13">
            <v>0</v>
          </cell>
          <cell r="B13">
            <v>0</v>
          </cell>
          <cell r="C13">
            <v>0</v>
          </cell>
          <cell r="D13">
            <v>0</v>
          </cell>
          <cell r="E13">
            <v>0</v>
          </cell>
          <cell r="F13">
            <v>0</v>
          </cell>
        </row>
        <row r="14">
          <cell r="A14">
            <v>0</v>
          </cell>
          <cell r="B14">
            <v>0</v>
          </cell>
          <cell r="C14">
            <v>0</v>
          </cell>
          <cell r="D14">
            <v>0</v>
          </cell>
          <cell r="E14">
            <v>0</v>
          </cell>
          <cell r="F14">
            <v>0</v>
          </cell>
        </row>
        <row r="15">
          <cell r="A15">
            <v>0</v>
          </cell>
          <cell r="B15">
            <v>0</v>
          </cell>
          <cell r="C15">
            <v>0</v>
          </cell>
          <cell r="D15">
            <v>0</v>
          </cell>
          <cell r="E15">
            <v>0</v>
          </cell>
          <cell r="F15">
            <v>0</v>
          </cell>
        </row>
        <row r="16">
          <cell r="A16">
            <v>0</v>
          </cell>
          <cell r="B16">
            <v>0</v>
          </cell>
          <cell r="C16">
            <v>0</v>
          </cell>
          <cell r="D16">
            <v>0</v>
          </cell>
          <cell r="E16">
            <v>0</v>
          </cell>
          <cell r="F16">
            <v>0</v>
          </cell>
        </row>
        <row r="17">
          <cell r="A17">
            <v>0</v>
          </cell>
          <cell r="B17">
            <v>0</v>
          </cell>
          <cell r="C17">
            <v>0</v>
          </cell>
          <cell r="D17">
            <v>0</v>
          </cell>
          <cell r="E17">
            <v>0</v>
          </cell>
          <cell r="F17">
            <v>0</v>
          </cell>
        </row>
        <row r="18">
          <cell r="A18">
            <v>0</v>
          </cell>
          <cell r="B18">
            <v>0</v>
          </cell>
          <cell r="C18">
            <v>0</v>
          </cell>
          <cell r="D18">
            <v>0</v>
          </cell>
          <cell r="E18">
            <v>0</v>
          </cell>
          <cell r="F18">
            <v>0</v>
          </cell>
        </row>
        <row r="19">
          <cell r="A19">
            <v>0</v>
          </cell>
          <cell r="B19">
            <v>0</v>
          </cell>
          <cell r="C19">
            <v>0</v>
          </cell>
          <cell r="D19">
            <v>0</v>
          </cell>
          <cell r="E19">
            <v>0</v>
          </cell>
          <cell r="F19">
            <v>0</v>
          </cell>
        </row>
        <row r="20">
          <cell r="A20">
            <v>0</v>
          </cell>
          <cell r="B20">
            <v>0</v>
          </cell>
          <cell r="C20">
            <v>0</v>
          </cell>
          <cell r="D20">
            <v>0</v>
          </cell>
          <cell r="E20">
            <v>0</v>
          </cell>
          <cell r="F20">
            <v>0</v>
          </cell>
        </row>
        <row r="21">
          <cell r="A21">
            <v>0</v>
          </cell>
          <cell r="B21">
            <v>0</v>
          </cell>
          <cell r="C21">
            <v>0</v>
          </cell>
          <cell r="D21">
            <v>0</v>
          </cell>
          <cell r="E21">
            <v>0</v>
          </cell>
          <cell r="F21">
            <v>0</v>
          </cell>
        </row>
        <row r="22">
          <cell r="A22">
            <v>0</v>
          </cell>
          <cell r="B22">
            <v>0</v>
          </cell>
          <cell r="C22">
            <v>0</v>
          </cell>
          <cell r="D22">
            <v>0</v>
          </cell>
          <cell r="E22">
            <v>0</v>
          </cell>
          <cell r="F22">
            <v>0</v>
          </cell>
        </row>
        <row r="23">
          <cell r="A23">
            <v>0</v>
          </cell>
          <cell r="B23">
            <v>0</v>
          </cell>
          <cell r="C23">
            <v>0</v>
          </cell>
          <cell r="D23">
            <v>0</v>
          </cell>
          <cell r="E23">
            <v>0</v>
          </cell>
          <cell r="F23">
            <v>0</v>
          </cell>
        </row>
        <row r="24">
          <cell r="A24">
            <v>0</v>
          </cell>
          <cell r="B24">
            <v>0</v>
          </cell>
          <cell r="C24">
            <v>0</v>
          </cell>
          <cell r="D24">
            <v>0</v>
          </cell>
          <cell r="E24">
            <v>0</v>
          </cell>
          <cell r="F24">
            <v>0</v>
          </cell>
        </row>
        <row r="25">
          <cell r="A25">
            <v>0</v>
          </cell>
          <cell r="B25">
            <v>0</v>
          </cell>
          <cell r="C25">
            <v>0</v>
          </cell>
          <cell r="D25">
            <v>0</v>
          </cell>
          <cell r="E25">
            <v>0</v>
          </cell>
          <cell r="F25">
            <v>0</v>
          </cell>
        </row>
        <row r="26">
          <cell r="A26">
            <v>0</v>
          </cell>
          <cell r="B26">
            <v>0</v>
          </cell>
          <cell r="C26">
            <v>0</v>
          </cell>
          <cell r="D26">
            <v>0</v>
          </cell>
          <cell r="E26">
            <v>0</v>
          </cell>
          <cell r="F26">
            <v>0</v>
          </cell>
        </row>
        <row r="27">
          <cell r="A27">
            <v>0</v>
          </cell>
          <cell r="B27">
            <v>0</v>
          </cell>
          <cell r="C27">
            <v>0</v>
          </cell>
          <cell r="D27">
            <v>0</v>
          </cell>
          <cell r="E27">
            <v>0</v>
          </cell>
          <cell r="F27">
            <v>0</v>
          </cell>
        </row>
        <row r="28">
          <cell r="A28">
            <v>0</v>
          </cell>
          <cell r="B28">
            <v>0</v>
          </cell>
          <cell r="C28">
            <v>0</v>
          </cell>
          <cell r="D28">
            <v>0</v>
          </cell>
          <cell r="E28">
            <v>0</v>
          </cell>
          <cell r="F28">
            <v>0</v>
          </cell>
        </row>
        <row r="29">
          <cell r="A29">
            <v>0</v>
          </cell>
          <cell r="B29">
            <v>0</v>
          </cell>
          <cell r="C29">
            <v>0</v>
          </cell>
          <cell r="D29">
            <v>0</v>
          </cell>
          <cell r="E29">
            <v>0</v>
          </cell>
          <cell r="F29">
            <v>0</v>
          </cell>
        </row>
        <row r="30">
          <cell r="A30">
            <v>0</v>
          </cell>
          <cell r="B30">
            <v>0</v>
          </cell>
          <cell r="C30">
            <v>0</v>
          </cell>
          <cell r="D30">
            <v>0</v>
          </cell>
          <cell r="E30">
            <v>0</v>
          </cell>
          <cell r="F30">
            <v>0</v>
          </cell>
        </row>
        <row r="31">
          <cell r="A31">
            <v>0</v>
          </cell>
          <cell r="B31">
            <v>0</v>
          </cell>
          <cell r="C31">
            <v>0</v>
          </cell>
          <cell r="D31">
            <v>0</v>
          </cell>
          <cell r="E31">
            <v>0</v>
          </cell>
          <cell r="F31">
            <v>0</v>
          </cell>
        </row>
        <row r="32">
          <cell r="A32">
            <v>0</v>
          </cell>
          <cell r="B32">
            <v>0</v>
          </cell>
          <cell r="C32">
            <v>0</v>
          </cell>
          <cell r="D32">
            <v>0</v>
          </cell>
          <cell r="E32">
            <v>0</v>
          </cell>
          <cell r="F32">
            <v>0</v>
          </cell>
        </row>
        <row r="33">
          <cell r="A33">
            <v>0</v>
          </cell>
          <cell r="B33">
            <v>0</v>
          </cell>
          <cell r="C33">
            <v>0</v>
          </cell>
          <cell r="D33">
            <v>0</v>
          </cell>
          <cell r="E33">
            <v>0</v>
          </cell>
          <cell r="F33">
            <v>0</v>
          </cell>
        </row>
        <row r="34">
          <cell r="A34">
            <v>0</v>
          </cell>
          <cell r="B34">
            <v>0</v>
          </cell>
          <cell r="C34">
            <v>0</v>
          </cell>
          <cell r="D34">
            <v>0</v>
          </cell>
          <cell r="E34">
            <v>0</v>
          </cell>
          <cell r="F34">
            <v>0</v>
          </cell>
        </row>
        <row r="35">
          <cell r="A35">
            <v>0</v>
          </cell>
          <cell r="B35">
            <v>0</v>
          </cell>
          <cell r="C35">
            <v>0</v>
          </cell>
          <cell r="D35">
            <v>0</v>
          </cell>
          <cell r="E35">
            <v>0</v>
          </cell>
          <cell r="F35">
            <v>0</v>
          </cell>
        </row>
        <row r="36">
          <cell r="A36">
            <v>0</v>
          </cell>
          <cell r="B36">
            <v>0</v>
          </cell>
          <cell r="C36">
            <v>0</v>
          </cell>
          <cell r="D36">
            <v>0</v>
          </cell>
          <cell r="E36">
            <v>0</v>
          </cell>
          <cell r="F36">
            <v>0</v>
          </cell>
        </row>
        <row r="37">
          <cell r="A37">
            <v>0</v>
          </cell>
          <cell r="B37">
            <v>0</v>
          </cell>
          <cell r="C37">
            <v>0</v>
          </cell>
          <cell r="D37">
            <v>0</v>
          </cell>
          <cell r="E37">
            <v>0</v>
          </cell>
          <cell r="F37">
            <v>0</v>
          </cell>
        </row>
        <row r="38">
          <cell r="A38">
            <v>0</v>
          </cell>
          <cell r="B38">
            <v>0</v>
          </cell>
          <cell r="C38">
            <v>0</v>
          </cell>
          <cell r="D38">
            <v>0</v>
          </cell>
          <cell r="E38">
            <v>0</v>
          </cell>
          <cell r="F38">
            <v>0</v>
          </cell>
        </row>
        <row r="39">
          <cell r="A39">
            <v>0</v>
          </cell>
          <cell r="B39">
            <v>0</v>
          </cell>
          <cell r="C39">
            <v>0</v>
          </cell>
          <cell r="D39">
            <v>0</v>
          </cell>
          <cell r="E39">
            <v>0</v>
          </cell>
          <cell r="F39">
            <v>0</v>
          </cell>
        </row>
        <row r="40">
          <cell r="A40">
            <v>0</v>
          </cell>
          <cell r="B40">
            <v>0</v>
          </cell>
          <cell r="C40">
            <v>0</v>
          </cell>
          <cell r="D40">
            <v>0</v>
          </cell>
          <cell r="E40">
            <v>0</v>
          </cell>
          <cell r="F40">
            <v>0</v>
          </cell>
        </row>
        <row r="41">
          <cell r="A41">
            <v>0</v>
          </cell>
          <cell r="B41">
            <v>0</v>
          </cell>
          <cell r="C41">
            <v>0</v>
          </cell>
          <cell r="D41">
            <v>0</v>
          </cell>
          <cell r="E41">
            <v>0</v>
          </cell>
          <cell r="F41">
            <v>0</v>
          </cell>
        </row>
        <row r="42">
          <cell r="A42">
            <v>0</v>
          </cell>
          <cell r="B42">
            <v>0</v>
          </cell>
          <cell r="C42">
            <v>0</v>
          </cell>
          <cell r="D42">
            <v>0</v>
          </cell>
          <cell r="E42">
            <v>0</v>
          </cell>
          <cell r="F42">
            <v>0</v>
          </cell>
        </row>
        <row r="43">
          <cell r="A43">
            <v>0</v>
          </cell>
          <cell r="B43">
            <v>0</v>
          </cell>
          <cell r="C43">
            <v>0</v>
          </cell>
          <cell r="D43">
            <v>0</v>
          </cell>
          <cell r="E43">
            <v>0</v>
          </cell>
          <cell r="F43">
            <v>0</v>
          </cell>
        </row>
        <row r="44">
          <cell r="A44">
            <v>0</v>
          </cell>
          <cell r="B44">
            <v>0</v>
          </cell>
          <cell r="C44">
            <v>0</v>
          </cell>
          <cell r="D44">
            <v>0</v>
          </cell>
          <cell r="E44">
            <v>0</v>
          </cell>
          <cell r="F44">
            <v>0</v>
          </cell>
        </row>
        <row r="45">
          <cell r="A45">
            <v>0</v>
          </cell>
          <cell r="B45">
            <v>0</v>
          </cell>
          <cell r="C45">
            <v>0</v>
          </cell>
          <cell r="D45">
            <v>0</v>
          </cell>
          <cell r="E45">
            <v>0</v>
          </cell>
          <cell r="F45">
            <v>0</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59999389629810485"/>
  </sheetPr>
  <dimension ref="P19"/>
  <sheetViews>
    <sheetView workbookViewId="0"/>
    <sheetView tabSelected="1" topLeftCell="A19" workbookViewId="1">
      <selection activeCell="AG5" sqref="AG5"/>
    </sheetView>
  </sheetViews>
  <sheetFormatPr defaultColWidth="9" defaultRowHeight="15.75" x14ac:dyDescent="0.25"/>
  <cols>
    <col min="1" max="16384" width="9" style="11"/>
  </cols>
  <sheetData>
    <row r="19" spans="16:16" x14ac:dyDescent="0.25">
      <c r="P19"/>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39997558519241921"/>
  </sheetPr>
  <dimension ref="A1:X47"/>
  <sheetViews>
    <sheetView workbookViewId="0"/>
    <sheetView workbookViewId="1"/>
  </sheetViews>
  <sheetFormatPr defaultColWidth="9" defaultRowHeight="12.75" x14ac:dyDescent="0.2"/>
  <cols>
    <col min="1" max="1" width="17.25" style="51" customWidth="1"/>
    <col min="2" max="2" width="28.25" style="51" customWidth="1"/>
    <col min="3" max="3" width="8.5" style="51" customWidth="1"/>
    <col min="4" max="5" width="23.125" style="51" customWidth="1"/>
    <col min="6" max="6" width="36" style="51" bestFit="1" customWidth="1"/>
    <col min="7" max="7" width="13.625" style="51" customWidth="1"/>
    <col min="8" max="9" width="16.75" style="51" customWidth="1"/>
    <col min="10" max="10" width="36" style="51" bestFit="1" customWidth="1"/>
    <col min="11" max="14" width="23.625" style="51" customWidth="1"/>
    <col min="15" max="17" width="36" style="51" bestFit="1" customWidth="1"/>
    <col min="18" max="18" width="57.875" style="51" customWidth="1"/>
    <col min="19" max="19" width="36" style="51" bestFit="1" customWidth="1"/>
    <col min="20" max="20" width="81.25" style="51" customWidth="1"/>
    <col min="21" max="21" width="36" style="51" bestFit="1" customWidth="1"/>
    <col min="22" max="22" width="39.375" style="51" customWidth="1"/>
    <col min="23" max="16384" width="9" style="51"/>
  </cols>
  <sheetData>
    <row r="1" spans="1:22" s="50" customFormat="1" ht="34.5" thickBot="1" x14ac:dyDescent="0.35">
      <c r="A1" s="114" t="s">
        <v>518</v>
      </c>
      <c r="B1" s="114"/>
      <c r="C1" s="114"/>
      <c r="D1" s="114"/>
      <c r="E1" s="114"/>
      <c r="F1" s="114"/>
      <c r="G1" s="114"/>
      <c r="H1" s="114"/>
      <c r="I1" s="114"/>
      <c r="J1" s="114"/>
      <c r="K1" s="114"/>
    </row>
    <row r="2" spans="1:22" ht="25.5" x14ac:dyDescent="0.2">
      <c r="A2" s="60" t="s">
        <v>75</v>
      </c>
      <c r="B2" s="85" t="s">
        <v>490</v>
      </c>
      <c r="C2" s="61" t="s">
        <v>76</v>
      </c>
      <c r="D2" s="62" t="s">
        <v>77</v>
      </c>
      <c r="E2" s="62" t="s">
        <v>78</v>
      </c>
      <c r="F2" s="62" t="s">
        <v>79</v>
      </c>
      <c r="G2" s="62" t="s">
        <v>80</v>
      </c>
      <c r="H2" s="62" t="s">
        <v>81</v>
      </c>
      <c r="I2" s="62" t="s">
        <v>82</v>
      </c>
      <c r="J2" s="62" t="s">
        <v>83</v>
      </c>
      <c r="K2" s="62" t="s">
        <v>84</v>
      </c>
      <c r="L2" s="62" t="s">
        <v>85</v>
      </c>
      <c r="M2" s="62" t="s">
        <v>86</v>
      </c>
      <c r="N2" s="62" t="s">
        <v>87</v>
      </c>
      <c r="O2" s="62" t="s">
        <v>88</v>
      </c>
      <c r="P2" s="62" t="s">
        <v>89</v>
      </c>
      <c r="Q2" s="62" t="s">
        <v>90</v>
      </c>
      <c r="R2" s="62" t="s">
        <v>91</v>
      </c>
      <c r="S2" s="62" t="s">
        <v>92</v>
      </c>
      <c r="T2" s="62" t="s">
        <v>93</v>
      </c>
      <c r="U2" s="62" t="s">
        <v>94</v>
      </c>
      <c r="V2" s="63" t="s">
        <v>95</v>
      </c>
    </row>
    <row r="3" spans="1:22" ht="119.45" customHeight="1" x14ac:dyDescent="0.3">
      <c r="A3" s="84" t="s">
        <v>96</v>
      </c>
      <c r="B3" s="84" t="s">
        <v>491</v>
      </c>
      <c r="C3" s="83" t="s">
        <v>97</v>
      </c>
      <c r="D3" s="52" t="s">
        <v>98</v>
      </c>
      <c r="E3" s="72" t="s">
        <v>99</v>
      </c>
      <c r="F3" s="52" t="s">
        <v>467</v>
      </c>
      <c r="G3" s="52" t="s">
        <v>100</v>
      </c>
      <c r="H3" s="52" t="s">
        <v>101</v>
      </c>
      <c r="I3" s="52" t="s">
        <v>102</v>
      </c>
      <c r="J3" s="52" t="s">
        <v>103</v>
      </c>
      <c r="K3" s="52" t="s">
        <v>104</v>
      </c>
      <c r="L3" s="52" t="s">
        <v>105</v>
      </c>
      <c r="M3" s="52" t="s">
        <v>106</v>
      </c>
      <c r="N3" s="52" t="s">
        <v>105</v>
      </c>
      <c r="O3" s="52"/>
      <c r="P3" s="52" t="s">
        <v>107</v>
      </c>
      <c r="Q3" s="52" t="s">
        <v>108</v>
      </c>
      <c r="R3" s="52" t="s">
        <v>109</v>
      </c>
      <c r="S3" s="52"/>
      <c r="T3" s="52" t="s">
        <v>110</v>
      </c>
      <c r="U3" s="52" t="s">
        <v>111</v>
      </c>
      <c r="V3" s="65" t="s">
        <v>112</v>
      </c>
    </row>
    <row r="4" spans="1:22" ht="122.45" customHeight="1" x14ac:dyDescent="0.3">
      <c r="A4" s="84" t="s">
        <v>96</v>
      </c>
      <c r="B4" s="84" t="s">
        <v>491</v>
      </c>
      <c r="C4" s="64" t="s">
        <v>129</v>
      </c>
      <c r="D4" s="52" t="s">
        <v>98</v>
      </c>
      <c r="E4" s="72" t="s">
        <v>130</v>
      </c>
      <c r="F4" s="52" t="s">
        <v>468</v>
      </c>
      <c r="G4" s="52" t="s">
        <v>100</v>
      </c>
      <c r="H4" s="52" t="s">
        <v>101</v>
      </c>
      <c r="I4" s="52" t="s">
        <v>102</v>
      </c>
      <c r="J4" s="52" t="s">
        <v>131</v>
      </c>
      <c r="K4" s="52" t="s">
        <v>104</v>
      </c>
      <c r="L4" s="52" t="s">
        <v>105</v>
      </c>
      <c r="M4" s="52" t="s">
        <v>106</v>
      </c>
      <c r="N4" s="52" t="s">
        <v>105</v>
      </c>
      <c r="O4" s="52"/>
      <c r="P4" s="52" t="s">
        <v>132</v>
      </c>
      <c r="Q4" s="52" t="s">
        <v>108</v>
      </c>
      <c r="R4" s="52" t="s">
        <v>109</v>
      </c>
      <c r="S4" s="52" t="s">
        <v>133</v>
      </c>
      <c r="T4" s="52" t="s">
        <v>485</v>
      </c>
      <c r="U4" s="52" t="s">
        <v>111</v>
      </c>
      <c r="V4" s="65" t="s">
        <v>112</v>
      </c>
    </row>
    <row r="5" spans="1:22" ht="114.6" customHeight="1" x14ac:dyDescent="0.3">
      <c r="A5" s="84" t="s">
        <v>96</v>
      </c>
      <c r="B5" s="84" t="s">
        <v>491</v>
      </c>
      <c r="C5" s="64" t="s">
        <v>119</v>
      </c>
      <c r="D5" s="52" t="s">
        <v>98</v>
      </c>
      <c r="E5" s="72" t="s">
        <v>120</v>
      </c>
      <c r="F5" s="52" t="s">
        <v>469</v>
      </c>
      <c r="G5" s="52" t="s">
        <v>100</v>
      </c>
      <c r="H5" s="52" t="s">
        <v>101</v>
      </c>
      <c r="I5" s="52" t="s">
        <v>102</v>
      </c>
      <c r="J5" s="52" t="s">
        <v>121</v>
      </c>
      <c r="K5" s="52" t="s">
        <v>104</v>
      </c>
      <c r="L5" s="52" t="s">
        <v>105</v>
      </c>
      <c r="M5" s="52" t="s">
        <v>106</v>
      </c>
      <c r="N5" s="52" t="s">
        <v>105</v>
      </c>
      <c r="O5" s="52"/>
      <c r="P5" s="52" t="s">
        <v>122</v>
      </c>
      <c r="Q5" s="52" t="s">
        <v>108</v>
      </c>
      <c r="R5" s="52" t="s">
        <v>109</v>
      </c>
      <c r="S5" s="52"/>
      <c r="T5" s="52" t="s">
        <v>486</v>
      </c>
      <c r="U5" s="52" t="s">
        <v>111</v>
      </c>
      <c r="V5" s="65" t="s">
        <v>123</v>
      </c>
    </row>
    <row r="6" spans="1:22" ht="65.25" x14ac:dyDescent="0.3">
      <c r="A6" s="84" t="s">
        <v>96</v>
      </c>
      <c r="B6" s="84" t="s">
        <v>491</v>
      </c>
      <c r="C6" s="64" t="s">
        <v>147</v>
      </c>
      <c r="D6" s="52" t="s">
        <v>98</v>
      </c>
      <c r="E6" s="72" t="s">
        <v>148</v>
      </c>
      <c r="F6" s="52" t="s">
        <v>470</v>
      </c>
      <c r="G6" s="52" t="s">
        <v>100</v>
      </c>
      <c r="H6" s="52" t="s">
        <v>101</v>
      </c>
      <c r="I6" s="52" t="s">
        <v>102</v>
      </c>
      <c r="J6" s="52" t="s">
        <v>149</v>
      </c>
      <c r="K6" s="52" t="s">
        <v>104</v>
      </c>
      <c r="L6" s="52" t="s">
        <v>105</v>
      </c>
      <c r="M6" s="52" t="s">
        <v>106</v>
      </c>
      <c r="N6" s="52" t="s">
        <v>105</v>
      </c>
      <c r="O6" s="52"/>
      <c r="P6" s="52" t="s">
        <v>150</v>
      </c>
      <c r="Q6" s="52" t="s">
        <v>151</v>
      </c>
      <c r="R6" s="52" t="s">
        <v>152</v>
      </c>
      <c r="S6" s="52"/>
      <c r="T6" s="52" t="s">
        <v>153</v>
      </c>
      <c r="U6" s="52" t="s">
        <v>154</v>
      </c>
      <c r="V6" s="65" t="s">
        <v>155</v>
      </c>
    </row>
    <row r="7" spans="1:22" ht="65.25" x14ac:dyDescent="0.3">
      <c r="A7" s="84" t="s">
        <v>96</v>
      </c>
      <c r="B7" s="84" t="s">
        <v>491</v>
      </c>
      <c r="C7" s="64" t="s">
        <v>161</v>
      </c>
      <c r="D7" s="52" t="s">
        <v>98</v>
      </c>
      <c r="E7" s="72" t="s">
        <v>162</v>
      </c>
      <c r="F7" s="52" t="s">
        <v>471</v>
      </c>
      <c r="G7" s="52" t="s">
        <v>100</v>
      </c>
      <c r="H7" s="52" t="s">
        <v>101</v>
      </c>
      <c r="I7" s="52" t="s">
        <v>102</v>
      </c>
      <c r="J7" s="52" t="s">
        <v>163</v>
      </c>
      <c r="K7" s="52" t="s">
        <v>104</v>
      </c>
      <c r="L7" s="52" t="s">
        <v>105</v>
      </c>
      <c r="M7" s="52" t="s">
        <v>106</v>
      </c>
      <c r="N7" s="52" t="s">
        <v>105</v>
      </c>
      <c r="O7" s="52"/>
      <c r="P7" s="52"/>
      <c r="Q7" s="52" t="s">
        <v>151</v>
      </c>
      <c r="R7" s="52" t="s">
        <v>164</v>
      </c>
      <c r="S7" s="52" t="s">
        <v>165</v>
      </c>
      <c r="T7" s="52"/>
      <c r="U7" s="52" t="s">
        <v>111</v>
      </c>
      <c r="V7" s="65" t="s">
        <v>155</v>
      </c>
    </row>
    <row r="8" spans="1:22" ht="65.25" x14ac:dyDescent="0.3">
      <c r="A8" s="84" t="s">
        <v>96</v>
      </c>
      <c r="B8" s="84" t="s">
        <v>491</v>
      </c>
      <c r="C8" s="64" t="s">
        <v>156</v>
      </c>
      <c r="D8" s="52" t="s">
        <v>98</v>
      </c>
      <c r="E8" s="72" t="s">
        <v>157</v>
      </c>
      <c r="F8" s="52" t="s">
        <v>472</v>
      </c>
      <c r="G8" s="52" t="s">
        <v>100</v>
      </c>
      <c r="H8" s="52" t="s">
        <v>101</v>
      </c>
      <c r="I8" s="52" t="s">
        <v>102</v>
      </c>
      <c r="J8" s="52" t="s">
        <v>158</v>
      </c>
      <c r="K8" s="52" t="s">
        <v>104</v>
      </c>
      <c r="L8" s="52" t="s">
        <v>105</v>
      </c>
      <c r="M8" s="52" t="s">
        <v>106</v>
      </c>
      <c r="N8" s="52" t="s">
        <v>105</v>
      </c>
      <c r="O8" s="52"/>
      <c r="P8" s="52" t="s">
        <v>150</v>
      </c>
      <c r="Q8" s="52" t="s">
        <v>151</v>
      </c>
      <c r="R8" s="52" t="s">
        <v>152</v>
      </c>
      <c r="S8" s="52"/>
      <c r="T8" s="52" t="s">
        <v>159</v>
      </c>
      <c r="U8" s="52" t="s">
        <v>154</v>
      </c>
      <c r="V8" s="65" t="s">
        <v>160</v>
      </c>
    </row>
    <row r="9" spans="1:22" ht="78" x14ac:dyDescent="0.3">
      <c r="A9" s="84" t="s">
        <v>96</v>
      </c>
      <c r="B9" s="84" t="s">
        <v>491</v>
      </c>
      <c r="C9" s="64" t="s">
        <v>166</v>
      </c>
      <c r="D9" s="52" t="s">
        <v>98</v>
      </c>
      <c r="E9" s="72" t="s">
        <v>167</v>
      </c>
      <c r="F9" s="52" t="s">
        <v>473</v>
      </c>
      <c r="G9" s="52" t="s">
        <v>100</v>
      </c>
      <c r="H9" s="52" t="s">
        <v>101</v>
      </c>
      <c r="I9" s="52" t="s">
        <v>168</v>
      </c>
      <c r="J9" s="52" t="s">
        <v>169</v>
      </c>
      <c r="K9" s="52" t="s">
        <v>170</v>
      </c>
      <c r="L9" s="52" t="s">
        <v>105</v>
      </c>
      <c r="M9" s="52" t="s">
        <v>106</v>
      </c>
      <c r="N9" s="52" t="s">
        <v>105</v>
      </c>
      <c r="O9" s="52"/>
      <c r="P9" s="52"/>
      <c r="Q9" s="52" t="s">
        <v>171</v>
      </c>
      <c r="R9" s="52" t="s">
        <v>172</v>
      </c>
      <c r="S9" s="52"/>
      <c r="T9" s="52" t="s">
        <v>173</v>
      </c>
      <c r="U9" s="52" t="s">
        <v>174</v>
      </c>
      <c r="V9" s="65" t="s">
        <v>175</v>
      </c>
    </row>
    <row r="10" spans="1:22" ht="92.45" customHeight="1" x14ac:dyDescent="0.3">
      <c r="A10" s="84" t="s">
        <v>96</v>
      </c>
      <c r="B10" s="84" t="s">
        <v>492</v>
      </c>
      <c r="C10" s="64" t="s">
        <v>139</v>
      </c>
      <c r="D10" s="52" t="s">
        <v>98</v>
      </c>
      <c r="E10" s="72" t="s">
        <v>140</v>
      </c>
      <c r="F10" s="52" t="s">
        <v>474</v>
      </c>
      <c r="G10" s="52" t="s">
        <v>100</v>
      </c>
      <c r="H10" s="52" t="s">
        <v>101</v>
      </c>
      <c r="I10" s="52" t="s">
        <v>141</v>
      </c>
      <c r="J10" s="52" t="s">
        <v>142</v>
      </c>
      <c r="K10" s="52" t="s">
        <v>104</v>
      </c>
      <c r="L10" s="52" t="s">
        <v>105</v>
      </c>
      <c r="M10" s="52" t="s">
        <v>106</v>
      </c>
      <c r="N10" s="52" t="s">
        <v>105</v>
      </c>
      <c r="O10" s="52"/>
      <c r="P10" s="52" t="s">
        <v>143</v>
      </c>
      <c r="Q10" s="52" t="s">
        <v>108</v>
      </c>
      <c r="R10" s="52" t="s">
        <v>109</v>
      </c>
      <c r="S10" s="52" t="s">
        <v>144</v>
      </c>
      <c r="T10" s="52" t="s">
        <v>145</v>
      </c>
      <c r="U10" s="52" t="s">
        <v>111</v>
      </c>
      <c r="V10" s="65" t="s">
        <v>146</v>
      </c>
    </row>
    <row r="11" spans="1:22" ht="97.9" customHeight="1" x14ac:dyDescent="0.3">
      <c r="A11" s="84" t="s">
        <v>96</v>
      </c>
      <c r="B11" s="84" t="s">
        <v>493</v>
      </c>
      <c r="C11" s="64" t="s">
        <v>333</v>
      </c>
      <c r="D11" s="52" t="s">
        <v>320</v>
      </c>
      <c r="E11" s="72" t="s">
        <v>334</v>
      </c>
      <c r="F11" s="52" t="s">
        <v>335</v>
      </c>
      <c r="G11" s="52" t="s">
        <v>100</v>
      </c>
      <c r="H11" s="52" t="s">
        <v>101</v>
      </c>
      <c r="I11" s="52" t="s">
        <v>336</v>
      </c>
      <c r="J11" s="52" t="s">
        <v>337</v>
      </c>
      <c r="K11" s="52" t="s">
        <v>338</v>
      </c>
      <c r="L11" s="52" t="s">
        <v>105</v>
      </c>
      <c r="M11" s="52" t="s">
        <v>106</v>
      </c>
      <c r="N11" s="52" t="s">
        <v>105</v>
      </c>
      <c r="O11" s="52" t="s">
        <v>325</v>
      </c>
      <c r="P11" s="52" t="s">
        <v>326</v>
      </c>
      <c r="Q11" s="52" t="s">
        <v>339</v>
      </c>
      <c r="R11" s="52" t="s">
        <v>328</v>
      </c>
      <c r="S11" s="52" t="s">
        <v>340</v>
      </c>
      <c r="T11" s="52" t="s">
        <v>341</v>
      </c>
      <c r="U11" s="52" t="s">
        <v>331</v>
      </c>
      <c r="V11" s="65" t="s">
        <v>332</v>
      </c>
    </row>
    <row r="12" spans="1:22" ht="61.9" customHeight="1" x14ac:dyDescent="0.3">
      <c r="A12" s="84" t="s">
        <v>96</v>
      </c>
      <c r="B12" s="84" t="s">
        <v>493</v>
      </c>
      <c r="C12" s="64" t="s">
        <v>406</v>
      </c>
      <c r="D12" s="52" t="s">
        <v>320</v>
      </c>
      <c r="E12" s="75" t="s">
        <v>407</v>
      </c>
      <c r="F12" s="52" t="s">
        <v>408</v>
      </c>
      <c r="G12" s="52" t="s">
        <v>100</v>
      </c>
      <c r="H12" s="52" t="s">
        <v>409</v>
      </c>
      <c r="I12" s="52" t="s">
        <v>232</v>
      </c>
      <c r="J12" s="52" t="s">
        <v>232</v>
      </c>
      <c r="K12" s="52" t="s">
        <v>170</v>
      </c>
      <c r="L12" s="52" t="s">
        <v>105</v>
      </c>
      <c r="M12" s="52" t="s">
        <v>106</v>
      </c>
      <c r="N12" s="52" t="s">
        <v>105</v>
      </c>
      <c r="O12" s="52" t="s">
        <v>325</v>
      </c>
      <c r="P12" s="52" t="s">
        <v>410</v>
      </c>
      <c r="Q12" s="52" t="s">
        <v>411</v>
      </c>
      <c r="R12" s="52" t="s">
        <v>412</v>
      </c>
      <c r="S12" s="52"/>
      <c r="T12" s="52"/>
      <c r="U12" s="52" t="s">
        <v>413</v>
      </c>
      <c r="V12" s="65" t="s">
        <v>414</v>
      </c>
    </row>
    <row r="13" spans="1:22" ht="67.5" x14ac:dyDescent="0.3">
      <c r="A13" s="84" t="s">
        <v>96</v>
      </c>
      <c r="B13" s="84" t="s">
        <v>493</v>
      </c>
      <c r="C13" s="64" t="s">
        <v>415</v>
      </c>
      <c r="D13" s="52" t="s">
        <v>320</v>
      </c>
      <c r="E13" s="75" t="s">
        <v>416</v>
      </c>
      <c r="F13" s="52" t="s">
        <v>417</v>
      </c>
      <c r="G13" s="52" t="s">
        <v>230</v>
      </c>
      <c r="H13" s="52" t="s">
        <v>409</v>
      </c>
      <c r="I13" s="52" t="s">
        <v>232</v>
      </c>
      <c r="J13" s="52" t="s">
        <v>232</v>
      </c>
      <c r="K13" s="52" t="s">
        <v>170</v>
      </c>
      <c r="L13" s="52" t="s">
        <v>105</v>
      </c>
      <c r="M13" s="52" t="s">
        <v>106</v>
      </c>
      <c r="N13" s="52" t="s">
        <v>105</v>
      </c>
      <c r="O13" s="52" t="s">
        <v>325</v>
      </c>
      <c r="P13" s="52" t="s">
        <v>410</v>
      </c>
      <c r="Q13" s="52" t="s">
        <v>411</v>
      </c>
      <c r="R13" s="52" t="s">
        <v>418</v>
      </c>
      <c r="S13" s="52"/>
      <c r="T13" s="52"/>
      <c r="U13" s="52" t="s">
        <v>413</v>
      </c>
      <c r="V13" s="65" t="s">
        <v>414</v>
      </c>
    </row>
    <row r="14" spans="1:22" ht="55.15" customHeight="1" x14ac:dyDescent="0.3">
      <c r="A14" s="84" t="s">
        <v>96</v>
      </c>
      <c r="B14" s="84" t="s">
        <v>493</v>
      </c>
      <c r="C14" s="64" t="s">
        <v>371</v>
      </c>
      <c r="D14" s="52" t="s">
        <v>320</v>
      </c>
      <c r="E14" s="72" t="s">
        <v>372</v>
      </c>
      <c r="F14" s="52" t="s">
        <v>373</v>
      </c>
      <c r="G14" s="52" t="s">
        <v>100</v>
      </c>
      <c r="H14" s="52" t="s">
        <v>101</v>
      </c>
      <c r="I14" s="52" t="s">
        <v>374</v>
      </c>
      <c r="J14" s="52" t="s">
        <v>375</v>
      </c>
      <c r="K14" s="52" t="s">
        <v>117</v>
      </c>
      <c r="L14" s="52" t="s">
        <v>180</v>
      </c>
      <c r="M14" s="52" t="s">
        <v>106</v>
      </c>
      <c r="N14" s="52" t="s">
        <v>105</v>
      </c>
      <c r="O14" s="52" t="s">
        <v>376</v>
      </c>
      <c r="P14" s="52" t="s">
        <v>326</v>
      </c>
      <c r="Q14" s="52" t="s">
        <v>108</v>
      </c>
      <c r="R14" s="52" t="s">
        <v>377</v>
      </c>
      <c r="S14" s="52"/>
      <c r="T14" s="52" t="s">
        <v>378</v>
      </c>
      <c r="U14" s="52" t="s">
        <v>348</v>
      </c>
      <c r="V14" s="65" t="s">
        <v>379</v>
      </c>
    </row>
    <row r="15" spans="1:22" ht="67.5" x14ac:dyDescent="0.3">
      <c r="A15" s="81" t="s">
        <v>96</v>
      </c>
      <c r="B15" s="84" t="s">
        <v>493</v>
      </c>
      <c r="C15" s="64" t="s">
        <v>385</v>
      </c>
      <c r="D15" s="52" t="s">
        <v>320</v>
      </c>
      <c r="E15" s="72" t="s">
        <v>386</v>
      </c>
      <c r="F15" s="52" t="s">
        <v>387</v>
      </c>
      <c r="G15" s="52" t="s">
        <v>100</v>
      </c>
      <c r="H15" s="52" t="s">
        <v>101</v>
      </c>
      <c r="I15" s="52" t="s">
        <v>374</v>
      </c>
      <c r="J15" s="52" t="s">
        <v>388</v>
      </c>
      <c r="K15" s="52" t="s">
        <v>117</v>
      </c>
      <c r="L15" s="52" t="s">
        <v>105</v>
      </c>
      <c r="M15" s="52" t="s">
        <v>106</v>
      </c>
      <c r="N15" s="52" t="s">
        <v>105</v>
      </c>
      <c r="O15" s="52" t="s">
        <v>376</v>
      </c>
      <c r="P15" s="52" t="s">
        <v>326</v>
      </c>
      <c r="Q15" s="52" t="s">
        <v>108</v>
      </c>
      <c r="R15" s="52" t="s">
        <v>384</v>
      </c>
      <c r="S15" s="52"/>
      <c r="T15" s="52"/>
      <c r="U15" s="52" t="s">
        <v>348</v>
      </c>
      <c r="V15" s="65" t="s">
        <v>379</v>
      </c>
    </row>
    <row r="16" spans="1:22" ht="67.5" x14ac:dyDescent="0.3">
      <c r="A16" s="84" t="s">
        <v>96</v>
      </c>
      <c r="B16" s="84" t="s">
        <v>493</v>
      </c>
      <c r="C16" s="64" t="s">
        <v>273</v>
      </c>
      <c r="D16" s="52" t="s">
        <v>220</v>
      </c>
      <c r="E16" s="72" t="s">
        <v>431</v>
      </c>
      <c r="F16" s="52" t="s">
        <v>435</v>
      </c>
      <c r="G16" s="52" t="s">
        <v>100</v>
      </c>
      <c r="H16" s="52" t="s">
        <v>101</v>
      </c>
      <c r="I16" s="52" t="s">
        <v>436</v>
      </c>
      <c r="J16" s="52" t="s">
        <v>437</v>
      </c>
      <c r="K16" s="52" t="s">
        <v>170</v>
      </c>
      <c r="L16" s="52" t="s">
        <v>180</v>
      </c>
      <c r="M16" s="52" t="s">
        <v>106</v>
      </c>
      <c r="N16" s="52" t="s">
        <v>105</v>
      </c>
      <c r="O16" s="52" t="s">
        <v>433</v>
      </c>
      <c r="P16" s="52" t="s">
        <v>285</v>
      </c>
      <c r="Q16" s="52" t="s">
        <v>279</v>
      </c>
      <c r="R16" s="52" t="s">
        <v>286</v>
      </c>
      <c r="S16" s="52"/>
      <c r="T16" s="52" t="s">
        <v>287</v>
      </c>
      <c r="U16" s="52" t="s">
        <v>282</v>
      </c>
      <c r="V16" s="65" t="s">
        <v>283</v>
      </c>
    </row>
    <row r="17" spans="1:24" ht="55.15" customHeight="1" x14ac:dyDescent="0.3">
      <c r="A17" s="84" t="s">
        <v>96</v>
      </c>
      <c r="B17" s="84" t="s">
        <v>493</v>
      </c>
      <c r="C17" s="64" t="s">
        <v>284</v>
      </c>
      <c r="D17" s="52" t="s">
        <v>220</v>
      </c>
      <c r="E17" s="72" t="s">
        <v>431</v>
      </c>
      <c r="F17" s="52" t="s">
        <v>434</v>
      </c>
      <c r="G17" s="52" t="s">
        <v>100</v>
      </c>
      <c r="H17" s="52" t="s">
        <v>101</v>
      </c>
      <c r="I17" s="52" t="s">
        <v>258</v>
      </c>
      <c r="J17" s="52" t="s">
        <v>438</v>
      </c>
      <c r="K17" s="52" t="s">
        <v>170</v>
      </c>
      <c r="L17" s="52" t="s">
        <v>180</v>
      </c>
      <c r="M17" s="52" t="s">
        <v>106</v>
      </c>
      <c r="N17" s="52" t="s">
        <v>105</v>
      </c>
      <c r="O17" s="52" t="s">
        <v>224</v>
      </c>
      <c r="P17" s="52" t="s">
        <v>285</v>
      </c>
      <c r="Q17" s="52" t="s">
        <v>279</v>
      </c>
      <c r="R17" s="52" t="s">
        <v>286</v>
      </c>
      <c r="S17" s="52"/>
      <c r="T17" s="52" t="s">
        <v>287</v>
      </c>
      <c r="U17" s="52" t="s">
        <v>282</v>
      </c>
      <c r="V17" s="65" t="s">
        <v>283</v>
      </c>
    </row>
    <row r="18" spans="1:24" ht="85.9" customHeight="1" x14ac:dyDescent="0.3">
      <c r="A18" s="84" t="s">
        <v>96</v>
      </c>
      <c r="B18" s="84" t="s">
        <v>494</v>
      </c>
      <c r="C18" s="80" t="s">
        <v>97</v>
      </c>
      <c r="D18" s="78" t="s">
        <v>465</v>
      </c>
      <c r="E18" s="72" t="s">
        <v>466</v>
      </c>
      <c r="F18" s="77" t="s">
        <v>487</v>
      </c>
      <c r="G18" s="77" t="s">
        <v>100</v>
      </c>
      <c r="H18" s="77" t="s">
        <v>101</v>
      </c>
      <c r="I18" s="77" t="s">
        <v>102</v>
      </c>
      <c r="J18" s="77" t="s">
        <v>488</v>
      </c>
      <c r="K18" s="77" t="s">
        <v>104</v>
      </c>
      <c r="L18" s="77" t="s">
        <v>105</v>
      </c>
      <c r="M18" s="77" t="s">
        <v>106</v>
      </c>
      <c r="N18" s="77" t="s">
        <v>105</v>
      </c>
      <c r="O18" s="78"/>
      <c r="P18" s="77" t="s">
        <v>107</v>
      </c>
      <c r="Q18" s="78"/>
      <c r="R18" s="77" t="s">
        <v>109</v>
      </c>
      <c r="S18" s="78"/>
      <c r="T18" s="78"/>
      <c r="U18" s="77" t="s">
        <v>111</v>
      </c>
      <c r="V18" s="79"/>
    </row>
    <row r="19" spans="1:24" ht="129" x14ac:dyDescent="0.3">
      <c r="A19" s="84" t="s">
        <v>96</v>
      </c>
      <c r="B19" s="84" t="s">
        <v>494</v>
      </c>
      <c r="C19" s="64" t="s">
        <v>196</v>
      </c>
      <c r="D19" s="52" t="s">
        <v>98</v>
      </c>
      <c r="E19" s="72" t="s">
        <v>197</v>
      </c>
      <c r="F19" s="52" t="s">
        <v>475</v>
      </c>
      <c r="G19" s="52" t="s">
        <v>100</v>
      </c>
      <c r="H19" s="52" t="s">
        <v>101</v>
      </c>
      <c r="I19" s="52" t="s">
        <v>198</v>
      </c>
      <c r="J19" s="52" t="s">
        <v>199</v>
      </c>
      <c r="K19" s="52" t="s">
        <v>200</v>
      </c>
      <c r="L19" s="52" t="s">
        <v>105</v>
      </c>
      <c r="M19" s="52" t="s">
        <v>106</v>
      </c>
      <c r="N19" s="52" t="s">
        <v>105</v>
      </c>
      <c r="O19" s="52"/>
      <c r="P19" s="52" t="s">
        <v>201</v>
      </c>
      <c r="Q19" s="52" t="s">
        <v>202</v>
      </c>
      <c r="R19" s="52" t="s">
        <v>203</v>
      </c>
      <c r="S19" s="52" t="s">
        <v>204</v>
      </c>
      <c r="T19" s="52" t="s">
        <v>205</v>
      </c>
      <c r="U19" s="52" t="s">
        <v>206</v>
      </c>
      <c r="V19" s="65" t="s">
        <v>207</v>
      </c>
    </row>
    <row r="20" spans="1:24" ht="90.75" x14ac:dyDescent="0.3">
      <c r="A20" s="84" t="s">
        <v>96</v>
      </c>
      <c r="B20" s="84" t="s">
        <v>494</v>
      </c>
      <c r="C20" s="64" t="s">
        <v>189</v>
      </c>
      <c r="D20" s="52" t="s">
        <v>98</v>
      </c>
      <c r="E20" s="76" t="s">
        <v>190</v>
      </c>
      <c r="F20" s="52" t="s">
        <v>476</v>
      </c>
      <c r="G20" s="52" t="s">
        <v>100</v>
      </c>
      <c r="H20" s="52" t="s">
        <v>101</v>
      </c>
      <c r="I20" s="52" t="s">
        <v>191</v>
      </c>
      <c r="J20" s="52" t="s">
        <v>192</v>
      </c>
      <c r="K20" s="52" t="s">
        <v>117</v>
      </c>
      <c r="L20" s="52" t="s">
        <v>180</v>
      </c>
      <c r="M20" s="52" t="s">
        <v>106</v>
      </c>
      <c r="N20" s="52" t="s">
        <v>105</v>
      </c>
      <c r="O20" s="52"/>
      <c r="P20" s="52" t="s">
        <v>193</v>
      </c>
      <c r="Q20" s="52" t="s">
        <v>194</v>
      </c>
      <c r="R20" s="52" t="s">
        <v>109</v>
      </c>
      <c r="S20" s="52"/>
      <c r="T20" s="52" t="s">
        <v>195</v>
      </c>
      <c r="U20" s="52"/>
      <c r="V20" s="65" t="s">
        <v>188</v>
      </c>
    </row>
    <row r="21" spans="1:24" customFormat="1" ht="15.75" x14ac:dyDescent="0.25"/>
    <row r="22" spans="1:24" ht="124.15" customHeight="1" x14ac:dyDescent="0.2">
      <c r="A22" s="58"/>
      <c r="B22" s="57"/>
      <c r="C22" s="57"/>
      <c r="D22" s="57"/>
      <c r="E22" s="57"/>
      <c r="F22" s="57"/>
      <c r="G22" s="57"/>
      <c r="H22" s="57"/>
      <c r="I22" s="57"/>
      <c r="J22" s="57"/>
      <c r="K22" s="57"/>
      <c r="L22" s="57"/>
      <c r="M22" s="57"/>
      <c r="N22" s="57"/>
      <c r="O22" s="57"/>
      <c r="P22" s="57"/>
      <c r="Q22" s="57"/>
      <c r="R22" s="57"/>
      <c r="S22" s="57"/>
      <c r="T22" s="57"/>
      <c r="U22" s="57"/>
      <c r="V22" s="57"/>
      <c r="W22" s="59"/>
      <c r="X22" s="59"/>
    </row>
    <row r="23" spans="1:24" ht="45.6" customHeight="1" thickBot="1" x14ac:dyDescent="0.25">
      <c r="A23" s="376" t="s">
        <v>432</v>
      </c>
      <c r="B23" s="377"/>
      <c r="C23" s="377"/>
      <c r="D23" s="377"/>
      <c r="E23" s="377"/>
      <c r="F23" s="377"/>
      <c r="G23" s="377"/>
      <c r="H23" s="377"/>
      <c r="I23" s="377"/>
      <c r="J23" s="377"/>
      <c r="K23" s="377"/>
      <c r="L23" s="377"/>
      <c r="M23" s="377"/>
      <c r="N23" s="377"/>
      <c r="O23" s="377"/>
      <c r="P23" s="377"/>
      <c r="Q23" s="377"/>
      <c r="R23" s="377"/>
      <c r="S23" s="377"/>
      <c r="T23" s="377"/>
      <c r="U23" s="377"/>
      <c r="V23" s="378"/>
    </row>
    <row r="24" spans="1:24" ht="78" x14ac:dyDescent="0.3">
      <c r="A24" s="81" t="s">
        <v>96</v>
      </c>
      <c r="B24" s="82" t="s">
        <v>489</v>
      </c>
      <c r="C24" s="69" t="s">
        <v>342</v>
      </c>
      <c r="D24" s="70" t="s">
        <v>320</v>
      </c>
      <c r="E24" s="70" t="s">
        <v>343</v>
      </c>
      <c r="F24" s="70" t="s">
        <v>344</v>
      </c>
      <c r="G24" s="70" t="s">
        <v>100</v>
      </c>
      <c r="H24" s="70" t="s">
        <v>101</v>
      </c>
      <c r="I24" s="70" t="s">
        <v>345</v>
      </c>
      <c r="J24" s="70" t="s">
        <v>346</v>
      </c>
      <c r="K24" s="70" t="s">
        <v>170</v>
      </c>
      <c r="L24" s="70" t="s">
        <v>180</v>
      </c>
      <c r="M24" s="70" t="s">
        <v>106</v>
      </c>
      <c r="N24" s="70" t="s">
        <v>105</v>
      </c>
      <c r="O24" s="70"/>
      <c r="P24" s="70"/>
      <c r="Q24" s="70" t="s">
        <v>108</v>
      </c>
      <c r="R24" s="70" t="s">
        <v>347</v>
      </c>
      <c r="S24" s="70"/>
      <c r="T24" s="70" t="s">
        <v>341</v>
      </c>
      <c r="U24" s="70" t="s">
        <v>348</v>
      </c>
      <c r="V24" s="71" t="s">
        <v>332</v>
      </c>
    </row>
    <row r="25" spans="1:24" ht="103.5" x14ac:dyDescent="0.3">
      <c r="A25" s="81" t="s">
        <v>96</v>
      </c>
      <c r="B25" s="82" t="s">
        <v>489</v>
      </c>
      <c r="C25" s="64" t="s">
        <v>349</v>
      </c>
      <c r="D25" s="52" t="s">
        <v>320</v>
      </c>
      <c r="E25" s="52" t="s">
        <v>350</v>
      </c>
      <c r="F25" s="52" t="s">
        <v>351</v>
      </c>
      <c r="G25" s="52" t="s">
        <v>100</v>
      </c>
      <c r="H25" s="52" t="s">
        <v>101</v>
      </c>
      <c r="I25" s="52" t="s">
        <v>352</v>
      </c>
      <c r="J25" s="52" t="s">
        <v>353</v>
      </c>
      <c r="K25" s="52" t="s">
        <v>170</v>
      </c>
      <c r="L25" s="52" t="s">
        <v>105</v>
      </c>
      <c r="M25" s="52" t="s">
        <v>106</v>
      </c>
      <c r="N25" s="52" t="s">
        <v>105</v>
      </c>
      <c r="O25" s="52"/>
      <c r="P25" s="52" t="s">
        <v>326</v>
      </c>
      <c r="Q25" s="52" t="s">
        <v>354</v>
      </c>
      <c r="R25" s="52" t="s">
        <v>328</v>
      </c>
      <c r="S25" s="52" t="s">
        <v>355</v>
      </c>
      <c r="T25" s="52"/>
      <c r="U25" s="52" t="s">
        <v>331</v>
      </c>
      <c r="V25" s="65" t="s">
        <v>332</v>
      </c>
    </row>
    <row r="26" spans="1:24" ht="39.75" x14ac:dyDescent="0.3">
      <c r="A26" s="81" t="s">
        <v>96</v>
      </c>
      <c r="B26" s="82" t="s">
        <v>489</v>
      </c>
      <c r="C26" s="64" t="s">
        <v>356</v>
      </c>
      <c r="D26" s="52" t="s">
        <v>320</v>
      </c>
      <c r="E26" s="52" t="s">
        <v>357</v>
      </c>
      <c r="F26" s="52" t="s">
        <v>358</v>
      </c>
      <c r="G26" s="52" t="s">
        <v>100</v>
      </c>
      <c r="H26" s="52" t="s">
        <v>101</v>
      </c>
      <c r="I26" s="52" t="s">
        <v>336</v>
      </c>
      <c r="J26" s="52" t="s">
        <v>359</v>
      </c>
      <c r="K26" s="52" t="s">
        <v>117</v>
      </c>
      <c r="L26" s="52" t="s">
        <v>180</v>
      </c>
      <c r="M26" s="52" t="s">
        <v>213</v>
      </c>
      <c r="N26" s="52" t="s">
        <v>180</v>
      </c>
      <c r="O26" s="52"/>
      <c r="P26" s="52" t="s">
        <v>326</v>
      </c>
      <c r="Q26" s="52" t="s">
        <v>108</v>
      </c>
      <c r="R26" s="52" t="s">
        <v>360</v>
      </c>
      <c r="S26" s="52"/>
      <c r="T26" s="52" t="s">
        <v>341</v>
      </c>
      <c r="U26" s="52" t="s">
        <v>348</v>
      </c>
      <c r="V26" s="65" t="s">
        <v>332</v>
      </c>
    </row>
    <row r="27" spans="1:24" ht="52.5" x14ac:dyDescent="0.3">
      <c r="A27" s="81" t="s">
        <v>96</v>
      </c>
      <c r="B27" s="82" t="s">
        <v>489</v>
      </c>
      <c r="C27" s="64" t="s">
        <v>361</v>
      </c>
      <c r="D27" s="52" t="s">
        <v>320</v>
      </c>
      <c r="E27" s="52" t="s">
        <v>362</v>
      </c>
      <c r="F27" s="52" t="s">
        <v>363</v>
      </c>
      <c r="G27" s="52" t="s">
        <v>100</v>
      </c>
      <c r="H27" s="52" t="s">
        <v>101</v>
      </c>
      <c r="I27" s="52" t="s">
        <v>364</v>
      </c>
      <c r="J27" s="52" t="s">
        <v>365</v>
      </c>
      <c r="K27" s="52" t="s">
        <v>117</v>
      </c>
      <c r="L27" s="52" t="s">
        <v>105</v>
      </c>
      <c r="M27" s="52" t="s">
        <v>106</v>
      </c>
      <c r="N27" s="52" t="s">
        <v>105</v>
      </c>
      <c r="O27" s="52" t="s">
        <v>366</v>
      </c>
      <c r="P27" s="52"/>
      <c r="Q27" s="52" t="s">
        <v>367</v>
      </c>
      <c r="R27" s="52" t="s">
        <v>368</v>
      </c>
      <c r="S27" s="52"/>
      <c r="T27" s="52"/>
      <c r="U27" s="52" t="s">
        <v>369</v>
      </c>
      <c r="V27" s="65" t="s">
        <v>370</v>
      </c>
    </row>
    <row r="28" spans="1:24" ht="52.5" x14ac:dyDescent="0.3">
      <c r="A28" s="81" t="s">
        <v>96</v>
      </c>
      <c r="B28" s="82" t="s">
        <v>489</v>
      </c>
      <c r="C28" s="64" t="s">
        <v>288</v>
      </c>
      <c r="D28" s="52" t="s">
        <v>220</v>
      </c>
      <c r="E28" s="52" t="s">
        <v>477</v>
      </c>
      <c r="F28" s="52" t="s">
        <v>289</v>
      </c>
      <c r="G28" s="52" t="s">
        <v>100</v>
      </c>
      <c r="H28" s="52" t="s">
        <v>101</v>
      </c>
      <c r="I28" s="52" t="s">
        <v>290</v>
      </c>
      <c r="J28" s="52" t="s">
        <v>291</v>
      </c>
      <c r="K28" s="52" t="s">
        <v>292</v>
      </c>
      <c r="L28" s="52" t="s">
        <v>105</v>
      </c>
      <c r="M28" s="52" t="s">
        <v>213</v>
      </c>
      <c r="N28" s="52" t="s">
        <v>180</v>
      </c>
      <c r="O28" s="52" t="s">
        <v>224</v>
      </c>
      <c r="P28" s="52" t="s">
        <v>293</v>
      </c>
      <c r="Q28" s="52" t="s">
        <v>279</v>
      </c>
      <c r="R28" s="52" t="s">
        <v>294</v>
      </c>
      <c r="S28" s="52"/>
      <c r="T28" s="52" t="s">
        <v>295</v>
      </c>
      <c r="U28" s="52" t="s">
        <v>296</v>
      </c>
      <c r="V28" s="65" t="s">
        <v>297</v>
      </c>
    </row>
    <row r="29" spans="1:24" ht="52.5" x14ac:dyDescent="0.3">
      <c r="A29" s="81" t="s">
        <v>96</v>
      </c>
      <c r="B29" s="82" t="s">
        <v>489</v>
      </c>
      <c r="C29" s="64" t="s">
        <v>298</v>
      </c>
      <c r="D29" s="52" t="s">
        <v>98</v>
      </c>
      <c r="E29" s="52" t="s">
        <v>299</v>
      </c>
      <c r="F29" s="52" t="s">
        <v>300</v>
      </c>
      <c r="G29" s="52" t="s">
        <v>100</v>
      </c>
      <c r="H29" s="52" t="s">
        <v>101</v>
      </c>
      <c r="I29" s="52" t="s">
        <v>141</v>
      </c>
      <c r="J29" s="52" t="s">
        <v>301</v>
      </c>
      <c r="K29" s="52" t="s">
        <v>170</v>
      </c>
      <c r="L29" s="52" t="s">
        <v>105</v>
      </c>
      <c r="M29" s="52" t="s">
        <v>213</v>
      </c>
      <c r="N29" s="52" t="s">
        <v>180</v>
      </c>
      <c r="O29" s="52"/>
      <c r="P29" s="52" t="s">
        <v>302</v>
      </c>
      <c r="Q29" s="52" t="s">
        <v>214</v>
      </c>
      <c r="R29" s="52" t="s">
        <v>303</v>
      </c>
      <c r="S29" s="52"/>
      <c r="T29" s="52" t="s">
        <v>304</v>
      </c>
      <c r="U29" s="52" t="s">
        <v>305</v>
      </c>
      <c r="V29" s="65" t="s">
        <v>306</v>
      </c>
    </row>
    <row r="30" spans="1:24" ht="90.75" x14ac:dyDescent="0.3">
      <c r="A30" s="81" t="s">
        <v>96</v>
      </c>
      <c r="B30" s="82" t="s">
        <v>489</v>
      </c>
      <c r="C30" s="64" t="s">
        <v>307</v>
      </c>
      <c r="D30" s="52" t="s">
        <v>98</v>
      </c>
      <c r="E30" s="52" t="s">
        <v>308</v>
      </c>
      <c r="F30" s="52" t="s">
        <v>309</v>
      </c>
      <c r="G30" s="52" t="s">
        <v>100</v>
      </c>
      <c r="H30" s="52" t="s">
        <v>310</v>
      </c>
      <c r="I30" s="52" t="s">
        <v>311</v>
      </c>
      <c r="J30" s="52" t="s">
        <v>312</v>
      </c>
      <c r="K30" s="52" t="s">
        <v>170</v>
      </c>
      <c r="L30" s="52" t="s">
        <v>105</v>
      </c>
      <c r="M30" s="52" t="s">
        <v>213</v>
      </c>
      <c r="N30" s="52" t="s">
        <v>180</v>
      </c>
      <c r="O30" s="52" t="s">
        <v>245</v>
      </c>
      <c r="P30" s="52" t="s">
        <v>313</v>
      </c>
      <c r="Q30" s="52" t="s">
        <v>314</v>
      </c>
      <c r="R30" s="52" t="s">
        <v>315</v>
      </c>
      <c r="S30" s="52"/>
      <c r="T30" s="52" t="s">
        <v>316</v>
      </c>
      <c r="U30" s="52" t="s">
        <v>317</v>
      </c>
      <c r="V30" s="65" t="s">
        <v>318</v>
      </c>
    </row>
    <row r="31" spans="1:24" ht="90.75" x14ac:dyDescent="0.3">
      <c r="A31" s="81" t="s">
        <v>96</v>
      </c>
      <c r="B31" s="82" t="s">
        <v>489</v>
      </c>
      <c r="C31" s="64" t="s">
        <v>113</v>
      </c>
      <c r="D31" s="52" t="s">
        <v>98</v>
      </c>
      <c r="E31" s="52" t="s">
        <v>114</v>
      </c>
      <c r="F31" s="52" t="s">
        <v>478</v>
      </c>
      <c r="G31" s="52" t="s">
        <v>100</v>
      </c>
      <c r="H31" s="52" t="s">
        <v>101</v>
      </c>
      <c r="I31" s="52" t="s">
        <v>115</v>
      </c>
      <c r="J31" s="52" t="s">
        <v>116</v>
      </c>
      <c r="K31" s="52" t="s">
        <v>117</v>
      </c>
      <c r="L31" s="52" t="s">
        <v>105</v>
      </c>
      <c r="M31" s="52" t="s">
        <v>106</v>
      </c>
      <c r="N31" s="52" t="s">
        <v>105</v>
      </c>
      <c r="O31" s="52"/>
      <c r="P31" s="52" t="s">
        <v>107</v>
      </c>
      <c r="Q31" s="52" t="s">
        <v>108</v>
      </c>
      <c r="R31" s="52" t="s">
        <v>109</v>
      </c>
      <c r="S31" s="52"/>
      <c r="T31" s="52" t="s">
        <v>118</v>
      </c>
      <c r="U31" s="52" t="s">
        <v>111</v>
      </c>
      <c r="V31" s="65" t="s">
        <v>112</v>
      </c>
    </row>
    <row r="32" spans="1:24" ht="90.75" x14ac:dyDescent="0.3">
      <c r="A32" s="81" t="s">
        <v>96</v>
      </c>
      <c r="B32" s="82" t="s">
        <v>489</v>
      </c>
      <c r="C32" s="64" t="s">
        <v>134</v>
      </c>
      <c r="D32" s="52" t="s">
        <v>98</v>
      </c>
      <c r="E32" s="52" t="s">
        <v>135</v>
      </c>
      <c r="F32" s="52" t="s">
        <v>479</v>
      </c>
      <c r="G32" s="52" t="s">
        <v>100</v>
      </c>
      <c r="H32" s="52" t="s">
        <v>101</v>
      </c>
      <c r="I32" s="52" t="s">
        <v>115</v>
      </c>
      <c r="J32" s="52" t="s">
        <v>136</v>
      </c>
      <c r="K32" s="52" t="s">
        <v>117</v>
      </c>
      <c r="L32" s="52" t="s">
        <v>105</v>
      </c>
      <c r="M32" s="52" t="s">
        <v>106</v>
      </c>
      <c r="N32" s="52" t="s">
        <v>105</v>
      </c>
      <c r="O32" s="52"/>
      <c r="P32" s="52" t="s">
        <v>132</v>
      </c>
      <c r="Q32" s="52" t="s">
        <v>108</v>
      </c>
      <c r="R32" s="52" t="s">
        <v>109</v>
      </c>
      <c r="S32" s="52" t="s">
        <v>137</v>
      </c>
      <c r="T32" s="52" t="s">
        <v>138</v>
      </c>
      <c r="U32" s="52" t="s">
        <v>111</v>
      </c>
      <c r="V32" s="65" t="s">
        <v>112</v>
      </c>
    </row>
    <row r="33" spans="1:22" ht="103.5" x14ac:dyDescent="0.3">
      <c r="A33" s="81" t="s">
        <v>96</v>
      </c>
      <c r="B33" s="82" t="s">
        <v>489</v>
      </c>
      <c r="C33" s="64" t="s">
        <v>124</v>
      </c>
      <c r="D33" s="52" t="s">
        <v>98</v>
      </c>
      <c r="E33" s="52" t="s">
        <v>125</v>
      </c>
      <c r="F33" s="52" t="s">
        <v>480</v>
      </c>
      <c r="G33" s="52" t="s">
        <v>100</v>
      </c>
      <c r="H33" s="52" t="s">
        <v>101</v>
      </c>
      <c r="I33" s="52" t="s">
        <v>126</v>
      </c>
      <c r="J33" s="52" t="s">
        <v>127</v>
      </c>
      <c r="K33" s="52" t="s">
        <v>117</v>
      </c>
      <c r="L33" s="52" t="s">
        <v>105</v>
      </c>
      <c r="M33" s="52" t="s">
        <v>106</v>
      </c>
      <c r="N33" s="52" t="s">
        <v>105</v>
      </c>
      <c r="O33" s="52"/>
      <c r="P33" s="52" t="s">
        <v>122</v>
      </c>
      <c r="Q33" s="52" t="s">
        <v>108</v>
      </c>
      <c r="R33" s="52" t="s">
        <v>109</v>
      </c>
      <c r="S33" s="52"/>
      <c r="T33" s="52" t="s">
        <v>128</v>
      </c>
      <c r="U33" s="52" t="s">
        <v>111</v>
      </c>
      <c r="V33" s="65" t="s">
        <v>123</v>
      </c>
    </row>
    <row r="34" spans="1:22" ht="78" x14ac:dyDescent="0.3">
      <c r="A34" s="81" t="s">
        <v>96</v>
      </c>
      <c r="B34" s="82" t="s">
        <v>489</v>
      </c>
      <c r="C34" s="64" t="s">
        <v>176</v>
      </c>
      <c r="D34" s="52" t="s">
        <v>98</v>
      </c>
      <c r="E34" s="52" t="s">
        <v>177</v>
      </c>
      <c r="F34" s="52" t="s">
        <v>481</v>
      </c>
      <c r="G34" s="52" t="s">
        <v>100</v>
      </c>
      <c r="H34" s="52" t="s">
        <v>101</v>
      </c>
      <c r="I34" s="52" t="s">
        <v>178</v>
      </c>
      <c r="J34" s="52" t="s">
        <v>179</v>
      </c>
      <c r="K34" s="52" t="s">
        <v>170</v>
      </c>
      <c r="L34" s="52" t="s">
        <v>180</v>
      </c>
      <c r="M34" s="52" t="s">
        <v>106</v>
      </c>
      <c r="N34" s="52" t="s">
        <v>105</v>
      </c>
      <c r="O34" s="52"/>
      <c r="P34" s="52"/>
      <c r="Q34" s="52" t="s">
        <v>108</v>
      </c>
      <c r="R34" s="52" t="s">
        <v>109</v>
      </c>
      <c r="S34" s="52"/>
      <c r="T34" s="52"/>
      <c r="U34" s="52" t="s">
        <v>111</v>
      </c>
      <c r="V34" s="65" t="s">
        <v>175</v>
      </c>
    </row>
    <row r="35" spans="1:22" ht="90.75" x14ac:dyDescent="0.3">
      <c r="A35" s="81" t="s">
        <v>96</v>
      </c>
      <c r="B35" s="82" t="s">
        <v>489</v>
      </c>
      <c r="C35" s="64" t="s">
        <v>181</v>
      </c>
      <c r="D35" s="52" t="s">
        <v>98</v>
      </c>
      <c r="E35" s="52" t="s">
        <v>182</v>
      </c>
      <c r="F35" s="52" t="s">
        <v>482</v>
      </c>
      <c r="G35" s="52" t="s">
        <v>100</v>
      </c>
      <c r="H35" s="52" t="s">
        <v>101</v>
      </c>
      <c r="I35" s="52" t="s">
        <v>183</v>
      </c>
      <c r="J35" s="52" t="s">
        <v>184</v>
      </c>
      <c r="K35" s="52" t="s">
        <v>104</v>
      </c>
      <c r="L35" s="52" t="s">
        <v>180</v>
      </c>
      <c r="M35" s="52" t="s">
        <v>106</v>
      </c>
      <c r="N35" s="52" t="s">
        <v>105</v>
      </c>
      <c r="O35" s="52"/>
      <c r="P35" s="52" t="s">
        <v>185</v>
      </c>
      <c r="Q35" s="52" t="s">
        <v>186</v>
      </c>
      <c r="R35" s="52" t="s">
        <v>109</v>
      </c>
      <c r="S35" s="52"/>
      <c r="T35" s="52" t="s">
        <v>187</v>
      </c>
      <c r="U35" s="52" t="s">
        <v>111</v>
      </c>
      <c r="V35" s="65" t="s">
        <v>188</v>
      </c>
    </row>
    <row r="36" spans="1:22" ht="52.5" x14ac:dyDescent="0.3">
      <c r="A36" s="81" t="s">
        <v>96</v>
      </c>
      <c r="B36" s="82" t="s">
        <v>489</v>
      </c>
      <c r="C36" s="64" t="s">
        <v>208</v>
      </c>
      <c r="D36" s="52" t="s">
        <v>98</v>
      </c>
      <c r="E36" s="52" t="s">
        <v>209</v>
      </c>
      <c r="F36" s="52" t="s">
        <v>210</v>
      </c>
      <c r="G36" s="52" t="s">
        <v>100</v>
      </c>
      <c r="H36" s="52" t="s">
        <v>101</v>
      </c>
      <c r="I36" s="52" t="s">
        <v>211</v>
      </c>
      <c r="J36" s="52" t="s">
        <v>212</v>
      </c>
      <c r="K36" s="52" t="s">
        <v>104</v>
      </c>
      <c r="L36" s="52" t="s">
        <v>180</v>
      </c>
      <c r="M36" s="52" t="s">
        <v>213</v>
      </c>
      <c r="N36" s="52" t="s">
        <v>180</v>
      </c>
      <c r="O36" s="52"/>
      <c r="P36" s="52"/>
      <c r="Q36" s="52" t="s">
        <v>214</v>
      </c>
      <c r="R36" s="52" t="s">
        <v>215</v>
      </c>
      <c r="S36" s="52"/>
      <c r="T36" s="52" t="s">
        <v>216</v>
      </c>
      <c r="U36" s="52" t="s">
        <v>217</v>
      </c>
      <c r="V36" s="65" t="s">
        <v>218</v>
      </c>
    </row>
    <row r="37" spans="1:22" ht="90.75" x14ac:dyDescent="0.3">
      <c r="A37" s="81" t="s">
        <v>96</v>
      </c>
      <c r="B37" s="82" t="s">
        <v>489</v>
      </c>
      <c r="C37" s="64" t="s">
        <v>228</v>
      </c>
      <c r="D37" s="52" t="s">
        <v>220</v>
      </c>
      <c r="E37" s="52" t="s">
        <v>229</v>
      </c>
      <c r="F37" s="52" t="s">
        <v>483</v>
      </c>
      <c r="G37" s="52" t="s">
        <v>230</v>
      </c>
      <c r="H37" s="52" t="s">
        <v>231</v>
      </c>
      <c r="I37" s="52" t="s">
        <v>232</v>
      </c>
      <c r="J37" s="52" t="s">
        <v>232</v>
      </c>
      <c r="K37" s="52" t="s">
        <v>233</v>
      </c>
      <c r="L37" s="52" t="s">
        <v>105</v>
      </c>
      <c r="M37" s="52" t="s">
        <v>213</v>
      </c>
      <c r="N37" s="52" t="s">
        <v>180</v>
      </c>
      <c r="O37" s="52"/>
      <c r="P37" s="52" t="s">
        <v>234</v>
      </c>
      <c r="Q37" s="52" t="s">
        <v>235</v>
      </c>
      <c r="R37" s="52" t="s">
        <v>484</v>
      </c>
      <c r="S37" s="52"/>
      <c r="T37" s="52"/>
      <c r="U37" s="52" t="s">
        <v>236</v>
      </c>
      <c r="V37" s="65" t="s">
        <v>237</v>
      </c>
    </row>
    <row r="38" spans="1:22" ht="90.75" x14ac:dyDescent="0.3">
      <c r="A38" s="81" t="s">
        <v>96</v>
      </c>
      <c r="B38" s="82" t="s">
        <v>489</v>
      </c>
      <c r="C38" s="64" t="s">
        <v>238</v>
      </c>
      <c r="D38" s="52" t="s">
        <v>220</v>
      </c>
      <c r="E38" s="52" t="s">
        <v>239</v>
      </c>
      <c r="F38" s="52" t="s">
        <v>240</v>
      </c>
      <c r="G38" s="52" t="s">
        <v>100</v>
      </c>
      <c r="H38" s="52" t="s">
        <v>101</v>
      </c>
      <c r="I38" s="52" t="s">
        <v>241</v>
      </c>
      <c r="J38" s="52" t="s">
        <v>242</v>
      </c>
      <c r="K38" s="52" t="s">
        <v>243</v>
      </c>
      <c r="L38" s="52" t="s">
        <v>105</v>
      </c>
      <c r="M38" s="52" t="s">
        <v>244</v>
      </c>
      <c r="N38" s="52" t="s">
        <v>105</v>
      </c>
      <c r="O38" s="52" t="s">
        <v>245</v>
      </c>
      <c r="P38" s="52" t="s">
        <v>246</v>
      </c>
      <c r="Q38" s="52" t="s">
        <v>108</v>
      </c>
      <c r="R38" s="52"/>
      <c r="S38" s="52"/>
      <c r="T38" s="52" t="s">
        <v>247</v>
      </c>
      <c r="U38" s="52" t="s">
        <v>248</v>
      </c>
      <c r="V38" s="65" t="s">
        <v>249</v>
      </c>
    </row>
    <row r="39" spans="1:22" ht="65.25" x14ac:dyDescent="0.3">
      <c r="A39" s="81" t="s">
        <v>96</v>
      </c>
      <c r="B39" s="82" t="s">
        <v>489</v>
      </c>
      <c r="C39" s="64" t="s">
        <v>250</v>
      </c>
      <c r="D39" s="52" t="s">
        <v>220</v>
      </c>
      <c r="E39" s="52" t="s">
        <v>251</v>
      </c>
      <c r="F39" s="52" t="s">
        <v>252</v>
      </c>
      <c r="G39" s="52" t="s">
        <v>100</v>
      </c>
      <c r="H39" s="52" t="s">
        <v>101</v>
      </c>
      <c r="I39" s="52" t="s">
        <v>241</v>
      </c>
      <c r="J39" s="52" t="s">
        <v>253</v>
      </c>
      <c r="K39" s="52" t="s">
        <v>254</v>
      </c>
      <c r="L39" s="52" t="s">
        <v>180</v>
      </c>
      <c r="M39" s="52" t="s">
        <v>244</v>
      </c>
      <c r="N39" s="52" t="s">
        <v>105</v>
      </c>
      <c r="O39" s="52" t="s">
        <v>224</v>
      </c>
      <c r="P39" s="52"/>
      <c r="Q39" s="52" t="s">
        <v>108</v>
      </c>
      <c r="R39" s="52"/>
      <c r="S39" s="52"/>
      <c r="T39" s="52"/>
      <c r="U39" s="52" t="s">
        <v>248</v>
      </c>
      <c r="V39" s="65" t="s">
        <v>249</v>
      </c>
    </row>
    <row r="40" spans="1:22" ht="52.5" x14ac:dyDescent="0.3">
      <c r="A40" s="81" t="s">
        <v>96</v>
      </c>
      <c r="B40" s="82" t="s">
        <v>489</v>
      </c>
      <c r="C40" s="64" t="s">
        <v>255</v>
      </c>
      <c r="D40" s="52" t="s">
        <v>220</v>
      </c>
      <c r="E40" s="52" t="s">
        <v>256</v>
      </c>
      <c r="F40" s="52" t="s">
        <v>257</v>
      </c>
      <c r="G40" s="52" t="s">
        <v>100</v>
      </c>
      <c r="H40" s="52" t="s">
        <v>101</v>
      </c>
      <c r="I40" s="52" t="s">
        <v>258</v>
      </c>
      <c r="J40" s="52" t="s">
        <v>259</v>
      </c>
      <c r="K40" s="52" t="s">
        <v>170</v>
      </c>
      <c r="L40" s="52" t="s">
        <v>105</v>
      </c>
      <c r="M40" s="52" t="s">
        <v>244</v>
      </c>
      <c r="N40" s="52" t="s">
        <v>105</v>
      </c>
      <c r="O40" s="52" t="s">
        <v>224</v>
      </c>
      <c r="P40" s="52"/>
      <c r="Q40" s="52" t="s">
        <v>108</v>
      </c>
      <c r="R40" s="52" t="s">
        <v>260</v>
      </c>
      <c r="S40" s="52"/>
      <c r="T40" s="52"/>
      <c r="U40" s="52" t="s">
        <v>261</v>
      </c>
      <c r="V40" s="65" t="s">
        <v>262</v>
      </c>
    </row>
    <row r="41" spans="1:22" ht="65.25" x14ac:dyDescent="0.3">
      <c r="A41" s="81" t="s">
        <v>96</v>
      </c>
      <c r="B41" s="82" t="s">
        <v>489</v>
      </c>
      <c r="C41" s="64" t="s">
        <v>263</v>
      </c>
      <c r="D41" s="52" t="s">
        <v>220</v>
      </c>
      <c r="E41" s="52" t="s">
        <v>264</v>
      </c>
      <c r="F41" s="52" t="s">
        <v>265</v>
      </c>
      <c r="G41" s="52" t="s">
        <v>266</v>
      </c>
      <c r="H41" s="52" t="s">
        <v>101</v>
      </c>
      <c r="I41" s="52" t="s">
        <v>267</v>
      </c>
      <c r="J41" s="52" t="s">
        <v>268</v>
      </c>
      <c r="K41" s="52" t="s">
        <v>170</v>
      </c>
      <c r="L41" s="52" t="s">
        <v>180</v>
      </c>
      <c r="M41" s="52" t="s">
        <v>244</v>
      </c>
      <c r="N41" s="52" t="s">
        <v>180</v>
      </c>
      <c r="O41" s="52" t="s">
        <v>224</v>
      </c>
      <c r="P41" s="52" t="s">
        <v>269</v>
      </c>
      <c r="Q41" s="52" t="s">
        <v>108</v>
      </c>
      <c r="R41" s="52" t="s">
        <v>270</v>
      </c>
      <c r="S41" s="52"/>
      <c r="T41" s="52" t="s">
        <v>271</v>
      </c>
      <c r="U41" s="52"/>
      <c r="V41" s="65" t="s">
        <v>272</v>
      </c>
    </row>
    <row r="42" spans="1:22" ht="90.75" x14ac:dyDescent="0.3">
      <c r="A42" s="81" t="s">
        <v>96</v>
      </c>
      <c r="B42" s="82" t="s">
        <v>489</v>
      </c>
      <c r="C42" s="64" t="s">
        <v>273</v>
      </c>
      <c r="D42" s="52" t="s">
        <v>220</v>
      </c>
      <c r="E42" s="52" t="s">
        <v>430</v>
      </c>
      <c r="F42" s="52" t="s">
        <v>274</v>
      </c>
      <c r="G42" s="52" t="s">
        <v>100</v>
      </c>
      <c r="H42" s="52" t="s">
        <v>101</v>
      </c>
      <c r="I42" s="52" t="s">
        <v>275</v>
      </c>
      <c r="J42" s="52" t="s">
        <v>276</v>
      </c>
      <c r="K42" s="52" t="s">
        <v>277</v>
      </c>
      <c r="L42" s="52" t="s">
        <v>105</v>
      </c>
      <c r="M42" s="52" t="s">
        <v>213</v>
      </c>
      <c r="N42" s="52" t="s">
        <v>180</v>
      </c>
      <c r="O42" s="52" t="s">
        <v>224</v>
      </c>
      <c r="P42" s="52" t="s">
        <v>278</v>
      </c>
      <c r="Q42" s="52" t="s">
        <v>279</v>
      </c>
      <c r="R42" s="52" t="s">
        <v>280</v>
      </c>
      <c r="S42" s="52"/>
      <c r="T42" s="52" t="s">
        <v>281</v>
      </c>
      <c r="U42" s="52" t="s">
        <v>282</v>
      </c>
      <c r="V42" s="65" t="s">
        <v>283</v>
      </c>
    </row>
    <row r="43" spans="1:22" ht="90.75" x14ac:dyDescent="0.3">
      <c r="A43" s="81" t="s">
        <v>96</v>
      </c>
      <c r="B43" s="82" t="s">
        <v>489</v>
      </c>
      <c r="C43" s="64" t="s">
        <v>219</v>
      </c>
      <c r="D43" s="52" t="s">
        <v>220</v>
      </c>
      <c r="E43" s="52" t="s">
        <v>221</v>
      </c>
      <c r="F43" s="52" t="s">
        <v>222</v>
      </c>
      <c r="G43" s="52" t="s">
        <v>100</v>
      </c>
      <c r="H43" s="52" t="s">
        <v>101</v>
      </c>
      <c r="I43" s="52" t="s">
        <v>211</v>
      </c>
      <c r="J43" s="52" t="s">
        <v>223</v>
      </c>
      <c r="K43" s="52" t="s">
        <v>104</v>
      </c>
      <c r="L43" s="52" t="s">
        <v>180</v>
      </c>
      <c r="M43" s="52" t="s">
        <v>213</v>
      </c>
      <c r="N43" s="52" t="s">
        <v>180</v>
      </c>
      <c r="O43" s="52" t="s">
        <v>224</v>
      </c>
      <c r="P43" s="52" t="s">
        <v>225</v>
      </c>
      <c r="Q43" s="52" t="s">
        <v>214</v>
      </c>
      <c r="R43" s="52" t="s">
        <v>226</v>
      </c>
      <c r="S43" s="52"/>
      <c r="T43" s="52" t="s">
        <v>227</v>
      </c>
      <c r="U43" s="52" t="s">
        <v>217</v>
      </c>
      <c r="V43" s="65" t="s">
        <v>218</v>
      </c>
    </row>
    <row r="44" spans="1:22" ht="141.75" x14ac:dyDescent="0.3">
      <c r="A44" s="81" t="s">
        <v>96</v>
      </c>
      <c r="B44" s="82" t="s">
        <v>489</v>
      </c>
      <c r="C44" s="64" t="s">
        <v>319</v>
      </c>
      <c r="D44" s="52" t="s">
        <v>320</v>
      </c>
      <c r="E44" s="52" t="s">
        <v>321</v>
      </c>
      <c r="F44" s="52" t="s">
        <v>322</v>
      </c>
      <c r="G44" s="52" t="s">
        <v>100</v>
      </c>
      <c r="H44" s="52" t="s">
        <v>101</v>
      </c>
      <c r="I44" s="52" t="s">
        <v>323</v>
      </c>
      <c r="J44" s="52" t="s">
        <v>324</v>
      </c>
      <c r="K44" s="52" t="s">
        <v>117</v>
      </c>
      <c r="L44" s="52" t="s">
        <v>180</v>
      </c>
      <c r="M44" s="52" t="s">
        <v>213</v>
      </c>
      <c r="N44" s="52" t="s">
        <v>180</v>
      </c>
      <c r="O44" s="52" t="s">
        <v>325</v>
      </c>
      <c r="P44" s="52" t="s">
        <v>326</v>
      </c>
      <c r="Q44" s="52" t="s">
        <v>327</v>
      </c>
      <c r="R44" s="52" t="s">
        <v>328</v>
      </c>
      <c r="S44" s="52" t="s">
        <v>329</v>
      </c>
      <c r="T44" s="52" t="s">
        <v>330</v>
      </c>
      <c r="U44" s="52" t="s">
        <v>331</v>
      </c>
      <c r="V44" s="65" t="s">
        <v>332</v>
      </c>
    </row>
    <row r="45" spans="1:22" ht="39.75" x14ac:dyDescent="0.3">
      <c r="A45" s="81" t="s">
        <v>96</v>
      </c>
      <c r="B45" s="82" t="s">
        <v>489</v>
      </c>
      <c r="C45" s="64" t="s">
        <v>380</v>
      </c>
      <c r="D45" s="52" t="s">
        <v>320</v>
      </c>
      <c r="E45" s="52" t="s">
        <v>381</v>
      </c>
      <c r="F45" s="52" t="s">
        <v>382</v>
      </c>
      <c r="G45" s="52" t="s">
        <v>100</v>
      </c>
      <c r="H45" s="52" t="s">
        <v>101</v>
      </c>
      <c r="I45" s="52" t="s">
        <v>374</v>
      </c>
      <c r="J45" s="52" t="s">
        <v>383</v>
      </c>
      <c r="K45" s="52" t="s">
        <v>117</v>
      </c>
      <c r="L45" s="52" t="s">
        <v>180</v>
      </c>
      <c r="M45" s="52" t="s">
        <v>106</v>
      </c>
      <c r="N45" s="52" t="s">
        <v>105</v>
      </c>
      <c r="O45" s="52" t="s">
        <v>376</v>
      </c>
      <c r="P45" s="52" t="s">
        <v>326</v>
      </c>
      <c r="Q45" s="52" t="s">
        <v>108</v>
      </c>
      <c r="R45" s="52" t="s">
        <v>384</v>
      </c>
      <c r="S45" s="52"/>
      <c r="T45" s="52"/>
      <c r="U45" s="52" t="s">
        <v>348</v>
      </c>
      <c r="V45" s="65" t="s">
        <v>379</v>
      </c>
    </row>
    <row r="46" spans="1:22" ht="39.75" x14ac:dyDescent="0.3">
      <c r="A46" s="81" t="s">
        <v>96</v>
      </c>
      <c r="B46" s="82" t="s">
        <v>489</v>
      </c>
      <c r="C46" s="64" t="s">
        <v>389</v>
      </c>
      <c r="D46" s="52" t="s">
        <v>320</v>
      </c>
      <c r="E46" s="52" t="s">
        <v>390</v>
      </c>
      <c r="F46" s="52" t="s">
        <v>391</v>
      </c>
      <c r="G46" s="52" t="s">
        <v>100</v>
      </c>
      <c r="H46" s="52" t="s">
        <v>101</v>
      </c>
      <c r="I46" s="52" t="s">
        <v>392</v>
      </c>
      <c r="J46" s="52" t="s">
        <v>393</v>
      </c>
      <c r="K46" s="52" t="s">
        <v>117</v>
      </c>
      <c r="L46" s="52" t="s">
        <v>180</v>
      </c>
      <c r="M46" s="52" t="s">
        <v>106</v>
      </c>
      <c r="N46" s="52" t="s">
        <v>105</v>
      </c>
      <c r="O46" s="52"/>
      <c r="P46" s="52" t="s">
        <v>326</v>
      </c>
      <c r="Q46" s="52" t="s">
        <v>108</v>
      </c>
      <c r="R46" s="52" t="s">
        <v>394</v>
      </c>
      <c r="S46" s="52"/>
      <c r="T46" s="52"/>
      <c r="U46" s="52" t="s">
        <v>348</v>
      </c>
      <c r="V46" s="65" t="s">
        <v>379</v>
      </c>
    </row>
    <row r="47" spans="1:22" ht="66" thickBot="1" x14ac:dyDescent="0.35">
      <c r="A47" s="81" t="s">
        <v>96</v>
      </c>
      <c r="B47" s="82" t="s">
        <v>489</v>
      </c>
      <c r="C47" s="66" t="s">
        <v>395</v>
      </c>
      <c r="D47" s="67" t="s">
        <v>320</v>
      </c>
      <c r="E47" s="67" t="s">
        <v>396</v>
      </c>
      <c r="F47" s="67" t="s">
        <v>397</v>
      </c>
      <c r="G47" s="67" t="s">
        <v>100</v>
      </c>
      <c r="H47" s="67" t="s">
        <v>101</v>
      </c>
      <c r="I47" s="67" t="s">
        <v>398</v>
      </c>
      <c r="J47" s="67" t="s">
        <v>399</v>
      </c>
      <c r="K47" s="67" t="s">
        <v>400</v>
      </c>
      <c r="L47" s="67" t="s">
        <v>105</v>
      </c>
      <c r="M47" s="67" t="s">
        <v>106</v>
      </c>
      <c r="N47" s="67" t="s">
        <v>105</v>
      </c>
      <c r="O47" s="67"/>
      <c r="P47" s="67"/>
      <c r="Q47" s="67" t="s">
        <v>401</v>
      </c>
      <c r="R47" s="67" t="s">
        <v>402</v>
      </c>
      <c r="S47" s="67" t="s">
        <v>403</v>
      </c>
      <c r="T47" s="67" t="s">
        <v>404</v>
      </c>
      <c r="U47" s="67" t="s">
        <v>405</v>
      </c>
      <c r="V47" s="68" t="s">
        <v>370</v>
      </c>
    </row>
  </sheetData>
  <mergeCells count="1">
    <mergeCell ref="A23:V23"/>
  </mergeCells>
  <phoneticPr fontId="35" type="noConversion"/>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K52"/>
  <sheetViews>
    <sheetView workbookViewId="0">
      <selection sqref="A1:E1"/>
    </sheetView>
    <sheetView workbookViewId="1">
      <selection sqref="A1:E1"/>
    </sheetView>
  </sheetViews>
  <sheetFormatPr defaultColWidth="8.75" defaultRowHeight="15" x14ac:dyDescent="0.25"/>
  <cols>
    <col min="1" max="1" width="17.875" style="137" customWidth="1"/>
    <col min="2" max="2" width="21.625" style="137" customWidth="1"/>
    <col min="3" max="3" width="50.25" style="137" customWidth="1"/>
    <col min="4" max="4" width="18" style="137" customWidth="1"/>
    <col min="5" max="5" width="14.75" style="137" customWidth="1"/>
    <col min="6" max="6" width="13.875" style="137" customWidth="1"/>
    <col min="7" max="7" width="13.75" style="137" customWidth="1"/>
    <col min="8" max="8" width="13.625" style="137" customWidth="1"/>
    <col min="9" max="9" width="13.125" style="137" customWidth="1"/>
    <col min="10" max="10" width="20.125" style="137" customWidth="1"/>
    <col min="11" max="11" width="104.25" style="137" customWidth="1"/>
    <col min="12" max="12" width="31.875" style="137" customWidth="1"/>
    <col min="13" max="16384" width="8.75" style="137"/>
  </cols>
  <sheetData>
    <row r="1" spans="1:11" ht="28.5" thickBot="1" x14ac:dyDescent="0.3">
      <c r="A1" s="445" t="s">
        <v>584</v>
      </c>
      <c r="B1" s="445"/>
      <c r="C1" s="445"/>
      <c r="D1" s="445"/>
      <c r="E1" s="446"/>
      <c r="F1" s="417" t="s">
        <v>552</v>
      </c>
      <c r="G1" s="418"/>
      <c r="H1" s="418"/>
      <c r="I1" s="418"/>
      <c r="J1" s="418"/>
      <c r="K1" s="136"/>
    </row>
    <row r="2" spans="1:11" ht="16.5" thickBot="1" x14ac:dyDescent="0.3">
      <c r="A2" s="138"/>
      <c r="B2" s="138"/>
      <c r="C2" s="138"/>
      <c r="D2" s="437" t="s">
        <v>851</v>
      </c>
      <c r="E2" s="438"/>
      <c r="F2" s="139" t="s">
        <v>583</v>
      </c>
      <c r="G2" s="140" t="s">
        <v>538</v>
      </c>
      <c r="H2" s="141" t="s">
        <v>539</v>
      </c>
      <c r="I2" s="142" t="s">
        <v>540</v>
      </c>
      <c r="J2" s="143" t="s">
        <v>541</v>
      </c>
      <c r="K2" s="419" t="s">
        <v>464</v>
      </c>
    </row>
    <row r="3" spans="1:11" ht="31.15" customHeight="1" thickBot="1" x14ac:dyDescent="0.3">
      <c r="A3" s="144" t="s">
        <v>559</v>
      </c>
      <c r="B3" s="295" t="s">
        <v>743</v>
      </c>
      <c r="C3" s="145" t="s">
        <v>444</v>
      </c>
      <c r="D3" s="326" t="s">
        <v>852</v>
      </c>
      <c r="E3" s="326" t="s">
        <v>853</v>
      </c>
      <c r="F3" s="146" t="s">
        <v>547</v>
      </c>
      <c r="G3" s="147" t="s">
        <v>548</v>
      </c>
      <c r="H3" s="148" t="s">
        <v>549</v>
      </c>
      <c r="I3" s="149" t="s">
        <v>550</v>
      </c>
      <c r="J3" s="150" t="s">
        <v>551</v>
      </c>
      <c r="K3" s="420"/>
    </row>
    <row r="4" spans="1:11" ht="41.45" customHeight="1" thickBot="1" x14ac:dyDescent="0.3">
      <c r="A4" s="421" t="s">
        <v>561</v>
      </c>
      <c r="B4" s="423" t="s">
        <v>744</v>
      </c>
      <c r="C4" s="151" t="s">
        <v>861</v>
      </c>
      <c r="D4" s="390" t="s">
        <v>428</v>
      </c>
      <c r="E4" s="391"/>
      <c r="F4" s="152" t="s">
        <v>445</v>
      </c>
      <c r="G4" s="153" t="s">
        <v>522</v>
      </c>
      <c r="H4" s="153" t="s">
        <v>523</v>
      </c>
      <c r="I4" s="153" t="s">
        <v>524</v>
      </c>
      <c r="J4" s="154" t="s">
        <v>446</v>
      </c>
      <c r="K4" s="155" t="s">
        <v>563</v>
      </c>
    </row>
    <row r="5" spans="1:11" ht="15" customHeight="1" thickBot="1" x14ac:dyDescent="0.3">
      <c r="A5" s="422"/>
      <c r="B5" s="384"/>
      <c r="C5" s="424" t="s">
        <v>839</v>
      </c>
      <c r="D5" s="439" t="s">
        <v>428</v>
      </c>
      <c r="E5" s="440"/>
      <c r="F5" s="427" t="s">
        <v>445</v>
      </c>
      <c r="G5" s="428"/>
      <c r="H5" s="156"/>
      <c r="I5" s="156"/>
      <c r="J5" s="157"/>
      <c r="K5" s="429" t="s">
        <v>501</v>
      </c>
    </row>
    <row r="6" spans="1:11" ht="15.75" thickBot="1" x14ac:dyDescent="0.3">
      <c r="A6" s="422"/>
      <c r="B6" s="384"/>
      <c r="C6" s="425"/>
      <c r="D6" s="441"/>
      <c r="E6" s="442"/>
      <c r="F6" s="158"/>
      <c r="G6" s="432" t="s">
        <v>522</v>
      </c>
      <c r="H6" s="427"/>
      <c r="I6" s="156"/>
      <c r="J6" s="157"/>
      <c r="K6" s="430"/>
    </row>
    <row r="7" spans="1:11" ht="15.75" thickBot="1" x14ac:dyDescent="0.3">
      <c r="A7" s="422"/>
      <c r="B7" s="384"/>
      <c r="C7" s="425"/>
      <c r="D7" s="441"/>
      <c r="E7" s="442"/>
      <c r="F7" s="158"/>
      <c r="G7" s="156"/>
      <c r="H7" s="432" t="s">
        <v>523</v>
      </c>
      <c r="I7" s="428"/>
      <c r="J7" s="157"/>
      <c r="K7" s="430"/>
    </row>
    <row r="8" spans="1:11" ht="15.75" thickBot="1" x14ac:dyDescent="0.3">
      <c r="A8" s="422"/>
      <c r="B8" s="384"/>
      <c r="C8" s="426"/>
      <c r="D8" s="443"/>
      <c r="E8" s="444"/>
      <c r="F8" s="158"/>
      <c r="G8" s="156"/>
      <c r="H8" s="156"/>
      <c r="I8" s="433" t="s">
        <v>448</v>
      </c>
      <c r="J8" s="434"/>
      <c r="K8" s="431"/>
    </row>
    <row r="9" spans="1:11" ht="43.15" customHeight="1" thickBot="1" x14ac:dyDescent="0.3">
      <c r="A9" s="422"/>
      <c r="B9" s="384"/>
      <c r="C9" s="151" t="s">
        <v>840</v>
      </c>
      <c r="D9" s="390" t="s">
        <v>428</v>
      </c>
      <c r="E9" s="391"/>
      <c r="F9" s="159" t="s">
        <v>520</v>
      </c>
      <c r="G9" s="160" t="s">
        <v>521</v>
      </c>
      <c r="H9" s="160" t="s">
        <v>525</v>
      </c>
      <c r="I9" s="153" t="s">
        <v>526</v>
      </c>
      <c r="J9" s="154" t="s">
        <v>527</v>
      </c>
      <c r="K9" s="161" t="s">
        <v>528</v>
      </c>
    </row>
    <row r="10" spans="1:11" ht="45.6" customHeight="1" thickBot="1" x14ac:dyDescent="0.3">
      <c r="A10" s="422"/>
      <c r="B10" s="384"/>
      <c r="C10" s="313" t="s">
        <v>450</v>
      </c>
      <c r="D10" s="358" t="s">
        <v>519</v>
      </c>
      <c r="E10" s="359" t="s">
        <v>428</v>
      </c>
      <c r="F10" s="357" t="s">
        <v>451</v>
      </c>
      <c r="G10" s="314" t="s">
        <v>536</v>
      </c>
      <c r="H10" s="314" t="s">
        <v>537</v>
      </c>
      <c r="I10" s="435" t="s">
        <v>446</v>
      </c>
      <c r="J10" s="436"/>
      <c r="K10" s="315" t="s">
        <v>564</v>
      </c>
    </row>
    <row r="11" spans="1:11" ht="39.6" customHeight="1" thickBot="1" x14ac:dyDescent="0.3">
      <c r="A11" s="402" t="s">
        <v>565</v>
      </c>
      <c r="B11" s="312" t="s">
        <v>745</v>
      </c>
      <c r="C11" s="316" t="s">
        <v>850</v>
      </c>
      <c r="D11" s="327" t="s">
        <v>519</v>
      </c>
      <c r="E11" s="328" t="s">
        <v>428</v>
      </c>
      <c r="F11" s="317" t="s">
        <v>542</v>
      </c>
      <c r="G11" s="318" t="s">
        <v>543</v>
      </c>
      <c r="H11" s="319" t="s">
        <v>522</v>
      </c>
      <c r="I11" s="320" t="s">
        <v>523</v>
      </c>
      <c r="J11" s="320" t="s">
        <v>448</v>
      </c>
      <c r="K11" s="322" t="s">
        <v>564</v>
      </c>
    </row>
    <row r="12" spans="1:11" ht="31.9" customHeight="1" thickBot="1" x14ac:dyDescent="0.3">
      <c r="A12" s="403"/>
      <c r="B12" s="384" t="s">
        <v>746</v>
      </c>
      <c r="C12" s="192" t="s">
        <v>495</v>
      </c>
      <c r="D12" s="412" t="s">
        <v>428</v>
      </c>
      <c r="E12" s="413"/>
      <c r="F12" s="335" t="s">
        <v>445</v>
      </c>
      <c r="G12" s="336" t="s">
        <v>522</v>
      </c>
      <c r="H12" s="337" t="s">
        <v>545</v>
      </c>
      <c r="I12" s="405" t="s">
        <v>546</v>
      </c>
      <c r="J12" s="406"/>
      <c r="K12" s="334" t="s">
        <v>514</v>
      </c>
    </row>
    <row r="13" spans="1:11" ht="27" customHeight="1" thickBot="1" x14ac:dyDescent="0.3">
      <c r="A13" s="403"/>
      <c r="B13" s="384"/>
      <c r="C13" s="329" t="s">
        <v>566</v>
      </c>
      <c r="D13" s="414" t="s">
        <v>428</v>
      </c>
      <c r="E13" s="415"/>
      <c r="F13" s="330" t="s">
        <v>542</v>
      </c>
      <c r="G13" s="331" t="s">
        <v>543</v>
      </c>
      <c r="H13" s="332" t="s">
        <v>522</v>
      </c>
      <c r="I13" s="321" t="s">
        <v>523</v>
      </c>
      <c r="J13" s="333" t="s">
        <v>448</v>
      </c>
      <c r="K13" s="323" t="s">
        <v>742</v>
      </c>
    </row>
    <row r="14" spans="1:11" ht="18.600000000000001" customHeight="1" thickBot="1" x14ac:dyDescent="0.3">
      <c r="A14" s="403"/>
      <c r="B14" s="384" t="s">
        <v>747</v>
      </c>
      <c r="C14" s="194" t="s">
        <v>843</v>
      </c>
      <c r="D14" s="413" t="s">
        <v>428</v>
      </c>
      <c r="E14" s="416"/>
      <c r="F14" s="189" t="s">
        <v>445</v>
      </c>
      <c r="G14" s="190" t="s">
        <v>534</v>
      </c>
      <c r="H14" s="190" t="s">
        <v>535</v>
      </c>
      <c r="I14" s="407" t="s">
        <v>462</v>
      </c>
      <c r="J14" s="408"/>
      <c r="K14" s="200" t="s">
        <v>567</v>
      </c>
    </row>
    <row r="15" spans="1:11" ht="18.600000000000001" customHeight="1" thickBot="1" x14ac:dyDescent="0.3">
      <c r="A15" s="403"/>
      <c r="B15" s="384"/>
      <c r="C15" s="194" t="s">
        <v>461</v>
      </c>
      <c r="D15" s="413" t="s">
        <v>428</v>
      </c>
      <c r="E15" s="416"/>
      <c r="F15" s="195" t="s">
        <v>445</v>
      </c>
      <c r="G15" s="196" t="s">
        <v>534</v>
      </c>
      <c r="H15" s="190" t="s">
        <v>535</v>
      </c>
      <c r="I15" s="409" t="s">
        <v>462</v>
      </c>
      <c r="J15" s="408"/>
      <c r="K15" s="200" t="s">
        <v>533</v>
      </c>
    </row>
    <row r="16" spans="1:11" ht="16.899999999999999" customHeight="1" thickBot="1" x14ac:dyDescent="0.3">
      <c r="A16" s="403"/>
      <c r="B16" s="384" t="s">
        <v>748</v>
      </c>
      <c r="C16" s="197" t="s">
        <v>568</v>
      </c>
      <c r="D16" s="413" t="s">
        <v>428</v>
      </c>
      <c r="E16" s="416"/>
      <c r="F16" s="410" t="s">
        <v>569</v>
      </c>
      <c r="G16" s="411"/>
      <c r="H16" s="198" t="s">
        <v>570</v>
      </c>
      <c r="I16" s="190" t="s">
        <v>571</v>
      </c>
      <c r="J16" s="191" t="s">
        <v>581</v>
      </c>
      <c r="K16" s="201" t="s">
        <v>563</v>
      </c>
    </row>
    <row r="17" spans="1:11" ht="19.149999999999999" customHeight="1" thickBot="1" x14ac:dyDescent="0.3">
      <c r="A17" s="404"/>
      <c r="B17" s="385"/>
      <c r="C17" s="199" t="s">
        <v>572</v>
      </c>
      <c r="D17" s="413" t="s">
        <v>428</v>
      </c>
      <c r="E17" s="416"/>
      <c r="F17" s="410" t="s">
        <v>573</v>
      </c>
      <c r="G17" s="411"/>
      <c r="H17" s="193" t="s">
        <v>571</v>
      </c>
      <c r="I17" s="189" t="s">
        <v>574</v>
      </c>
      <c r="J17" s="191" t="s">
        <v>582</v>
      </c>
      <c r="K17" s="201" t="s">
        <v>563</v>
      </c>
    </row>
    <row r="18" spans="1:11" ht="15.6" customHeight="1" thickBot="1" x14ac:dyDescent="0.3">
      <c r="A18" s="395" t="s">
        <v>575</v>
      </c>
      <c r="B18" s="398" t="s">
        <v>827</v>
      </c>
      <c r="C18" s="151" t="s">
        <v>459</v>
      </c>
      <c r="D18" s="388" t="s">
        <v>429</v>
      </c>
      <c r="E18" s="389"/>
      <c r="F18" s="159" t="s">
        <v>510</v>
      </c>
      <c r="G18" s="160" t="s">
        <v>460</v>
      </c>
      <c r="H18" s="160" t="s">
        <v>457</v>
      </c>
      <c r="I18" s="160" t="s">
        <v>458</v>
      </c>
      <c r="J18" s="162" t="s">
        <v>451</v>
      </c>
      <c r="K18" s="161" t="s">
        <v>531</v>
      </c>
    </row>
    <row r="19" spans="1:11" ht="43.15" customHeight="1" thickBot="1" x14ac:dyDescent="0.3">
      <c r="A19" s="396"/>
      <c r="B19" s="400"/>
      <c r="C19" s="151" t="s">
        <v>862</v>
      </c>
      <c r="D19" s="390" t="s">
        <v>429</v>
      </c>
      <c r="E19" s="391"/>
      <c r="F19" s="159" t="s">
        <v>510</v>
      </c>
      <c r="G19" s="160" t="s">
        <v>460</v>
      </c>
      <c r="H19" s="160" t="s">
        <v>457</v>
      </c>
      <c r="I19" s="160" t="s">
        <v>458</v>
      </c>
      <c r="J19" s="162" t="s">
        <v>451</v>
      </c>
      <c r="K19" s="161" t="s">
        <v>531</v>
      </c>
    </row>
    <row r="20" spans="1:11" ht="15" customHeight="1" thickBot="1" x14ac:dyDescent="0.3">
      <c r="A20" s="396"/>
      <c r="B20" s="401"/>
      <c r="C20" s="151" t="s">
        <v>453</v>
      </c>
      <c r="D20" s="390" t="s">
        <v>429</v>
      </c>
      <c r="E20" s="391"/>
      <c r="F20" s="163" t="s">
        <v>510</v>
      </c>
      <c r="G20" s="164" t="s">
        <v>512</v>
      </c>
      <c r="H20" s="164" t="s">
        <v>513</v>
      </c>
      <c r="I20" s="160" t="s">
        <v>544</v>
      </c>
      <c r="J20" s="162" t="s">
        <v>454</v>
      </c>
      <c r="K20" s="161" t="s">
        <v>455</v>
      </c>
    </row>
    <row r="21" spans="1:11" ht="45" customHeight="1" thickBot="1" x14ac:dyDescent="0.3">
      <c r="A21" s="396"/>
      <c r="B21" s="398" t="s">
        <v>826</v>
      </c>
      <c r="C21" s="151" t="s">
        <v>529</v>
      </c>
      <c r="D21" s="390" t="s">
        <v>429</v>
      </c>
      <c r="E21" s="391"/>
      <c r="F21" s="159" t="s">
        <v>511</v>
      </c>
      <c r="G21" s="160" t="s">
        <v>456</v>
      </c>
      <c r="H21" s="160" t="s">
        <v>457</v>
      </c>
      <c r="I21" s="160" t="s">
        <v>458</v>
      </c>
      <c r="J21" s="162" t="s">
        <v>451</v>
      </c>
      <c r="K21" s="161" t="s">
        <v>531</v>
      </c>
    </row>
    <row r="22" spans="1:11" ht="46.9" customHeight="1" thickBot="1" x14ac:dyDescent="0.3">
      <c r="A22" s="396"/>
      <c r="B22" s="399"/>
      <c r="C22" s="338" t="s">
        <v>530</v>
      </c>
      <c r="D22" s="439" t="s">
        <v>429</v>
      </c>
      <c r="E22" s="440"/>
      <c r="F22" s="159" t="s">
        <v>511</v>
      </c>
      <c r="G22" s="160" t="s">
        <v>456</v>
      </c>
      <c r="H22" s="160" t="s">
        <v>457</v>
      </c>
      <c r="I22" s="160" t="s">
        <v>458</v>
      </c>
      <c r="J22" s="162" t="s">
        <v>451</v>
      </c>
      <c r="K22" s="161" t="s">
        <v>531</v>
      </c>
    </row>
    <row r="23" spans="1:11" ht="127.9" customHeight="1" thickBot="1" x14ac:dyDescent="0.3">
      <c r="A23" s="396"/>
      <c r="B23" s="386" t="s">
        <v>825</v>
      </c>
      <c r="C23" s="339" t="s">
        <v>604</v>
      </c>
      <c r="D23" s="448" t="s">
        <v>429</v>
      </c>
      <c r="E23" s="448"/>
      <c r="F23" s="273" t="s">
        <v>605</v>
      </c>
      <c r="G23" s="274" t="s">
        <v>606</v>
      </c>
      <c r="H23" s="274" t="s">
        <v>607</v>
      </c>
      <c r="I23" s="274" t="s">
        <v>608</v>
      </c>
      <c r="J23" s="275" t="s">
        <v>609</v>
      </c>
      <c r="K23" s="381" t="s">
        <v>749</v>
      </c>
    </row>
    <row r="24" spans="1:11" ht="122.45" customHeight="1" thickBot="1" x14ac:dyDescent="0.3">
      <c r="A24" s="396"/>
      <c r="B24" s="387"/>
      <c r="C24" s="340" t="s">
        <v>610</v>
      </c>
      <c r="D24" s="448" t="s">
        <v>611</v>
      </c>
      <c r="E24" s="448"/>
      <c r="F24" s="273" t="s">
        <v>612</v>
      </c>
      <c r="G24" s="274" t="s">
        <v>613</v>
      </c>
      <c r="H24" s="274" t="s">
        <v>614</v>
      </c>
      <c r="I24" s="274" t="s">
        <v>615</v>
      </c>
      <c r="J24" s="275" t="s">
        <v>616</v>
      </c>
      <c r="K24" s="382"/>
    </row>
    <row r="25" spans="1:11" ht="100.15" customHeight="1" thickBot="1" x14ac:dyDescent="0.3">
      <c r="A25" s="396"/>
      <c r="B25" s="387"/>
      <c r="C25" s="340" t="s">
        <v>617</v>
      </c>
      <c r="D25" s="449" t="s">
        <v>611</v>
      </c>
      <c r="E25" s="450"/>
      <c r="F25" s="273" t="s">
        <v>618</v>
      </c>
      <c r="G25" s="274" t="s">
        <v>619</v>
      </c>
      <c r="H25" s="274" t="s">
        <v>620</v>
      </c>
      <c r="I25" s="274" t="s">
        <v>621</v>
      </c>
      <c r="J25" s="275" t="s">
        <v>622</v>
      </c>
      <c r="K25" s="382"/>
    </row>
    <row r="26" spans="1:11" ht="94.9" customHeight="1" thickBot="1" x14ac:dyDescent="0.3">
      <c r="A26" s="396"/>
      <c r="B26" s="387"/>
      <c r="C26" s="340" t="s">
        <v>623</v>
      </c>
      <c r="D26" s="449" t="s">
        <v>611</v>
      </c>
      <c r="E26" s="450"/>
      <c r="F26" s="273" t="s">
        <v>624</v>
      </c>
      <c r="G26" s="274"/>
      <c r="H26" s="274" t="s">
        <v>625</v>
      </c>
      <c r="I26" s="274"/>
      <c r="J26" s="275" t="s">
        <v>626</v>
      </c>
      <c r="K26" s="383"/>
    </row>
    <row r="27" spans="1:11" ht="52.5" thickBot="1" x14ac:dyDescent="0.3">
      <c r="A27" s="396"/>
      <c r="B27" s="387" t="s">
        <v>824</v>
      </c>
      <c r="C27" s="341" t="s">
        <v>819</v>
      </c>
      <c r="D27" s="390" t="s">
        <v>428</v>
      </c>
      <c r="E27" s="447"/>
      <c r="F27" s="159" t="s">
        <v>627</v>
      </c>
      <c r="G27" s="160" t="s">
        <v>704</v>
      </c>
      <c r="H27" s="160" t="s">
        <v>646</v>
      </c>
      <c r="I27" s="160" t="s">
        <v>705</v>
      </c>
      <c r="J27" s="162" t="s">
        <v>628</v>
      </c>
      <c r="K27" s="325" t="s">
        <v>629</v>
      </c>
    </row>
    <row r="28" spans="1:11" ht="82.15" customHeight="1" thickBot="1" x14ac:dyDescent="0.3">
      <c r="A28" s="396"/>
      <c r="B28" s="387"/>
      <c r="C28" s="341" t="s">
        <v>630</v>
      </c>
      <c r="D28" s="390" t="s">
        <v>428</v>
      </c>
      <c r="E28" s="447"/>
      <c r="F28" s="159" t="s">
        <v>631</v>
      </c>
      <c r="G28" s="160" t="s">
        <v>706</v>
      </c>
      <c r="H28" s="160" t="s">
        <v>646</v>
      </c>
      <c r="I28" s="160" t="s">
        <v>705</v>
      </c>
      <c r="J28" s="162" t="s">
        <v>632</v>
      </c>
      <c r="K28" s="325" t="s">
        <v>633</v>
      </c>
    </row>
    <row r="29" spans="1:11" ht="16.149999999999999" customHeight="1" thickBot="1" x14ac:dyDescent="0.3">
      <c r="A29" s="396"/>
      <c r="B29" s="387"/>
      <c r="C29" s="341" t="s">
        <v>854</v>
      </c>
      <c r="D29" s="390" t="s">
        <v>428</v>
      </c>
      <c r="E29" s="447"/>
      <c r="F29" s="159" t="s">
        <v>627</v>
      </c>
      <c r="G29" s="160" t="s">
        <v>704</v>
      </c>
      <c r="H29" s="160" t="s">
        <v>646</v>
      </c>
      <c r="I29" s="160" t="s">
        <v>705</v>
      </c>
      <c r="J29" s="162" t="s">
        <v>628</v>
      </c>
      <c r="K29" s="325" t="s">
        <v>860</v>
      </c>
    </row>
    <row r="30" spans="1:11" ht="16.149999999999999" customHeight="1" thickBot="1" x14ac:dyDescent="0.3">
      <c r="A30" s="396"/>
      <c r="B30" s="387"/>
      <c r="C30" s="341" t="s">
        <v>855</v>
      </c>
      <c r="D30" s="390" t="s">
        <v>428</v>
      </c>
      <c r="E30" s="447"/>
      <c r="F30" s="159" t="s">
        <v>627</v>
      </c>
      <c r="G30" s="160" t="s">
        <v>704</v>
      </c>
      <c r="H30" s="160" t="s">
        <v>646</v>
      </c>
      <c r="I30" s="160" t="s">
        <v>705</v>
      </c>
      <c r="J30" s="162" t="s">
        <v>628</v>
      </c>
      <c r="K30" s="325" t="s">
        <v>860</v>
      </c>
    </row>
    <row r="31" spans="1:11" ht="17.45" customHeight="1" thickBot="1" x14ac:dyDescent="0.3">
      <c r="A31" s="396"/>
      <c r="B31" s="387"/>
      <c r="C31" s="341" t="s">
        <v>856</v>
      </c>
      <c r="D31" s="390" t="s">
        <v>428</v>
      </c>
      <c r="E31" s="447"/>
      <c r="F31" s="159" t="s">
        <v>627</v>
      </c>
      <c r="G31" s="160" t="s">
        <v>704</v>
      </c>
      <c r="H31" s="160" t="s">
        <v>646</v>
      </c>
      <c r="I31" s="160" t="s">
        <v>705</v>
      </c>
      <c r="J31" s="162" t="s">
        <v>628</v>
      </c>
      <c r="K31" s="325" t="s">
        <v>860</v>
      </c>
    </row>
    <row r="32" spans="1:11" ht="15" customHeight="1" thickBot="1" x14ac:dyDescent="0.3">
      <c r="A32" s="396"/>
      <c r="B32" s="387"/>
      <c r="C32" s="341" t="s">
        <v>857</v>
      </c>
      <c r="D32" s="390" t="s">
        <v>428</v>
      </c>
      <c r="E32" s="447"/>
      <c r="F32" s="159" t="s">
        <v>627</v>
      </c>
      <c r="G32" s="160" t="s">
        <v>704</v>
      </c>
      <c r="H32" s="160" t="s">
        <v>646</v>
      </c>
      <c r="I32" s="160" t="s">
        <v>705</v>
      </c>
      <c r="J32" s="162" t="s">
        <v>628</v>
      </c>
      <c r="K32" s="325" t="s">
        <v>860</v>
      </c>
    </row>
    <row r="33" spans="1:11" ht="15" customHeight="1" thickBot="1" x14ac:dyDescent="0.3">
      <c r="A33" s="396"/>
      <c r="B33" s="387"/>
      <c r="C33" s="341" t="s">
        <v>858</v>
      </c>
      <c r="D33" s="390" t="s">
        <v>428</v>
      </c>
      <c r="E33" s="447"/>
      <c r="F33" s="159" t="s">
        <v>627</v>
      </c>
      <c r="G33" s="160" t="s">
        <v>704</v>
      </c>
      <c r="H33" s="160" t="s">
        <v>646</v>
      </c>
      <c r="I33" s="160" t="s">
        <v>705</v>
      </c>
      <c r="J33" s="162" t="s">
        <v>628</v>
      </c>
      <c r="K33" s="325" t="s">
        <v>860</v>
      </c>
    </row>
    <row r="34" spans="1:11" ht="14.45" customHeight="1" thickBot="1" x14ac:dyDescent="0.3">
      <c r="A34" s="396"/>
      <c r="B34" s="387"/>
      <c r="C34" s="341" t="s">
        <v>859</v>
      </c>
      <c r="D34" s="390" t="s">
        <v>428</v>
      </c>
      <c r="E34" s="447"/>
      <c r="F34" s="159" t="s">
        <v>627</v>
      </c>
      <c r="G34" s="160" t="s">
        <v>704</v>
      </c>
      <c r="H34" s="160" t="s">
        <v>646</v>
      </c>
      <c r="I34" s="160" t="s">
        <v>705</v>
      </c>
      <c r="J34" s="162" t="s">
        <v>628</v>
      </c>
      <c r="K34" s="325" t="s">
        <v>860</v>
      </c>
    </row>
    <row r="35" spans="1:11" ht="15" customHeight="1" thickBot="1" x14ac:dyDescent="0.3">
      <c r="A35" s="396"/>
      <c r="B35" s="387"/>
      <c r="C35" s="341" t="s">
        <v>812</v>
      </c>
      <c r="D35" s="390" t="s">
        <v>428</v>
      </c>
      <c r="E35" s="447"/>
      <c r="F35" s="159" t="s">
        <v>627</v>
      </c>
      <c r="G35" s="160" t="s">
        <v>704</v>
      </c>
      <c r="H35" s="160" t="s">
        <v>646</v>
      </c>
      <c r="I35" s="160" t="s">
        <v>705</v>
      </c>
      <c r="J35" s="162" t="s">
        <v>628</v>
      </c>
      <c r="K35" s="325" t="s">
        <v>860</v>
      </c>
    </row>
    <row r="36" spans="1:11" ht="15" customHeight="1" thickBot="1" x14ac:dyDescent="0.3">
      <c r="A36" s="396"/>
      <c r="B36" s="387"/>
      <c r="C36" s="341" t="s">
        <v>813</v>
      </c>
      <c r="D36" s="390" t="s">
        <v>428</v>
      </c>
      <c r="E36" s="447"/>
      <c r="F36" s="159" t="s">
        <v>627</v>
      </c>
      <c r="G36" s="160" t="s">
        <v>704</v>
      </c>
      <c r="H36" s="160" t="s">
        <v>646</v>
      </c>
      <c r="I36" s="160" t="s">
        <v>705</v>
      </c>
      <c r="J36" s="162" t="s">
        <v>628</v>
      </c>
      <c r="K36" s="325" t="s">
        <v>860</v>
      </c>
    </row>
    <row r="37" spans="1:11" ht="15" customHeight="1" thickBot="1" x14ac:dyDescent="0.3">
      <c r="A37" s="396"/>
      <c r="B37" s="387"/>
      <c r="C37" s="341" t="s">
        <v>814</v>
      </c>
      <c r="D37" s="390" t="s">
        <v>428</v>
      </c>
      <c r="E37" s="447"/>
      <c r="F37" s="159" t="s">
        <v>627</v>
      </c>
      <c r="G37" s="160" t="s">
        <v>704</v>
      </c>
      <c r="H37" s="160" t="s">
        <v>646</v>
      </c>
      <c r="I37" s="160" t="s">
        <v>705</v>
      </c>
      <c r="J37" s="162" t="s">
        <v>628</v>
      </c>
      <c r="K37" s="325" t="s">
        <v>860</v>
      </c>
    </row>
    <row r="38" spans="1:11" ht="15" customHeight="1" thickBot="1" x14ac:dyDescent="0.3">
      <c r="A38" s="396"/>
      <c r="B38" s="387"/>
      <c r="C38" s="341" t="s">
        <v>815</v>
      </c>
      <c r="D38" s="390" t="s">
        <v>428</v>
      </c>
      <c r="E38" s="447"/>
      <c r="F38" s="159" t="s">
        <v>627</v>
      </c>
      <c r="G38" s="160" t="s">
        <v>704</v>
      </c>
      <c r="H38" s="160" t="s">
        <v>646</v>
      </c>
      <c r="I38" s="160" t="s">
        <v>705</v>
      </c>
      <c r="J38" s="162" t="s">
        <v>628</v>
      </c>
      <c r="K38" s="325" t="s">
        <v>860</v>
      </c>
    </row>
    <row r="39" spans="1:11" ht="43.9" customHeight="1" thickBot="1" x14ac:dyDescent="0.3">
      <c r="A39" s="396"/>
      <c r="B39" s="387" t="s">
        <v>823</v>
      </c>
      <c r="C39" s="341" t="s">
        <v>816</v>
      </c>
      <c r="D39" s="390" t="s">
        <v>428</v>
      </c>
      <c r="E39" s="447"/>
      <c r="F39" s="379" t="s">
        <v>802</v>
      </c>
      <c r="G39" s="379"/>
      <c r="H39" s="379"/>
      <c r="I39" s="379"/>
      <c r="J39" s="380"/>
      <c r="K39" s="325" t="s">
        <v>804</v>
      </c>
    </row>
    <row r="40" spans="1:11" ht="27" thickBot="1" x14ac:dyDescent="0.3">
      <c r="A40" s="396"/>
      <c r="B40" s="387"/>
      <c r="C40" s="341" t="s">
        <v>636</v>
      </c>
      <c r="D40" s="390" t="s">
        <v>428</v>
      </c>
      <c r="E40" s="447"/>
      <c r="F40" s="159" t="s">
        <v>637</v>
      </c>
      <c r="G40" s="160" t="s">
        <v>638</v>
      </c>
      <c r="H40" s="160" t="s">
        <v>639</v>
      </c>
      <c r="I40" s="160" t="s">
        <v>640</v>
      </c>
      <c r="J40" s="162" t="s">
        <v>641</v>
      </c>
      <c r="K40" s="325" t="s">
        <v>635</v>
      </c>
    </row>
    <row r="41" spans="1:11" ht="16.149999999999999" customHeight="1" thickBot="1" x14ac:dyDescent="0.3">
      <c r="A41" s="396"/>
      <c r="B41" s="397"/>
      <c r="C41" s="341" t="s">
        <v>808</v>
      </c>
      <c r="D41" s="390" t="s">
        <v>428</v>
      </c>
      <c r="E41" s="447"/>
      <c r="F41" s="379" t="s">
        <v>802</v>
      </c>
      <c r="G41" s="379"/>
      <c r="H41" s="379"/>
      <c r="I41" s="379"/>
      <c r="J41" s="380"/>
      <c r="K41" s="325"/>
    </row>
    <row r="42" spans="1:11" ht="57" customHeight="1" thickBot="1" x14ac:dyDescent="0.3">
      <c r="A42" s="396"/>
      <c r="B42" s="386" t="s">
        <v>822</v>
      </c>
      <c r="C42" s="341" t="s">
        <v>801</v>
      </c>
      <c r="D42" s="390" t="s">
        <v>428</v>
      </c>
      <c r="E42" s="447"/>
      <c r="F42" s="379" t="s">
        <v>802</v>
      </c>
      <c r="G42" s="379"/>
      <c r="H42" s="379"/>
      <c r="I42" s="379"/>
      <c r="J42" s="380"/>
      <c r="K42" s="325" t="s">
        <v>847</v>
      </c>
    </row>
    <row r="43" spans="1:11" ht="18" customHeight="1" thickBot="1" x14ac:dyDescent="0.3">
      <c r="A43" s="396"/>
      <c r="B43" s="387"/>
      <c r="C43" s="341" t="s">
        <v>829</v>
      </c>
      <c r="D43" s="390" t="s">
        <v>428</v>
      </c>
      <c r="E43" s="447"/>
      <c r="F43" s="379" t="s">
        <v>802</v>
      </c>
      <c r="G43" s="379"/>
      <c r="H43" s="379"/>
      <c r="I43" s="379"/>
      <c r="J43" s="380"/>
      <c r="K43" s="325"/>
    </row>
    <row r="44" spans="1:11" ht="16.149999999999999" customHeight="1" thickBot="1" x14ac:dyDescent="0.3">
      <c r="A44" s="396"/>
      <c r="B44" s="387"/>
      <c r="C44" s="341" t="s">
        <v>806</v>
      </c>
      <c r="D44" s="390" t="s">
        <v>428</v>
      </c>
      <c r="E44" s="447"/>
      <c r="F44" s="379" t="s">
        <v>802</v>
      </c>
      <c r="G44" s="379"/>
      <c r="H44" s="379"/>
      <c r="I44" s="379"/>
      <c r="J44" s="380"/>
      <c r="K44" s="325"/>
    </row>
    <row r="45" spans="1:11" ht="16.149999999999999" customHeight="1" thickBot="1" x14ac:dyDescent="0.3">
      <c r="A45" s="396"/>
      <c r="B45" s="387"/>
      <c r="C45" s="341" t="s">
        <v>828</v>
      </c>
      <c r="D45" s="390" t="s">
        <v>428</v>
      </c>
      <c r="E45" s="447"/>
      <c r="F45" s="379" t="s">
        <v>802</v>
      </c>
      <c r="G45" s="379"/>
      <c r="H45" s="379"/>
      <c r="I45" s="379"/>
      <c r="J45" s="380"/>
      <c r="K45" s="325"/>
    </row>
    <row r="46" spans="1:11" ht="29.45" customHeight="1" thickBot="1" x14ac:dyDescent="0.3">
      <c r="A46" s="396"/>
      <c r="B46" s="387"/>
      <c r="C46" s="341" t="s">
        <v>817</v>
      </c>
      <c r="D46" s="390" t="s">
        <v>428</v>
      </c>
      <c r="E46" s="447"/>
      <c r="F46" s="379" t="s">
        <v>802</v>
      </c>
      <c r="G46" s="379"/>
      <c r="H46" s="379"/>
      <c r="I46" s="379"/>
      <c r="J46" s="380"/>
      <c r="K46" s="325"/>
    </row>
    <row r="47" spans="1:11" ht="31.15" customHeight="1" thickBot="1" x14ac:dyDescent="0.3">
      <c r="A47" s="396"/>
      <c r="B47" s="397"/>
      <c r="C47" s="341" t="s">
        <v>818</v>
      </c>
      <c r="D47" s="390" t="s">
        <v>428</v>
      </c>
      <c r="E47" s="447"/>
      <c r="F47" s="379" t="s">
        <v>802</v>
      </c>
      <c r="G47" s="379"/>
      <c r="H47" s="379"/>
      <c r="I47" s="379"/>
      <c r="J47" s="380"/>
      <c r="K47" s="325"/>
    </row>
    <row r="48" spans="1:11" ht="29.45" customHeight="1" thickBot="1" x14ac:dyDescent="0.3">
      <c r="A48" s="396"/>
      <c r="B48" s="392" t="s">
        <v>821</v>
      </c>
      <c r="C48" s="339" t="s">
        <v>848</v>
      </c>
      <c r="D48" s="449" t="s">
        <v>429</v>
      </c>
      <c r="E48" s="450"/>
      <c r="F48" s="189">
        <v>1</v>
      </c>
      <c r="G48" s="189">
        <v>2</v>
      </c>
      <c r="H48" s="189">
        <v>3</v>
      </c>
      <c r="I48" s="189">
        <v>4</v>
      </c>
      <c r="J48" s="189">
        <v>5</v>
      </c>
      <c r="K48" s="189"/>
    </row>
    <row r="49" spans="1:11" ht="39" thickBot="1" x14ac:dyDescent="0.3">
      <c r="A49" s="396"/>
      <c r="B49" s="393"/>
      <c r="C49" s="339" t="s">
        <v>642</v>
      </c>
      <c r="D49" s="449" t="s">
        <v>429</v>
      </c>
      <c r="E49" s="450"/>
      <c r="F49" s="189" t="s">
        <v>782</v>
      </c>
      <c r="G49" s="189" t="s">
        <v>783</v>
      </c>
      <c r="H49" s="189" t="s">
        <v>784</v>
      </c>
      <c r="I49" s="189" t="s">
        <v>785</v>
      </c>
      <c r="J49" s="189" t="s">
        <v>785</v>
      </c>
      <c r="K49" s="189"/>
    </row>
    <row r="50" spans="1:11" ht="26.25" thickBot="1" x14ac:dyDescent="0.3">
      <c r="A50" s="396"/>
      <c r="B50" s="393"/>
      <c r="C50" s="339" t="s">
        <v>643</v>
      </c>
      <c r="D50" s="449" t="s">
        <v>429</v>
      </c>
      <c r="E50" s="450"/>
      <c r="F50" s="189" t="s">
        <v>786</v>
      </c>
      <c r="G50" s="189" t="s">
        <v>787</v>
      </c>
      <c r="H50" s="189" t="s">
        <v>788</v>
      </c>
      <c r="I50" s="189" t="s">
        <v>789</v>
      </c>
      <c r="J50" s="189" t="s">
        <v>790</v>
      </c>
      <c r="K50" s="189"/>
    </row>
    <row r="51" spans="1:11" ht="15.75" thickBot="1" x14ac:dyDescent="0.3">
      <c r="A51" s="396"/>
      <c r="B51" s="393"/>
      <c r="C51" s="339" t="s">
        <v>644</v>
      </c>
      <c r="D51" s="449" t="s">
        <v>429</v>
      </c>
      <c r="E51" s="450"/>
      <c r="F51" s="189" t="s">
        <v>791</v>
      </c>
      <c r="G51" s="189" t="s">
        <v>792</v>
      </c>
      <c r="H51" s="189" t="s">
        <v>793</v>
      </c>
      <c r="I51" s="189" t="s">
        <v>793</v>
      </c>
      <c r="J51" s="189" t="s">
        <v>793</v>
      </c>
      <c r="K51" s="189"/>
    </row>
    <row r="52" spans="1:11" ht="54" customHeight="1" thickBot="1" x14ac:dyDescent="0.3">
      <c r="A52" s="396"/>
      <c r="B52" s="394"/>
      <c r="C52" s="339" t="s">
        <v>645</v>
      </c>
      <c r="D52" s="449" t="s">
        <v>429</v>
      </c>
      <c r="E52" s="450"/>
      <c r="F52" s="189" t="s">
        <v>794</v>
      </c>
      <c r="G52" s="189" t="s">
        <v>795</v>
      </c>
      <c r="H52" s="189" t="s">
        <v>796</v>
      </c>
      <c r="I52" s="189" t="s">
        <v>797</v>
      </c>
      <c r="J52" s="189" t="s">
        <v>797</v>
      </c>
      <c r="K52" s="189"/>
    </row>
  </sheetData>
  <mergeCells count="83">
    <mergeCell ref="D50:E50"/>
    <mergeCell ref="D51:E51"/>
    <mergeCell ref="D52:E52"/>
    <mergeCell ref="D45:E45"/>
    <mergeCell ref="D46:E46"/>
    <mergeCell ref="D47:E47"/>
    <mergeCell ref="D48:E48"/>
    <mergeCell ref="D49:E49"/>
    <mergeCell ref="D40:E40"/>
    <mergeCell ref="D41:E41"/>
    <mergeCell ref="D42:E42"/>
    <mergeCell ref="D43:E43"/>
    <mergeCell ref="D44:E44"/>
    <mergeCell ref="D35:E35"/>
    <mergeCell ref="D36:E36"/>
    <mergeCell ref="D37:E37"/>
    <mergeCell ref="D38:E38"/>
    <mergeCell ref="D39:E39"/>
    <mergeCell ref="D21:E21"/>
    <mergeCell ref="D22:E22"/>
    <mergeCell ref="D33:E33"/>
    <mergeCell ref="D34:E34"/>
    <mergeCell ref="D23:E23"/>
    <mergeCell ref="D24:E24"/>
    <mergeCell ref="D25:E25"/>
    <mergeCell ref="D26:E26"/>
    <mergeCell ref="D27:E27"/>
    <mergeCell ref="D28:E28"/>
    <mergeCell ref="D29:E29"/>
    <mergeCell ref="D30:E30"/>
    <mergeCell ref="D31:E31"/>
    <mergeCell ref="D32:E32"/>
    <mergeCell ref="F1:J1"/>
    <mergeCell ref="K2:K3"/>
    <mergeCell ref="A4:A10"/>
    <mergeCell ref="B4:B10"/>
    <mergeCell ref="C5:C8"/>
    <mergeCell ref="F5:G5"/>
    <mergeCell ref="K5:K8"/>
    <mergeCell ref="G6:H6"/>
    <mergeCell ref="H7:I7"/>
    <mergeCell ref="I8:J8"/>
    <mergeCell ref="I10:J10"/>
    <mergeCell ref="D2:E2"/>
    <mergeCell ref="D4:E4"/>
    <mergeCell ref="D5:E8"/>
    <mergeCell ref="D9:E9"/>
    <mergeCell ref="A1:E1"/>
    <mergeCell ref="A11:A17"/>
    <mergeCell ref="I12:J12"/>
    <mergeCell ref="I14:J14"/>
    <mergeCell ref="I15:J15"/>
    <mergeCell ref="F16:G16"/>
    <mergeCell ref="F17:G17"/>
    <mergeCell ref="D12:E12"/>
    <mergeCell ref="D13:E13"/>
    <mergeCell ref="D14:E14"/>
    <mergeCell ref="D15:E15"/>
    <mergeCell ref="D16:E16"/>
    <mergeCell ref="D17:E17"/>
    <mergeCell ref="B48:B52"/>
    <mergeCell ref="A18:A52"/>
    <mergeCell ref="B27:B38"/>
    <mergeCell ref="B42:B47"/>
    <mergeCell ref="B39:B41"/>
    <mergeCell ref="B21:B22"/>
    <mergeCell ref="B18:B20"/>
    <mergeCell ref="F47:J47"/>
    <mergeCell ref="K23:K26"/>
    <mergeCell ref="B12:B13"/>
    <mergeCell ref="B14:B15"/>
    <mergeCell ref="B16:B17"/>
    <mergeCell ref="B23:B26"/>
    <mergeCell ref="F42:J42"/>
    <mergeCell ref="F45:J45"/>
    <mergeCell ref="F41:J41"/>
    <mergeCell ref="F46:J46"/>
    <mergeCell ref="F39:J39"/>
    <mergeCell ref="F43:J43"/>
    <mergeCell ref="F44:J44"/>
    <mergeCell ref="D18:E18"/>
    <mergeCell ref="D19:E19"/>
    <mergeCell ref="D20:E20"/>
  </mergeCells>
  <phoneticPr fontId="3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C000"/>
  </sheetPr>
  <dimension ref="A1:K47"/>
  <sheetViews>
    <sheetView workbookViewId="0">
      <selection sqref="A1:B1"/>
    </sheetView>
    <sheetView workbookViewId="1">
      <selection sqref="A1:B1"/>
    </sheetView>
  </sheetViews>
  <sheetFormatPr defaultColWidth="8.75" defaultRowHeight="15" x14ac:dyDescent="0.25"/>
  <cols>
    <col min="1" max="1" width="12.25" style="137" customWidth="1"/>
    <col min="2" max="2" width="72" style="137" customWidth="1"/>
    <col min="3" max="3" width="22" style="276" customWidth="1"/>
    <col min="4" max="4" width="27.25" style="276" customWidth="1"/>
    <col min="5" max="5" width="23.5" style="276" customWidth="1"/>
    <col min="6" max="6" width="20.75" style="276" customWidth="1"/>
    <col min="7" max="7" width="18.75" style="137" customWidth="1"/>
    <col min="8" max="8" width="19.625" style="137" customWidth="1"/>
    <col min="9" max="9" width="19.75" style="137" customWidth="1"/>
    <col min="10" max="10" width="20.25" style="137" customWidth="1"/>
    <col min="11" max="11" width="83.875" style="137" customWidth="1"/>
    <col min="12" max="12" width="31.875" style="137" customWidth="1"/>
    <col min="13" max="16384" width="8.75" style="137"/>
  </cols>
  <sheetData>
    <row r="1" spans="1:11" ht="28.5" thickBot="1" x14ac:dyDescent="0.3">
      <c r="A1" s="445" t="s">
        <v>752</v>
      </c>
      <c r="B1" s="446"/>
      <c r="C1" s="277"/>
      <c r="D1" s="277"/>
      <c r="E1" s="277"/>
      <c r="F1" s="277"/>
      <c r="G1" s="417" t="s">
        <v>686</v>
      </c>
      <c r="H1" s="418"/>
      <c r="I1" s="418"/>
      <c r="J1" s="418"/>
      <c r="K1" s="136"/>
    </row>
    <row r="2" spans="1:11" ht="16.149999999999999" customHeight="1" thickBot="1" x14ac:dyDescent="0.3">
      <c r="A2" s="233"/>
      <c r="B2" s="233"/>
      <c r="C2" s="417" t="s">
        <v>753</v>
      </c>
      <c r="D2" s="418"/>
      <c r="E2" s="418"/>
      <c r="F2" s="418"/>
      <c r="G2" s="230" t="s">
        <v>682</v>
      </c>
      <c r="H2" s="147" t="s">
        <v>682</v>
      </c>
      <c r="I2" s="147" t="s">
        <v>685</v>
      </c>
      <c r="J2" s="149" t="s">
        <v>685</v>
      </c>
      <c r="K2" s="136"/>
    </row>
    <row r="3" spans="1:11" ht="16.149999999999999" customHeight="1" thickBot="1" x14ac:dyDescent="0.3">
      <c r="A3" s="233"/>
      <c r="B3" s="233"/>
      <c r="C3" s="279" t="s">
        <v>755</v>
      </c>
      <c r="D3" s="280" t="s">
        <v>757</v>
      </c>
      <c r="E3" s="280" t="s">
        <v>759</v>
      </c>
      <c r="F3" s="281" t="s">
        <v>761</v>
      </c>
      <c r="G3" s="234" t="s">
        <v>683</v>
      </c>
      <c r="H3" s="147" t="s">
        <v>684</v>
      </c>
      <c r="I3" s="147" t="s">
        <v>683</v>
      </c>
      <c r="J3" s="149" t="s">
        <v>684</v>
      </c>
      <c r="K3" s="455" t="s">
        <v>751</v>
      </c>
    </row>
    <row r="4" spans="1:11" ht="31.15" customHeight="1" thickBot="1" x14ac:dyDescent="0.3">
      <c r="A4" s="235" t="s">
        <v>560</v>
      </c>
      <c r="B4" s="235" t="s">
        <v>444</v>
      </c>
      <c r="C4" s="278" t="s">
        <v>754</v>
      </c>
      <c r="D4" s="278" t="s">
        <v>756</v>
      </c>
      <c r="E4" s="278" t="s">
        <v>758</v>
      </c>
      <c r="F4" s="278" t="s">
        <v>760</v>
      </c>
      <c r="G4" s="236" t="s">
        <v>678</v>
      </c>
      <c r="H4" s="231" t="s">
        <v>679</v>
      </c>
      <c r="I4" s="231" t="s">
        <v>680</v>
      </c>
      <c r="J4" s="232" t="s">
        <v>681</v>
      </c>
      <c r="K4" s="456"/>
    </row>
    <row r="5" spans="1:11" ht="41.45" customHeight="1" thickBot="1" x14ac:dyDescent="0.3">
      <c r="A5" s="457" t="s">
        <v>96</v>
      </c>
      <c r="B5" s="237" t="s">
        <v>562</v>
      </c>
      <c r="C5" s="237"/>
      <c r="D5" s="237"/>
      <c r="E5" s="237"/>
      <c r="F5" s="237"/>
      <c r="G5" s="152" t="s">
        <v>681</v>
      </c>
      <c r="H5" s="153"/>
      <c r="I5" s="153"/>
      <c r="J5" s="153"/>
      <c r="K5" s="238"/>
    </row>
    <row r="6" spans="1:11" ht="39" customHeight="1" thickBot="1" x14ac:dyDescent="0.3">
      <c r="A6" s="458"/>
      <c r="B6" s="203" t="s">
        <v>447</v>
      </c>
      <c r="C6" s="237"/>
      <c r="D6" s="237"/>
      <c r="E6" s="237"/>
      <c r="F6" s="237"/>
      <c r="G6" s="152"/>
      <c r="H6" s="153" t="s">
        <v>681</v>
      </c>
      <c r="I6" s="153"/>
      <c r="J6" s="153"/>
      <c r="K6" s="239"/>
    </row>
    <row r="7" spans="1:11" ht="43.15" customHeight="1" thickBot="1" x14ac:dyDescent="0.3">
      <c r="A7" s="458"/>
      <c r="B7" s="151" t="s">
        <v>449</v>
      </c>
      <c r="C7" s="237"/>
      <c r="D7" s="237"/>
      <c r="E7" s="237"/>
      <c r="F7" s="237"/>
      <c r="G7" s="152"/>
      <c r="H7" s="153"/>
      <c r="I7" s="153"/>
      <c r="J7" s="153"/>
      <c r="K7" s="240"/>
    </row>
    <row r="8" spans="1:11" ht="30.6" customHeight="1" thickBot="1" x14ac:dyDescent="0.3">
      <c r="A8" s="458"/>
      <c r="B8" s="203" t="s">
        <v>450</v>
      </c>
      <c r="C8" s="237"/>
      <c r="D8" s="237"/>
      <c r="E8" s="237"/>
      <c r="F8" s="237"/>
      <c r="G8" s="152"/>
      <c r="H8" s="153"/>
      <c r="I8" s="153"/>
      <c r="J8" s="153"/>
      <c r="K8" s="241"/>
    </row>
    <row r="9" spans="1:11" ht="39.6" customHeight="1" thickBot="1" x14ac:dyDescent="0.3">
      <c r="A9" s="458"/>
      <c r="B9" s="203" t="s">
        <v>452</v>
      </c>
      <c r="C9" s="237"/>
      <c r="D9" s="237"/>
      <c r="E9" s="237"/>
      <c r="F9" s="237"/>
      <c r="G9" s="152"/>
      <c r="H9" s="153"/>
      <c r="I9" s="153"/>
      <c r="J9" s="153"/>
      <c r="K9" s="241"/>
    </row>
    <row r="10" spans="1:11" ht="31.9" customHeight="1" thickBot="1" x14ac:dyDescent="0.3">
      <c r="A10" s="458"/>
      <c r="B10" s="203" t="s">
        <v>495</v>
      </c>
      <c r="C10" s="237"/>
      <c r="D10" s="237"/>
      <c r="E10" s="237"/>
      <c r="F10" s="237"/>
      <c r="G10" s="152"/>
      <c r="H10" s="153"/>
      <c r="I10" s="153"/>
      <c r="J10" s="153"/>
      <c r="K10" s="241"/>
    </row>
    <row r="11" spans="1:11" ht="27" customHeight="1" thickBot="1" x14ac:dyDescent="0.3">
      <c r="A11" s="458"/>
      <c r="B11" s="203" t="s">
        <v>566</v>
      </c>
      <c r="C11" s="237"/>
      <c r="D11" s="237"/>
      <c r="E11" s="237"/>
      <c r="F11" s="237"/>
      <c r="G11" s="152"/>
      <c r="H11" s="153"/>
      <c r="I11" s="153"/>
      <c r="J11" s="153"/>
      <c r="K11" s="241"/>
    </row>
    <row r="12" spans="1:11" ht="18.600000000000001" customHeight="1" thickBot="1" x14ac:dyDescent="0.3">
      <c r="A12" s="458"/>
      <c r="B12" s="203" t="s">
        <v>463</v>
      </c>
      <c r="C12" s="237"/>
      <c r="D12" s="237"/>
      <c r="E12" s="237"/>
      <c r="F12" s="237"/>
      <c r="G12" s="152"/>
      <c r="H12" s="153"/>
      <c r="I12" s="153"/>
      <c r="J12" s="153"/>
      <c r="K12" s="241"/>
    </row>
    <row r="13" spans="1:11" ht="18.600000000000001" customHeight="1" thickBot="1" x14ac:dyDescent="0.3">
      <c r="A13" s="458"/>
      <c r="B13" s="203" t="s">
        <v>461</v>
      </c>
      <c r="C13" s="237"/>
      <c r="D13" s="237"/>
      <c r="E13" s="237"/>
      <c r="F13" s="237"/>
      <c r="G13" s="152"/>
      <c r="H13" s="153"/>
      <c r="I13" s="153"/>
      <c r="J13" s="153"/>
      <c r="K13" s="241"/>
    </row>
    <row r="14" spans="1:11" ht="16.899999999999999" customHeight="1" thickBot="1" x14ac:dyDescent="0.3">
      <c r="A14" s="458"/>
      <c r="B14" s="203" t="s">
        <v>568</v>
      </c>
      <c r="C14" s="237"/>
      <c r="D14" s="237"/>
      <c r="E14" s="237"/>
      <c r="F14" s="237"/>
      <c r="G14" s="152"/>
      <c r="H14" s="153"/>
      <c r="I14" s="153"/>
      <c r="J14" s="153"/>
      <c r="K14" s="241"/>
    </row>
    <row r="15" spans="1:11" ht="19.149999999999999" customHeight="1" thickBot="1" x14ac:dyDescent="0.3">
      <c r="A15" s="459"/>
      <c r="B15" s="203" t="s">
        <v>572</v>
      </c>
      <c r="C15" s="237"/>
      <c r="D15" s="237"/>
      <c r="E15" s="237"/>
      <c r="F15" s="237"/>
      <c r="G15" s="152"/>
      <c r="H15" s="153"/>
      <c r="I15" s="153"/>
      <c r="J15" s="153"/>
      <c r="K15" s="241"/>
    </row>
    <row r="16" spans="1:11" ht="15" customHeight="1" thickBot="1" x14ac:dyDescent="0.3">
      <c r="A16" s="460" t="s">
        <v>576</v>
      </c>
      <c r="B16" s="151" t="s">
        <v>453</v>
      </c>
      <c r="C16" s="237"/>
      <c r="D16" s="237"/>
      <c r="E16" s="237"/>
      <c r="F16" s="237"/>
      <c r="G16" s="152"/>
      <c r="H16" s="153"/>
      <c r="I16" s="153"/>
      <c r="J16" s="153"/>
      <c r="K16" s="241"/>
    </row>
    <row r="17" spans="1:11" ht="45" customHeight="1" thickBot="1" x14ac:dyDescent="0.3">
      <c r="A17" s="458"/>
      <c r="B17" s="151" t="s">
        <v>529</v>
      </c>
      <c r="C17" s="237"/>
      <c r="D17" s="237"/>
      <c r="E17" s="237"/>
      <c r="F17" s="237"/>
      <c r="G17" s="152"/>
      <c r="H17" s="153"/>
      <c r="I17" s="153"/>
      <c r="J17" s="153"/>
      <c r="K17" s="241"/>
    </row>
    <row r="18" spans="1:11" ht="46.9" customHeight="1" thickBot="1" x14ac:dyDescent="0.3">
      <c r="A18" s="458"/>
      <c r="B18" s="151" t="s">
        <v>530</v>
      </c>
      <c r="C18" s="237"/>
      <c r="D18" s="237"/>
      <c r="E18" s="237"/>
      <c r="F18" s="237"/>
      <c r="G18" s="152"/>
      <c r="H18" s="153"/>
      <c r="I18" s="153"/>
      <c r="J18" s="153"/>
      <c r="K18" s="241"/>
    </row>
    <row r="19" spans="1:11" ht="15.6" customHeight="1" thickBot="1" x14ac:dyDescent="0.3">
      <c r="A19" s="458"/>
      <c r="B19" s="151" t="s">
        <v>459</v>
      </c>
      <c r="C19" s="237"/>
      <c r="D19" s="237"/>
      <c r="E19" s="237"/>
      <c r="F19" s="237"/>
      <c r="G19" s="152"/>
      <c r="H19" s="153"/>
      <c r="I19" s="153"/>
      <c r="J19" s="153"/>
      <c r="K19" s="241"/>
    </row>
    <row r="20" spans="1:11" ht="15" customHeight="1" thickBot="1" x14ac:dyDescent="0.3">
      <c r="A20" s="459"/>
      <c r="B20" s="151" t="s">
        <v>532</v>
      </c>
      <c r="C20" s="237"/>
      <c r="D20" s="237"/>
      <c r="E20" s="237"/>
      <c r="F20" s="237"/>
      <c r="G20" s="152"/>
      <c r="H20" s="153"/>
      <c r="I20" s="153"/>
      <c r="J20" s="153"/>
      <c r="K20" s="241"/>
    </row>
    <row r="21" spans="1:11" ht="15.75" thickBot="1" x14ac:dyDescent="0.3">
      <c r="A21" s="461" t="s">
        <v>578</v>
      </c>
      <c r="B21" s="151" t="s">
        <v>604</v>
      </c>
      <c r="C21" s="237"/>
      <c r="D21" s="237"/>
      <c r="E21" s="237"/>
      <c r="F21" s="237"/>
      <c r="G21" s="152"/>
      <c r="H21" s="153"/>
      <c r="I21" s="153"/>
      <c r="J21" s="153"/>
      <c r="K21" s="241"/>
    </row>
    <row r="22" spans="1:11" ht="27" thickBot="1" x14ac:dyDescent="0.3">
      <c r="A22" s="462"/>
      <c r="B22" s="151" t="s">
        <v>610</v>
      </c>
      <c r="C22" s="237"/>
      <c r="D22" s="237"/>
      <c r="E22" s="237"/>
      <c r="F22" s="237"/>
      <c r="G22" s="152"/>
      <c r="H22" s="153"/>
      <c r="I22" s="153"/>
      <c r="J22" s="153"/>
      <c r="K22" s="241"/>
    </row>
    <row r="23" spans="1:11" ht="15.75" thickBot="1" x14ac:dyDescent="0.3">
      <c r="A23" s="462"/>
      <c r="B23" s="151" t="s">
        <v>617</v>
      </c>
      <c r="C23" s="237"/>
      <c r="D23" s="237"/>
      <c r="E23" s="237"/>
      <c r="F23" s="237"/>
      <c r="G23" s="152"/>
      <c r="H23" s="153"/>
      <c r="I23" s="153"/>
      <c r="J23" s="153"/>
      <c r="K23" s="241"/>
    </row>
    <row r="24" spans="1:11" ht="27" thickBot="1" x14ac:dyDescent="0.3">
      <c r="A24" s="462"/>
      <c r="B24" s="151" t="s">
        <v>623</v>
      </c>
      <c r="C24" s="237"/>
      <c r="D24" s="237"/>
      <c r="E24" s="237"/>
      <c r="F24" s="237"/>
      <c r="G24" s="152"/>
      <c r="H24" s="153"/>
      <c r="I24" s="153"/>
      <c r="J24" s="153"/>
      <c r="K24" s="241"/>
    </row>
    <row r="25" spans="1:11" ht="15.75" thickBot="1" x14ac:dyDescent="0.3">
      <c r="A25" s="453" t="s">
        <v>577</v>
      </c>
      <c r="B25" s="151" t="s">
        <v>819</v>
      </c>
      <c r="C25" s="237"/>
      <c r="D25" s="237"/>
      <c r="E25" s="237"/>
      <c r="F25" s="237"/>
      <c r="G25" s="152"/>
      <c r="H25" s="153"/>
      <c r="I25" s="153"/>
      <c r="J25" s="153"/>
      <c r="K25" s="241"/>
    </row>
    <row r="26" spans="1:11" ht="16.149999999999999" customHeight="1" thickBot="1" x14ac:dyDescent="0.3">
      <c r="A26" s="454"/>
      <c r="B26" s="151" t="s">
        <v>630</v>
      </c>
      <c r="C26" s="237"/>
      <c r="D26" s="237"/>
      <c r="E26" s="237"/>
      <c r="F26" s="237"/>
      <c r="G26" s="152"/>
      <c r="H26" s="153"/>
      <c r="I26" s="153"/>
      <c r="J26" s="153"/>
      <c r="K26" s="241"/>
    </row>
    <row r="27" spans="1:11" ht="16.149999999999999" customHeight="1" thickBot="1" x14ac:dyDescent="0.3">
      <c r="A27" s="454"/>
      <c r="B27" s="151" t="s">
        <v>809</v>
      </c>
      <c r="C27" s="237"/>
      <c r="D27" s="237"/>
      <c r="E27" s="237"/>
      <c r="F27" s="237"/>
      <c r="G27" s="152"/>
      <c r="H27" s="153"/>
      <c r="I27" s="153"/>
      <c r="J27" s="153"/>
      <c r="K27" s="241"/>
    </row>
    <row r="28" spans="1:11" ht="16.149999999999999" customHeight="1" thickBot="1" x14ac:dyDescent="0.3">
      <c r="A28" s="454"/>
      <c r="B28" s="151" t="s">
        <v>810</v>
      </c>
      <c r="C28" s="237"/>
      <c r="D28" s="237"/>
      <c r="E28" s="237"/>
      <c r="F28" s="237"/>
      <c r="G28" s="152"/>
      <c r="H28" s="153"/>
      <c r="I28" s="153"/>
      <c r="J28" s="153"/>
      <c r="K28" s="241"/>
    </row>
    <row r="29" spans="1:11" ht="16.149999999999999" customHeight="1" thickBot="1" x14ac:dyDescent="0.3">
      <c r="A29" s="454"/>
      <c r="B29" s="151" t="s">
        <v>811</v>
      </c>
      <c r="C29" s="237"/>
      <c r="D29" s="237"/>
      <c r="E29" s="237"/>
      <c r="F29" s="237"/>
      <c r="G29" s="152"/>
      <c r="H29" s="153"/>
      <c r="I29" s="153"/>
      <c r="J29" s="153"/>
      <c r="K29" s="241"/>
    </row>
    <row r="30" spans="1:11" ht="16.149999999999999" customHeight="1" thickBot="1" x14ac:dyDescent="0.3">
      <c r="A30" s="454"/>
      <c r="B30" s="151" t="s">
        <v>812</v>
      </c>
      <c r="C30" s="237"/>
      <c r="D30" s="237"/>
      <c r="E30" s="237"/>
      <c r="F30" s="237"/>
      <c r="G30" s="152"/>
      <c r="H30" s="153"/>
      <c r="I30" s="153"/>
      <c r="J30" s="153"/>
      <c r="K30" s="241"/>
    </row>
    <row r="31" spans="1:11" ht="16.149999999999999" customHeight="1" thickBot="1" x14ac:dyDescent="0.3">
      <c r="A31" s="454"/>
      <c r="B31" s="151" t="s">
        <v>813</v>
      </c>
      <c r="C31" s="237"/>
      <c r="D31" s="237"/>
      <c r="E31" s="237"/>
      <c r="F31" s="237"/>
      <c r="G31" s="152"/>
      <c r="H31" s="153"/>
      <c r="I31" s="153"/>
      <c r="J31" s="153"/>
      <c r="K31" s="241"/>
    </row>
    <row r="32" spans="1:11" ht="16.149999999999999" customHeight="1" thickBot="1" x14ac:dyDescent="0.3">
      <c r="A32" s="454"/>
      <c r="B32" s="151" t="s">
        <v>814</v>
      </c>
      <c r="C32" s="237"/>
      <c r="D32" s="237"/>
      <c r="E32" s="237"/>
      <c r="F32" s="237"/>
      <c r="G32" s="152"/>
      <c r="H32" s="153"/>
      <c r="I32" s="153"/>
      <c r="J32" s="153"/>
      <c r="K32" s="241"/>
    </row>
    <row r="33" spans="1:11" ht="16.149999999999999" customHeight="1" thickBot="1" x14ac:dyDescent="0.3">
      <c r="A33" s="454"/>
      <c r="B33" s="151" t="s">
        <v>815</v>
      </c>
      <c r="C33" s="237"/>
      <c r="D33" s="237"/>
      <c r="E33" s="237"/>
      <c r="F33" s="237"/>
      <c r="G33" s="152"/>
      <c r="H33" s="153"/>
      <c r="I33" s="153"/>
      <c r="J33" s="153"/>
      <c r="K33" s="241"/>
    </row>
    <row r="34" spans="1:11" ht="27" thickBot="1" x14ac:dyDescent="0.3">
      <c r="A34" s="454"/>
      <c r="B34" s="151" t="s">
        <v>816</v>
      </c>
      <c r="C34" s="237"/>
      <c r="D34" s="237"/>
      <c r="E34" s="237"/>
      <c r="F34" s="237"/>
      <c r="G34" s="152"/>
      <c r="H34" s="153"/>
      <c r="I34" s="153"/>
      <c r="J34" s="153"/>
      <c r="K34" s="241"/>
    </row>
    <row r="35" spans="1:11" ht="27" thickBot="1" x14ac:dyDescent="0.3">
      <c r="A35" s="454"/>
      <c r="B35" s="151" t="s">
        <v>636</v>
      </c>
      <c r="C35" s="237"/>
      <c r="D35" s="237"/>
      <c r="E35" s="237"/>
      <c r="F35" s="237"/>
      <c r="G35" s="152"/>
      <c r="H35" s="153"/>
      <c r="I35" s="153"/>
      <c r="J35" s="153"/>
      <c r="K35" s="241"/>
    </row>
    <row r="36" spans="1:11" ht="16.149999999999999" customHeight="1" thickBot="1" x14ac:dyDescent="0.3">
      <c r="A36" s="454"/>
      <c r="B36" s="151" t="s">
        <v>808</v>
      </c>
      <c r="C36" s="237"/>
      <c r="D36" s="237"/>
      <c r="E36" s="237"/>
      <c r="F36" s="237"/>
      <c r="G36" s="152"/>
      <c r="H36" s="153"/>
      <c r="I36" s="153"/>
      <c r="J36" s="153"/>
      <c r="K36" s="241"/>
    </row>
    <row r="37" spans="1:11" ht="27" thickBot="1" x14ac:dyDescent="0.3">
      <c r="A37" s="454"/>
      <c r="B37" s="151" t="s">
        <v>801</v>
      </c>
      <c r="C37" s="237"/>
      <c r="D37" s="237"/>
      <c r="E37" s="237"/>
      <c r="F37" s="237"/>
      <c r="G37" s="152"/>
      <c r="H37" s="153"/>
      <c r="I37" s="153"/>
      <c r="J37" s="153"/>
      <c r="K37" s="241"/>
    </row>
    <row r="38" spans="1:11" ht="16.149999999999999" customHeight="1" thickBot="1" x14ac:dyDescent="0.3">
      <c r="A38" s="454"/>
      <c r="B38" s="151" t="s">
        <v>829</v>
      </c>
      <c r="C38" s="237"/>
      <c r="D38" s="237"/>
      <c r="E38" s="237"/>
      <c r="F38" s="237"/>
      <c r="G38" s="152"/>
      <c r="H38" s="153"/>
      <c r="I38" s="153"/>
      <c r="J38" s="153"/>
      <c r="K38" s="241"/>
    </row>
    <row r="39" spans="1:11" ht="16.149999999999999" customHeight="1" thickBot="1" x14ac:dyDescent="0.3">
      <c r="A39" s="454"/>
      <c r="B39" s="151" t="s">
        <v>806</v>
      </c>
      <c r="C39" s="237"/>
      <c r="D39" s="237"/>
      <c r="E39" s="237"/>
      <c r="F39" s="237"/>
      <c r="G39" s="152"/>
      <c r="H39" s="153"/>
      <c r="I39" s="153"/>
      <c r="J39" s="153"/>
      <c r="K39" s="241"/>
    </row>
    <row r="40" spans="1:11" ht="16.149999999999999" customHeight="1" thickBot="1" x14ac:dyDescent="0.3">
      <c r="A40" s="454"/>
      <c r="B40" s="151" t="s">
        <v>828</v>
      </c>
      <c r="C40" s="237"/>
      <c r="D40" s="237"/>
      <c r="E40" s="237"/>
      <c r="F40" s="237"/>
      <c r="G40" s="152"/>
      <c r="H40" s="153"/>
      <c r="I40" s="153"/>
      <c r="J40" s="153"/>
      <c r="K40" s="241"/>
    </row>
    <row r="41" spans="1:11" ht="16.149999999999999" customHeight="1" thickBot="1" x14ac:dyDescent="0.3">
      <c r="A41" s="454"/>
      <c r="B41" s="151" t="s">
        <v>817</v>
      </c>
      <c r="C41" s="237"/>
      <c r="D41" s="237"/>
      <c r="E41" s="237"/>
      <c r="F41" s="237"/>
      <c r="G41" s="152"/>
      <c r="H41" s="153"/>
      <c r="I41" s="153"/>
      <c r="J41" s="153"/>
      <c r="K41" s="241"/>
    </row>
    <row r="42" spans="1:11" ht="15.6" customHeight="1" x14ac:dyDescent="0.25">
      <c r="A42" s="454"/>
      <c r="B42" s="151" t="s">
        <v>818</v>
      </c>
    </row>
    <row r="43" spans="1:11" x14ac:dyDescent="0.25">
      <c r="A43" s="451" t="s">
        <v>579</v>
      </c>
      <c r="B43" s="151" t="s">
        <v>798</v>
      </c>
    </row>
    <row r="44" spans="1:11" x14ac:dyDescent="0.25">
      <c r="A44" s="452"/>
      <c r="B44" s="151" t="s">
        <v>642</v>
      </c>
    </row>
    <row r="45" spans="1:11" x14ac:dyDescent="0.25">
      <c r="A45" s="452"/>
      <c r="B45" s="151" t="s">
        <v>643</v>
      </c>
    </row>
    <row r="46" spans="1:11" x14ac:dyDescent="0.25">
      <c r="A46" s="452"/>
      <c r="B46" s="151" t="s">
        <v>644</v>
      </c>
    </row>
    <row r="47" spans="1:11" x14ac:dyDescent="0.25">
      <c r="A47" s="452"/>
      <c r="B47" s="151" t="s">
        <v>645</v>
      </c>
    </row>
  </sheetData>
  <mergeCells count="9">
    <mergeCell ref="A43:A47"/>
    <mergeCell ref="A25:A42"/>
    <mergeCell ref="K3:K4"/>
    <mergeCell ref="G1:J1"/>
    <mergeCell ref="A5:A15"/>
    <mergeCell ref="A1:B1"/>
    <mergeCell ref="A16:A20"/>
    <mergeCell ref="A21:A24"/>
    <mergeCell ref="C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I16"/>
  <sheetViews>
    <sheetView workbookViewId="0">
      <selection sqref="A1:I1"/>
    </sheetView>
    <sheetView workbookViewId="1">
      <selection sqref="A1:I1"/>
    </sheetView>
  </sheetViews>
  <sheetFormatPr defaultRowHeight="15.75" x14ac:dyDescent="0.25"/>
  <cols>
    <col min="1" max="1" width="5.25" customWidth="1"/>
    <col min="2" max="2" width="34.625" customWidth="1"/>
    <col min="3" max="3" width="18.875" customWidth="1"/>
    <col min="4" max="4" width="16.25" customWidth="1"/>
    <col min="5" max="5" width="21.125" customWidth="1"/>
    <col min="6" max="6" width="27.25" customWidth="1"/>
    <col min="7" max="7" width="14.125" customWidth="1"/>
    <col min="8" max="8" width="24.625" customWidth="1"/>
  </cols>
  <sheetData>
    <row r="1" spans="1:9" ht="28.15" customHeight="1" x14ac:dyDescent="0.25">
      <c r="A1" s="469" t="s">
        <v>775</v>
      </c>
      <c r="B1" s="469"/>
      <c r="C1" s="469"/>
      <c r="D1" s="469"/>
      <c r="E1" s="469"/>
      <c r="F1" s="469"/>
      <c r="G1" s="469"/>
      <c r="H1" s="469"/>
      <c r="I1" s="470"/>
    </row>
    <row r="2" spans="1:9" ht="28.9" customHeight="1" thickBot="1" x14ac:dyDescent="0.3">
      <c r="A2" s="282"/>
      <c r="E2" s="285" t="s">
        <v>776</v>
      </c>
    </row>
    <row r="3" spans="1:9" ht="15.6" customHeight="1" thickBot="1" x14ac:dyDescent="0.3">
      <c r="A3" s="474" t="s">
        <v>777</v>
      </c>
      <c r="B3" s="475"/>
      <c r="C3" s="471" t="s">
        <v>762</v>
      </c>
      <c r="D3" s="472"/>
      <c r="E3" s="472"/>
      <c r="F3" s="472"/>
      <c r="G3" s="472"/>
      <c r="H3" s="473"/>
    </row>
    <row r="4" spans="1:9" ht="15.6" customHeight="1" thickBot="1" x14ac:dyDescent="0.3">
      <c r="A4" s="476" t="s">
        <v>778</v>
      </c>
      <c r="B4" s="477"/>
      <c r="C4" s="466" t="s">
        <v>781</v>
      </c>
      <c r="D4" s="482" t="s">
        <v>780</v>
      </c>
      <c r="E4" s="483"/>
      <c r="F4" s="483"/>
      <c r="G4" s="483"/>
      <c r="H4" s="484"/>
    </row>
    <row r="5" spans="1:9" ht="16.149999999999999" customHeight="1" x14ac:dyDescent="0.25">
      <c r="A5" s="478"/>
      <c r="B5" s="479"/>
      <c r="C5" s="467"/>
      <c r="D5" s="289" t="s">
        <v>763</v>
      </c>
      <c r="E5" s="466" t="s">
        <v>765</v>
      </c>
      <c r="F5" s="466" t="s">
        <v>766</v>
      </c>
      <c r="G5" s="466" t="s">
        <v>767</v>
      </c>
      <c r="H5" s="466" t="s">
        <v>768</v>
      </c>
    </row>
    <row r="6" spans="1:9" ht="16.5" thickBot="1" x14ac:dyDescent="0.3">
      <c r="A6" s="480"/>
      <c r="B6" s="481"/>
      <c r="C6" s="468"/>
      <c r="D6" s="290" t="s">
        <v>764</v>
      </c>
      <c r="E6" s="468"/>
      <c r="F6" s="468"/>
      <c r="G6" s="468"/>
      <c r="H6" s="468"/>
    </row>
    <row r="7" spans="1:9" ht="19.149999999999999" customHeight="1" thickBot="1" x14ac:dyDescent="0.3">
      <c r="A7" s="463" t="s">
        <v>779</v>
      </c>
      <c r="B7" s="115" t="s">
        <v>96</v>
      </c>
      <c r="C7" s="283"/>
      <c r="D7" s="283"/>
      <c r="E7" s="283"/>
      <c r="F7" s="283"/>
      <c r="G7" s="283"/>
      <c r="H7" s="283"/>
    </row>
    <row r="8" spans="1:9" ht="16.5" thickBot="1" x14ac:dyDescent="0.3">
      <c r="A8" s="464"/>
      <c r="B8" s="286" t="s">
        <v>769</v>
      </c>
      <c r="C8" s="283"/>
      <c r="D8" s="283"/>
      <c r="E8" s="283"/>
      <c r="F8" s="283"/>
      <c r="G8" s="283"/>
      <c r="H8" s="283"/>
    </row>
    <row r="9" spans="1:9" ht="16.5" thickBot="1" x14ac:dyDescent="0.3">
      <c r="A9" s="464"/>
      <c r="B9" s="288" t="s">
        <v>577</v>
      </c>
      <c r="C9" s="283"/>
      <c r="D9" s="283"/>
      <c r="E9" s="283"/>
      <c r="F9" s="283"/>
      <c r="G9" s="283"/>
      <c r="H9" s="283"/>
    </row>
    <row r="10" spans="1:9" ht="16.5" thickBot="1" x14ac:dyDescent="0.3">
      <c r="A10" s="464"/>
      <c r="B10" s="288" t="s">
        <v>578</v>
      </c>
      <c r="C10" s="283"/>
      <c r="D10" s="283"/>
      <c r="E10" s="283"/>
      <c r="F10" s="283"/>
      <c r="G10" s="283"/>
      <c r="H10" s="283"/>
    </row>
    <row r="11" spans="1:9" ht="16.5" thickBot="1" x14ac:dyDescent="0.3">
      <c r="A11" s="464"/>
      <c r="B11" s="288" t="s">
        <v>770</v>
      </c>
      <c r="C11" s="283"/>
      <c r="D11" s="283"/>
      <c r="E11" s="283"/>
      <c r="F11" s="283"/>
      <c r="G11" s="283"/>
      <c r="H11" s="283"/>
    </row>
    <row r="12" spans="1:9" ht="16.5" thickBot="1" x14ac:dyDescent="0.3">
      <c r="A12" s="464"/>
      <c r="B12" s="288" t="s">
        <v>771</v>
      </c>
      <c r="C12" s="283"/>
      <c r="D12" s="283"/>
      <c r="E12" s="283"/>
      <c r="F12" s="283"/>
      <c r="G12" s="283"/>
      <c r="H12" s="283"/>
    </row>
    <row r="13" spans="1:9" ht="16.5" thickBot="1" x14ac:dyDescent="0.3">
      <c r="A13" s="464"/>
      <c r="B13" s="288" t="s">
        <v>772</v>
      </c>
      <c r="C13" s="283"/>
      <c r="D13" s="283"/>
      <c r="E13" s="283"/>
      <c r="F13" s="283"/>
      <c r="G13" s="283"/>
      <c r="H13" s="283"/>
    </row>
    <row r="14" spans="1:9" ht="16.5" thickBot="1" x14ac:dyDescent="0.3">
      <c r="A14" s="464"/>
      <c r="B14" s="288" t="s">
        <v>773</v>
      </c>
      <c r="C14" s="283"/>
      <c r="D14" s="283"/>
      <c r="E14" s="283"/>
      <c r="F14" s="283"/>
      <c r="G14" s="283"/>
      <c r="H14" s="283"/>
    </row>
    <row r="15" spans="1:9" ht="16.5" thickBot="1" x14ac:dyDescent="0.3">
      <c r="A15" s="465"/>
      <c r="B15" s="287" t="s">
        <v>774</v>
      </c>
      <c r="C15" s="283"/>
      <c r="D15" s="283"/>
      <c r="E15" s="283"/>
      <c r="F15" s="283"/>
      <c r="G15" s="283"/>
      <c r="H15" s="283"/>
    </row>
    <row r="16" spans="1:9" x14ac:dyDescent="0.25">
      <c r="A16" s="284"/>
    </row>
  </sheetData>
  <mergeCells count="13">
    <mergeCell ref="A7:A15"/>
    <mergeCell ref="C4:C6"/>
    <mergeCell ref="G5:G6"/>
    <mergeCell ref="H5:H6"/>
    <mergeCell ref="A1:I1"/>
    <mergeCell ref="C3:H3"/>
    <mergeCell ref="A3:B3"/>
    <mergeCell ref="A4:B4"/>
    <mergeCell ref="A5:B5"/>
    <mergeCell ref="A6:B6"/>
    <mergeCell ref="D4:H4"/>
    <mergeCell ref="E5:E6"/>
    <mergeCell ref="F5:F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G68"/>
  <sheetViews>
    <sheetView workbookViewId="0">
      <selection sqref="A1:C1"/>
    </sheetView>
    <sheetView workbookViewId="1">
      <selection sqref="A1:C1"/>
    </sheetView>
  </sheetViews>
  <sheetFormatPr defaultColWidth="7.125" defaultRowHeight="15.75" x14ac:dyDescent="0.25"/>
  <cols>
    <col min="1" max="1" width="16.75" style="1" bestFit="1" customWidth="1"/>
    <col min="2" max="2" width="33" style="2" customWidth="1"/>
    <col min="3" max="3" width="43.5" style="2" customWidth="1"/>
    <col min="4" max="4" width="38.125" style="2" customWidth="1"/>
    <col min="5" max="5" width="27.375" style="2" customWidth="1"/>
    <col min="6" max="6" width="46.25" style="2" customWidth="1"/>
    <col min="7" max="7" width="20.125" customWidth="1"/>
    <col min="8" max="16384" width="7.125" style="1"/>
  </cols>
  <sheetData>
    <row r="1" spans="1:7" ht="39.6" customHeight="1" thickBot="1" x14ac:dyDescent="0.3">
      <c r="A1" s="488" t="s">
        <v>603</v>
      </c>
      <c r="B1" s="488"/>
      <c r="C1" s="489"/>
      <c r="D1" s="485" t="s">
        <v>838</v>
      </c>
      <c r="E1" s="486"/>
      <c r="F1" s="166"/>
    </row>
    <row r="2" spans="1:7" ht="18.600000000000001" hidden="1" customHeight="1" x14ac:dyDescent="0.25">
      <c r="B2" s="487" t="s">
        <v>499</v>
      </c>
      <c r="C2" s="487"/>
      <c r="D2" s="487"/>
      <c r="E2" s="487"/>
      <c r="F2" s="487"/>
    </row>
    <row r="3" spans="1:7" ht="47.45" hidden="1" customHeight="1" x14ac:dyDescent="0.25">
      <c r="B3" s="87" t="s">
        <v>500</v>
      </c>
      <c r="C3" s="87" t="s">
        <v>500</v>
      </c>
      <c r="D3" s="87" t="s">
        <v>500</v>
      </c>
      <c r="E3" s="87" t="s">
        <v>500</v>
      </c>
      <c r="F3" s="87" t="s">
        <v>500</v>
      </c>
    </row>
    <row r="4" spans="1:7" ht="22.9" hidden="1" customHeight="1" thickBot="1" x14ac:dyDescent="0.3">
      <c r="B4" s="88"/>
      <c r="C4" s="88"/>
      <c r="D4" s="88"/>
      <c r="E4" s="122"/>
      <c r="F4" s="88"/>
    </row>
    <row r="5" spans="1:7" s="5" customFormat="1" ht="43.9" customHeight="1" x14ac:dyDescent="0.25">
      <c r="A5" s="121" t="s">
        <v>647</v>
      </c>
      <c r="B5" s="96" t="s">
        <v>675</v>
      </c>
      <c r="C5" s="96" t="s">
        <v>648</v>
      </c>
      <c r="D5" s="90" t="s">
        <v>649</v>
      </c>
      <c r="E5" s="86" t="s">
        <v>591</v>
      </c>
      <c r="F5" s="360" t="s">
        <v>650</v>
      </c>
    </row>
    <row r="6" spans="1:7" s="126" customFormat="1" ht="31.9" customHeight="1" x14ac:dyDescent="0.25">
      <c r="A6" s="73" t="s">
        <v>651</v>
      </c>
      <c r="B6" s="74" t="s">
        <v>652</v>
      </c>
      <c r="C6" s="74" t="s">
        <v>652</v>
      </c>
      <c r="D6" s="74" t="s">
        <v>652</v>
      </c>
      <c r="E6" s="361" t="s">
        <v>592</v>
      </c>
      <c r="F6" s="119"/>
      <c r="G6" s="126" t="s">
        <v>653</v>
      </c>
    </row>
    <row r="7" spans="1:7" s="125" customFormat="1" ht="15" x14ac:dyDescent="0.2">
      <c r="A7" s="105" t="s">
        <v>41</v>
      </c>
      <c r="B7" s="95">
        <v>0.12</v>
      </c>
      <c r="C7" s="95">
        <v>0.15</v>
      </c>
      <c r="D7" s="95">
        <v>0.45</v>
      </c>
      <c r="E7" s="117" t="str">
        <f>IF(B7&lt;&gt;"",
(IF(B7&lt;5%,'Classification thresholds'!$F$2,
IF(B7&lt;10%,'Classification thresholds'!$G$2,
IF(B7&lt;15%,'Classification thresholds'!$H$2,IF(B7&lt;30%,'Classification thresholds'!$I$2,IF(B7&gt;29%,'Classification thresholds'!$J$2,"")))))),
IF(C7&lt;&gt;"",(IF(C7&lt;5%,"Provide justification for value",
IF(C7&lt;10%,"Provide justification for value",
IF(C7&lt;15%,"Provide justification for value",
IF(C7&lt;30%,"Provide justification for value",""))))),
IF(D7&lt;&gt;"",(IF(D7&lt;12.5%,'Classification thresholds'!$F$2,
IF(D7&lt;20%,'Classification thresholds'!$G$2,
IF(D7&lt;25%,'Classification thresholds'!$H$2,
IF(D7&lt;35%,'Classification thresholds'!$I$2,IF(D7&gt;34%,'Classification thresholds'!$J$2,"")))))),"")))</f>
        <v>Phase 3</v>
      </c>
      <c r="F7" s="120"/>
    </row>
    <row r="8" spans="1:7" s="9" customFormat="1" ht="15" x14ac:dyDescent="0.2">
      <c r="A8" s="106" t="s">
        <v>42</v>
      </c>
      <c r="B8" s="95">
        <v>0.17</v>
      </c>
      <c r="C8" s="95"/>
      <c r="D8" s="95">
        <v>0.15</v>
      </c>
      <c r="E8" s="117" t="str">
        <f>IF(B8&lt;&gt;"",
(IF(B8&lt;5%,'Classification thresholds'!$F$2,
IF(B8&lt;10%,'Classification thresholds'!$G$2,
IF(B8&lt;15%,'Classification thresholds'!$H$2,IF(B8&lt;30%,'Classification thresholds'!$I$2,IF(B8&gt;29%,'Classification thresholds'!$J$2,"")))))),
IF(C8&lt;&gt;"",(IF(C8&lt;5%,"Provide justification for value",
IF(C8&lt;10%,"Provide justification for value",
IF(C8&lt;15%,"Provide justification for value",
IF(C8&lt;30%,"Provide justification for value",""))))),
IF(D8&lt;&gt;"",(IF(D8&lt;12.5%,'Classification thresholds'!$F$2,
IF(D8&lt;20%,'Classification thresholds'!$G$2,
IF(D8&lt;25%,'Classification thresholds'!$H$2,
IF(D8&lt;35%,'Classification thresholds'!$I$2,IF(D8&gt;34%,'Classification thresholds'!$J$2,"")))))),"")))</f>
        <v>Phase 4</v>
      </c>
      <c r="F8" s="118"/>
    </row>
    <row r="9" spans="1:7" s="9" customFormat="1" ht="15" x14ac:dyDescent="0.2">
      <c r="A9" s="106" t="s">
        <v>43</v>
      </c>
      <c r="B9" s="95">
        <v>0.35</v>
      </c>
      <c r="C9" s="95">
        <v>0.12</v>
      </c>
      <c r="D9" s="95">
        <v>0.12</v>
      </c>
      <c r="E9" s="117" t="str">
        <f>IF(B9&lt;&gt;"",
(IF(B9&lt;5%,'Classification thresholds'!$F$2,
IF(B9&lt;10%,'Classification thresholds'!$G$2,
IF(B9&lt;15%,'Classification thresholds'!$H$2,IF(B9&lt;30%,'Classification thresholds'!$I$2,IF(B9&gt;29%,'Classification thresholds'!$J$2,"")))))),
IF(C9&lt;&gt;"",(IF(C9&lt;5%,"Provide justification for value",
IF(C9&lt;10%,"Provide justification for value",
IF(C9&lt;15%,"Provide justification for value",
IF(C9&lt;30%,"Provide justification for value",""))))),
IF(D9&lt;&gt;"",(IF(D9&lt;12.5%,'Classification thresholds'!$F$2,
IF(D9&lt;20%,'Classification thresholds'!$G$2,
IF(D9&lt;25%,'Classification thresholds'!$H$2,
IF(D9&lt;35%,'Classification thresholds'!$I$2,IF(D9&gt;34%,'Classification thresholds'!$J$2,"")))))),"")))</f>
        <v>Phase 5</v>
      </c>
      <c r="F9" s="118"/>
    </row>
    <row r="10" spans="1:7" s="9" customFormat="1" ht="15" x14ac:dyDescent="0.2">
      <c r="A10" s="106" t="s">
        <v>44</v>
      </c>
      <c r="B10" s="95">
        <v>0.05</v>
      </c>
      <c r="C10" s="93"/>
      <c r="D10" s="95">
        <v>0.24</v>
      </c>
      <c r="E10" s="117" t="str">
        <f>IF(B10&lt;&gt;"",
(IF(B10&lt;5%,'Classification thresholds'!$F$2,
IF(B10&lt;10%,'Classification thresholds'!$G$2,
IF(B10&lt;15%,'Classification thresholds'!$H$2,IF(B10&lt;30%,'Classification thresholds'!$I$2,IF(B10&gt;29%,'Classification thresholds'!$J$2,"")))))),
IF(C10&lt;&gt;"",(IF(C10&lt;5%,"Provide justification for value",
IF(C10&lt;10%,"Provide justification for value",
IF(C10&lt;15%,"Provide justification for value",
IF(C10&lt;30%,"Provide justification for value",""))))),
IF(D10&lt;&gt;"",(IF(D10&lt;12.5%,'Classification thresholds'!$F$2,
IF(D10&lt;20%,'Classification thresholds'!$G$2,
IF(D10&lt;25%,'Classification thresholds'!$H$2,
IF(D10&lt;35%,'Classification thresholds'!$I$2,IF(D10&gt;34%,'Classification thresholds'!$J$2,"")))))),"")))</f>
        <v>Phase 2</v>
      </c>
      <c r="F10" s="118"/>
    </row>
    <row r="11" spans="1:7" s="9" customFormat="1" ht="15" x14ac:dyDescent="0.2">
      <c r="A11" s="106" t="s">
        <v>45</v>
      </c>
      <c r="B11" s="95"/>
      <c r="C11" s="93"/>
      <c r="D11" s="95">
        <v>0.3</v>
      </c>
      <c r="E11" s="117" t="str">
        <f>IF(B11&lt;&gt;"",
(IF(B11&lt;5%,'Classification thresholds'!$F$2,
IF(B11&lt;10%,'Classification thresholds'!$G$2,
IF(B11&lt;15%,'Classification thresholds'!$H$2,IF(B11&lt;30%,'Classification thresholds'!$I$2,IF(B11&gt;29%,'Classification thresholds'!$J$2,"")))))),
IF(C11&lt;&gt;"",(IF(C11&lt;5%,"Provide justification for value",
IF(C11&lt;10%,"Provide justification for value",
IF(C11&lt;15%,"Provide justification for value",
IF(C11&lt;30%,"Provide justification for value",""))))),
IF(D11&lt;&gt;"",(IF(D11&lt;12.5%,'Classification thresholds'!$F$2,
IF(D11&lt;20%,'Classification thresholds'!$G$2,
IF(D11&lt;25%,'Classification thresholds'!$H$2,
IF(D11&lt;35%,'Classification thresholds'!$I$2,IF(D11&gt;34%,'Classification thresholds'!$J$2,"")))))),"")))</f>
        <v>Phase 4</v>
      </c>
      <c r="F11" s="118"/>
    </row>
    <row r="12" spans="1:7" s="9" customFormat="1" ht="15" x14ac:dyDescent="0.2">
      <c r="A12" s="106" t="s">
        <v>46</v>
      </c>
      <c r="B12" s="95">
        <v>0.05</v>
      </c>
      <c r="C12" s="95"/>
      <c r="D12" s="95"/>
      <c r="E12" s="117" t="str">
        <f>IF(B12&lt;&gt;"",
(IF(B12&lt;5%,'Classification thresholds'!$F$2,
IF(B12&lt;10%,'Classification thresholds'!$G$2,
IF(B12&lt;15%,'Classification thresholds'!$H$2,IF(B12&lt;30%,'Classification thresholds'!$I$2,IF(B12&gt;29%,'Classification thresholds'!$J$2,"")))))),
IF(C12&lt;&gt;"",(IF(C12&lt;5%,"Provide justification for value",
IF(C12&lt;10%,"Provide justification for value",
IF(C12&lt;15%,"Provide justification for value",
IF(C12&lt;30%,"Provide justification for value",""))))),
IF(D12&lt;&gt;"",(IF(D12&lt;12.5%,'Classification thresholds'!$F$2,
IF(D12&lt;20%,'Classification thresholds'!$G$2,
IF(D12&lt;25%,'Classification thresholds'!$H$2,
IF(D12&lt;35%,'Classification thresholds'!$I$2,IF(D12&gt;34%,'Classification thresholds'!$J$2,"")))))),"")))</f>
        <v>Phase 2</v>
      </c>
      <c r="F12" s="118"/>
    </row>
    <row r="13" spans="1:7" s="9" customFormat="1" ht="15" x14ac:dyDescent="0.2">
      <c r="A13" s="106" t="s">
        <v>47</v>
      </c>
      <c r="B13" s="95">
        <v>0.05</v>
      </c>
      <c r="C13" s="95"/>
      <c r="D13" s="95"/>
      <c r="E13" s="117" t="str">
        <f>IF(B13&lt;&gt;"",
(IF(B13&lt;5%,'Classification thresholds'!$F$2,
IF(B13&lt;10%,'Classification thresholds'!$G$2,
IF(B13&lt;15%,'Classification thresholds'!$H$2,IF(B13&lt;30%,'Classification thresholds'!$I$2,IF(B13&gt;29%,'Classification thresholds'!$J$2,"")))))),
IF(C13&lt;&gt;"",(IF(C13&lt;5%,"Provide justification for value",
IF(C13&lt;10%,"Provide justification for value",
IF(C13&lt;15%,"Provide justification for value",
IF(C13&lt;30%,"Provide justification for value",""))))),
IF(D13&lt;&gt;"",(IF(D13&lt;12.5%,'Classification thresholds'!$F$2,
IF(D13&lt;20%,'Classification thresholds'!$G$2,
IF(D13&lt;25%,'Classification thresholds'!$H$2,
IF(D13&lt;35%,'Classification thresholds'!$I$2,IF(D13&gt;34%,'Classification thresholds'!$J$2,"")))))),"")))</f>
        <v>Phase 2</v>
      </c>
      <c r="F13" s="118"/>
    </row>
    <row r="14" spans="1:7" s="9" customFormat="1" ht="15" x14ac:dyDescent="0.2">
      <c r="A14" s="106" t="s">
        <v>48</v>
      </c>
      <c r="B14" s="95"/>
      <c r="C14" s="95">
        <v>0.14000000000000001</v>
      </c>
      <c r="D14" s="95"/>
      <c r="E14" s="117" t="str">
        <f>IF(B14&lt;&gt;"",
(IF(B14&lt;5%,'Classification thresholds'!$F$2,
IF(B14&lt;10%,'Classification thresholds'!$G$2,
IF(B14&lt;15%,'Classification thresholds'!$H$2,IF(B14&lt;30%,'Classification thresholds'!$I$2,IF(B14&gt;29%,'Classification thresholds'!$J$2,"")))))),
IF(C14&lt;&gt;"",(IF(C14&lt;5%,"Provide justification for value",
IF(C14&lt;10%,"Provide justification for value",
IF(C14&lt;15%,"Provide justification for value",
IF(C14&lt;30%,"Provide justification for value",""))))),
IF(D14&lt;&gt;"",(IF(D14&lt;12.5%,'Classification thresholds'!$F$2,
IF(D14&lt;20%,'Classification thresholds'!$G$2,
IF(D14&lt;25%,'Classification thresholds'!$H$2,
IF(D14&lt;35%,'Classification thresholds'!$I$2,IF(D14&gt;34%,'Classification thresholds'!$J$2,"")))))),"")))</f>
        <v>Provide justification for value</v>
      </c>
      <c r="F14" s="118"/>
    </row>
    <row r="15" spans="1:7" s="9" customFormat="1" ht="15" x14ac:dyDescent="0.2">
      <c r="A15" s="106" t="s">
        <v>49</v>
      </c>
      <c r="B15" s="95">
        <v>0.05</v>
      </c>
      <c r="C15" s="95"/>
      <c r="D15" s="95"/>
      <c r="E15" s="117" t="str">
        <f>IF(B15&lt;&gt;"",
(IF(B15&lt;5%,'Classification thresholds'!$F$2,
IF(B15&lt;10%,'Classification thresholds'!$G$2,
IF(B15&lt;15%,'Classification thresholds'!$H$2,IF(B15&lt;30%,'Classification thresholds'!$I$2,IF(B15&gt;29%,'Classification thresholds'!$J$2,"")))))),
IF(C15&lt;&gt;"",(IF(C15&lt;5%,"Provide justification for value",
IF(C15&lt;10%,"Provide justification for value",
IF(C15&lt;15%,"Provide justification for value",
IF(C15&lt;30%,"Provide justification for value",""))))),
IF(D15&lt;&gt;"",(IF(D15&lt;12.5%,'Classification thresholds'!$F$2,
IF(D15&lt;20%,'Classification thresholds'!$G$2,
IF(D15&lt;25%,'Classification thresholds'!$H$2,
IF(D15&lt;35%,'Classification thresholds'!$I$2,IF(D15&gt;34%,'Classification thresholds'!$J$2,"")))))),"")))</f>
        <v>Phase 2</v>
      </c>
      <c r="F15" s="118"/>
    </row>
    <row r="16" spans="1:7" s="9" customFormat="1" ht="15" x14ac:dyDescent="0.2">
      <c r="A16" s="106" t="s">
        <v>50</v>
      </c>
      <c r="B16" s="95"/>
      <c r="C16" s="95"/>
      <c r="D16" s="95">
        <v>0.35</v>
      </c>
      <c r="E16" s="117" t="str">
        <f>IF(B16&lt;&gt;"",
(IF(B16&lt;5%,'Classification thresholds'!$F$2,
IF(B16&lt;10%,'Classification thresholds'!$G$2,
IF(B16&lt;15%,'Classification thresholds'!$H$2,IF(B16&lt;30%,'Classification thresholds'!$I$2,IF(B16&gt;29%,'Classification thresholds'!$J$2,"")))))),
IF(C16&lt;&gt;"",(IF(C16&lt;5%,"Provide justification for value",
IF(C16&lt;10%,"Provide justification for value",
IF(C16&lt;15%,"Provide justification for value",
IF(C16&lt;30%,"Provide justification for value",""))))),
IF(D16&lt;&gt;"",(IF(D16&lt;12.5%,'Classification thresholds'!$F$2,
IF(D16&lt;20%,'Classification thresholds'!$G$2,
IF(D16&lt;25%,'Classification thresholds'!$H$2,
IF(D16&lt;35%,'Classification thresholds'!$I$2,IF(D16&gt;34%,'Classification thresholds'!$J$2,"")))))),"")))</f>
        <v>Phase 5</v>
      </c>
      <c r="F16" s="118"/>
    </row>
    <row r="17" spans="1:6" s="9" customFormat="1" ht="15" x14ac:dyDescent="0.2">
      <c r="A17" s="106" t="s">
        <v>51</v>
      </c>
      <c r="B17" s="95">
        <v>0.05</v>
      </c>
      <c r="C17" s="95"/>
      <c r="D17" s="95"/>
      <c r="E17" s="117" t="str">
        <f>IF(B17&lt;&gt;"",
(IF(B17&lt;5%,'Classification thresholds'!$F$2,
IF(B17&lt;10%,'Classification thresholds'!$G$2,
IF(B17&lt;15%,'Classification thresholds'!$H$2,IF(B17&lt;30%,'Classification thresholds'!$I$2,IF(B17&gt;29%,'Classification thresholds'!$J$2,"")))))),
IF(C17&lt;&gt;"",(IF(C17&lt;5%,"Provide justification for value",
IF(C17&lt;10%,"Provide justification for value",
IF(C17&lt;15%,"Provide justification for value",
IF(C17&lt;30%,"Provide justification for value",""))))),
IF(D17&lt;&gt;"",(IF(D17&lt;12.5%,'Classification thresholds'!$F$2,
IF(D17&lt;20%,'Classification thresholds'!$G$2,
IF(D17&lt;25%,'Classification thresholds'!$H$2,
IF(D17&lt;35%,'Classification thresholds'!$I$2,IF(D17&gt;34%,'Classification thresholds'!$J$2,"")))))),"")))</f>
        <v>Phase 2</v>
      </c>
      <c r="F17" s="118"/>
    </row>
    <row r="18" spans="1:6" s="9" customFormat="1" ht="15" x14ac:dyDescent="0.2">
      <c r="A18" s="106" t="s">
        <v>52</v>
      </c>
      <c r="B18" s="95">
        <v>0.05</v>
      </c>
      <c r="C18" s="95"/>
      <c r="D18" s="95"/>
      <c r="E18" s="117" t="str">
        <f>IF(B18&lt;&gt;"",
(IF(B18&lt;5%,'Classification thresholds'!$F$2,
IF(B18&lt;10%,'Classification thresholds'!$G$2,
IF(B18&lt;15%,'Classification thresholds'!$H$2,IF(B18&lt;30%,'Classification thresholds'!$I$2,IF(B18&gt;29%,'Classification thresholds'!$J$2,"")))))),
IF(C18&lt;&gt;"",(IF(C18&lt;5%,"Provide justification for value",
IF(C18&lt;10%,"Provide justification for value",
IF(C18&lt;15%,"Provide justification for value",
IF(C18&lt;30%,"Provide justification for value",""))))),
IF(D18&lt;&gt;"",(IF(D18&lt;12.5%,'Classification thresholds'!$F$2,
IF(D18&lt;20%,'Classification thresholds'!$G$2,
IF(D18&lt;25%,'Classification thresholds'!$H$2,
IF(D18&lt;35%,'Classification thresholds'!$I$2,IF(D18&gt;34%,'Classification thresholds'!$J$2,"")))))),"")))</f>
        <v>Phase 2</v>
      </c>
      <c r="F18" s="118"/>
    </row>
    <row r="19" spans="1:6" s="9" customFormat="1" ht="15" x14ac:dyDescent="0.2">
      <c r="A19" s="106" t="s">
        <v>53</v>
      </c>
      <c r="B19" s="95">
        <v>0.05</v>
      </c>
      <c r="C19" s="95"/>
      <c r="D19" s="95"/>
      <c r="E19" s="117" t="str">
        <f>IF(B19&lt;&gt;"",
(IF(B19&lt;5%,'Classification thresholds'!$F$2,
IF(B19&lt;10%,'Classification thresholds'!$G$2,
IF(B19&lt;15%,'Classification thresholds'!$H$2,IF(B19&lt;30%,'Classification thresholds'!$I$2,IF(B19&gt;29%,'Classification thresholds'!$J$2,"")))))),
IF(C19&lt;&gt;"",(IF(C19&lt;5%,"Provide justification for value",
IF(C19&lt;10%,"Provide justification for value",
IF(C19&lt;15%,"Provide justification for value",
IF(C19&lt;30%,"Provide justification for value",""))))),
IF(D19&lt;&gt;"",(IF(D19&lt;12.5%,'Classification thresholds'!$F$2,
IF(D19&lt;20%,'Classification thresholds'!$G$2,
IF(D19&lt;25%,'Classification thresholds'!$H$2,
IF(D19&lt;35%,'Classification thresholds'!$I$2,IF(D19&gt;34%,'Classification thresholds'!$J$2,"")))))),"")))</f>
        <v>Phase 2</v>
      </c>
      <c r="F19" s="118"/>
    </row>
    <row r="20" spans="1:6" s="9" customFormat="1" ht="15" x14ac:dyDescent="0.2">
      <c r="A20" s="106" t="s">
        <v>54</v>
      </c>
      <c r="B20" s="95">
        <v>0.2</v>
      </c>
      <c r="C20" s="95"/>
      <c r="D20" s="95"/>
      <c r="E20" s="117" t="str">
        <f>IF(B20&lt;&gt;"",
(IF(B20&lt;5%,'Classification thresholds'!$F$2,
IF(B20&lt;10%,'Classification thresholds'!$G$2,
IF(B20&lt;15%,'Classification thresholds'!$H$2,IF(B20&lt;30%,'Classification thresholds'!$I$2,IF(B20&gt;29%,'Classification thresholds'!$J$2,"")))))),
IF(C20&lt;&gt;"",(IF(C20&lt;5%,"Provide justification for value",
IF(C20&lt;10%,"Provide justification for value",
IF(C20&lt;15%,"Provide justification for value",
IF(C20&lt;30%,"Provide justification for value",""))))),
IF(D20&lt;&gt;"",(IF(D20&lt;12.5%,'Classification thresholds'!$F$2,
IF(D20&lt;20%,'Classification thresholds'!$G$2,
IF(D20&lt;25%,'Classification thresholds'!$H$2,
IF(D20&lt;35%,'Classification thresholds'!$I$2,IF(D20&gt;34%,'Classification thresholds'!$J$2,"")))))),"")))</f>
        <v>Phase 4</v>
      </c>
      <c r="F20" s="118"/>
    </row>
    <row r="21" spans="1:6" s="9" customFormat="1" ht="15" x14ac:dyDescent="0.2">
      <c r="A21" s="106" t="s">
        <v>55</v>
      </c>
      <c r="B21" s="95">
        <v>0.05</v>
      </c>
      <c r="C21" s="95"/>
      <c r="D21" s="95"/>
      <c r="E21" s="117" t="str">
        <f>IF(B21&lt;&gt;"",
(IF(B21&lt;5%,'Classification thresholds'!$F$2,
IF(B21&lt;10%,'Classification thresholds'!$G$2,
IF(B21&lt;15%,'Classification thresholds'!$H$2,IF(B21&lt;30%,'Classification thresholds'!$I$2,IF(B21&gt;29%,'Classification thresholds'!$J$2,"")))))),
IF(C21&lt;&gt;"",(IF(C21&lt;5%,"Provide justification for value",
IF(C21&lt;10%,"Provide justification for value",
IF(C21&lt;15%,"Provide justification for value",
IF(C21&lt;30%,"Provide justification for value",""))))),
IF(D21&lt;&gt;"",(IF(D21&lt;12.5%,'Classification thresholds'!$F$2,
IF(D21&lt;20%,'Classification thresholds'!$G$2,
IF(D21&lt;25%,'Classification thresholds'!$H$2,
IF(D21&lt;35%,'Classification thresholds'!$I$2,IF(D21&gt;34%,'Classification thresholds'!$J$2,"")))))),"")))</f>
        <v>Phase 2</v>
      </c>
      <c r="F21" s="118"/>
    </row>
    <row r="22" spans="1:6" s="9" customFormat="1" ht="15" x14ac:dyDescent="0.2">
      <c r="A22" s="106" t="s">
        <v>56</v>
      </c>
      <c r="B22" s="95">
        <v>0.05</v>
      </c>
      <c r="C22" s="95"/>
      <c r="D22" s="95"/>
      <c r="E22" s="117" t="str">
        <f>IF(B22&lt;&gt;"",
(IF(B22&lt;5%,'Classification thresholds'!$F$2,
IF(B22&lt;10%,'Classification thresholds'!$G$2,
IF(B22&lt;15%,'Classification thresholds'!$H$2,IF(B22&lt;30%,'Classification thresholds'!$I$2,IF(B22&gt;29%,'Classification thresholds'!$J$2,"")))))),
IF(C22&lt;&gt;"",(IF(C22&lt;5%,"Provide justification for value",
IF(C22&lt;10%,"Provide justification for value",
IF(C22&lt;15%,"Provide justification for value",
IF(C22&lt;30%,"Provide justification for value",""))))),
IF(D22&lt;&gt;"",(IF(D22&lt;12.5%,'Classification thresholds'!$F$2,
IF(D22&lt;20%,'Classification thresholds'!$G$2,
IF(D22&lt;25%,'Classification thresholds'!$H$2,
IF(D22&lt;35%,'Classification thresholds'!$I$2,IF(D22&gt;34%,'Classification thresholds'!$J$2,"")))))),"")))</f>
        <v>Phase 2</v>
      </c>
      <c r="F22" s="118"/>
    </row>
    <row r="23" spans="1:6" s="9" customFormat="1" ht="15" x14ac:dyDescent="0.2">
      <c r="A23" s="106" t="s">
        <v>57</v>
      </c>
      <c r="B23" s="95">
        <v>0.05</v>
      </c>
      <c r="C23" s="95"/>
      <c r="D23" s="95"/>
      <c r="E23" s="117" t="str">
        <f>IF(B23&lt;&gt;"",
(IF(B23&lt;5%,'Classification thresholds'!$F$2,
IF(B23&lt;10%,'Classification thresholds'!$G$2,
IF(B23&lt;15%,'Classification thresholds'!$H$2,IF(B23&lt;30%,'Classification thresholds'!$I$2,IF(B23&gt;29%,'Classification thresholds'!$J$2,"")))))),
IF(C23&lt;&gt;"",(IF(C23&lt;5%,"Provide justification for value",
IF(C23&lt;10%,"Provide justification for value",
IF(C23&lt;15%,"Provide justification for value",
IF(C23&lt;30%,"Provide justification for value",""))))),
IF(D23&lt;&gt;"",(IF(D23&lt;12.5%,'Classification thresholds'!$F$2,
IF(D23&lt;20%,'Classification thresholds'!$G$2,
IF(D23&lt;25%,'Classification thresholds'!$H$2,
IF(D23&lt;35%,'Classification thresholds'!$I$2,IF(D23&gt;34%,'Classification thresholds'!$J$2,"")))))),"")))</f>
        <v>Phase 2</v>
      </c>
      <c r="F23" s="118"/>
    </row>
    <row r="24" spans="1:6" s="9" customFormat="1" ht="15" x14ac:dyDescent="0.2">
      <c r="A24" s="106" t="s">
        <v>58</v>
      </c>
      <c r="B24" s="95">
        <v>0.05</v>
      </c>
      <c r="C24" s="95"/>
      <c r="D24" s="95"/>
      <c r="E24" s="117" t="str">
        <f>IF(B24&lt;&gt;"",
(IF(B24&lt;5%,'Classification thresholds'!$F$2,
IF(B24&lt;10%,'Classification thresholds'!$G$2,
IF(B24&lt;15%,'Classification thresholds'!$H$2,IF(B24&lt;30%,'Classification thresholds'!$I$2,IF(B24&gt;29%,'Classification thresholds'!$J$2,"")))))),
IF(C24&lt;&gt;"",(IF(C24&lt;5%,"Provide justification for value",
IF(C24&lt;10%,"Provide justification for value",
IF(C24&lt;15%,"Provide justification for value",
IF(C24&lt;30%,"Provide justification for value",""))))),
IF(D24&lt;&gt;"",(IF(D24&lt;12.5%,'Classification thresholds'!$F$2,
IF(D24&lt;20%,'Classification thresholds'!$G$2,
IF(D24&lt;25%,'Classification thresholds'!$H$2,
IF(D24&lt;35%,'Classification thresholds'!$I$2,IF(D24&gt;34%,'Classification thresholds'!$J$2,"")))))),"")))</f>
        <v>Phase 2</v>
      </c>
      <c r="F24" s="118"/>
    </row>
    <row r="25" spans="1:6" s="9" customFormat="1" ht="15" x14ac:dyDescent="0.2">
      <c r="A25" s="106" t="s">
        <v>59</v>
      </c>
      <c r="B25" s="95">
        <v>0.05</v>
      </c>
      <c r="C25" s="95"/>
      <c r="D25" s="95"/>
      <c r="E25" s="117" t="str">
        <f>IF(B25&lt;&gt;"",
(IF(B25&lt;5%,'Classification thresholds'!$F$2,
IF(B25&lt;10%,'Classification thresholds'!$G$2,
IF(B25&lt;15%,'Classification thresholds'!$H$2,IF(B25&lt;30%,'Classification thresholds'!$I$2,IF(B25&gt;29%,'Classification thresholds'!$J$2,"")))))),
IF(C25&lt;&gt;"",(IF(C25&lt;5%,"Provide justification for value",
IF(C25&lt;10%,"Provide justification for value",
IF(C25&lt;15%,"Provide justification for value",
IF(C25&lt;30%,"Provide justification for value",""))))),
IF(D25&lt;&gt;"",(IF(D25&lt;12.5%,'Classification thresholds'!$F$2,
IF(D25&lt;20%,'Classification thresholds'!$G$2,
IF(D25&lt;25%,'Classification thresholds'!$H$2,
IF(D25&lt;35%,'Classification thresholds'!$I$2,IF(D25&gt;34%,'Classification thresholds'!$J$2,"")))))),"")))</f>
        <v>Phase 2</v>
      </c>
      <c r="F25" s="118"/>
    </row>
    <row r="26" spans="1:6" s="9" customFormat="1" ht="15" x14ac:dyDescent="0.2">
      <c r="A26" s="106" t="s">
        <v>60</v>
      </c>
      <c r="B26" s="95">
        <v>0.05</v>
      </c>
      <c r="C26" s="95"/>
      <c r="D26" s="95"/>
      <c r="E26" s="117" t="str">
        <f>IF(B26&lt;&gt;"",
(IF(B26&lt;5%,'Classification thresholds'!$F$2,
IF(B26&lt;10%,'Classification thresholds'!$G$2,
IF(B26&lt;15%,'Classification thresholds'!$H$2,IF(B26&lt;30%,'Classification thresholds'!$I$2,IF(B26&gt;29%,'Classification thresholds'!$J$2,"")))))),
IF(C26&lt;&gt;"",(IF(C26&lt;5%,"Provide justification for value",
IF(C26&lt;10%,"Provide justification for value",
IF(C26&lt;15%,"Provide justification for value",
IF(C26&lt;30%,"Provide justification for value",""))))),
IF(D26&lt;&gt;"",(IF(D26&lt;12.5%,'Classification thresholds'!$F$2,
IF(D26&lt;20%,'Classification thresholds'!$G$2,
IF(D26&lt;25%,'Classification thresholds'!$H$2,
IF(D26&lt;35%,'Classification thresholds'!$I$2,IF(D26&gt;34%,'Classification thresholds'!$J$2,"")))))),"")))</f>
        <v>Phase 2</v>
      </c>
      <c r="F26" s="118"/>
    </row>
    <row r="27" spans="1:6" s="9" customFormat="1" ht="15" x14ac:dyDescent="0.2">
      <c r="A27" s="106" t="s">
        <v>61</v>
      </c>
      <c r="B27" s="95">
        <v>0.05</v>
      </c>
      <c r="C27" s="95"/>
      <c r="D27" s="95"/>
      <c r="E27" s="117" t="str">
        <f>IF(B27&lt;&gt;"",
(IF(B27&lt;5%,'Classification thresholds'!$F$2,
IF(B27&lt;10%,'Classification thresholds'!$G$2,
IF(B27&lt;15%,'Classification thresholds'!$H$2,IF(B27&lt;30%,'Classification thresholds'!$I$2,IF(B27&gt;29%,'Classification thresholds'!$J$2,"")))))),
IF(C27&lt;&gt;"",(IF(C27&lt;5%,"Provide justification for value",
IF(C27&lt;10%,"Provide justification for value",
IF(C27&lt;15%,"Provide justification for value",
IF(C27&lt;30%,"Provide justification for value",""))))),
IF(D27&lt;&gt;"",(IF(D27&lt;12.5%,'Classification thresholds'!$F$2,
IF(D27&lt;20%,'Classification thresholds'!$G$2,
IF(D27&lt;25%,'Classification thresholds'!$H$2,
IF(D27&lt;35%,'Classification thresholds'!$I$2,IF(D27&gt;34%,'Classification thresholds'!$J$2,"")))))),"")))</f>
        <v>Phase 2</v>
      </c>
      <c r="F27" s="118"/>
    </row>
    <row r="28" spans="1:6" s="9" customFormat="1" ht="15" x14ac:dyDescent="0.2">
      <c r="A28" s="106" t="s">
        <v>62</v>
      </c>
      <c r="B28" s="95">
        <v>0.05</v>
      </c>
      <c r="C28" s="95"/>
      <c r="D28" s="95"/>
      <c r="E28" s="117" t="str">
        <f>IF(B28&lt;&gt;"",
(IF(B28&lt;5%,'Classification thresholds'!$F$2,
IF(B28&lt;10%,'Classification thresholds'!$G$2,
IF(B28&lt;15%,'Classification thresholds'!$H$2,IF(B28&lt;30%,'Classification thresholds'!$I$2,IF(B28&gt;29%,'Classification thresholds'!$J$2,"")))))),
IF(C28&lt;&gt;"",(IF(C28&lt;5%,"Provide justification for value",
IF(C28&lt;10%,"Provide justification for value",
IF(C28&lt;15%,"Provide justification for value",
IF(C28&lt;30%,"Provide justification for value",""))))),
IF(D28&lt;&gt;"",(IF(D28&lt;12.5%,'Classification thresholds'!$F$2,
IF(D28&lt;20%,'Classification thresholds'!$G$2,
IF(D28&lt;25%,'Classification thresholds'!$H$2,
IF(D28&lt;35%,'Classification thresholds'!$I$2,IF(D28&gt;34%,'Classification thresholds'!$J$2,"")))))),"")))</f>
        <v>Phase 2</v>
      </c>
      <c r="F28" s="118"/>
    </row>
    <row r="29" spans="1:6" s="9" customFormat="1" ht="15" x14ac:dyDescent="0.2">
      <c r="A29" s="106" t="s">
        <v>63</v>
      </c>
      <c r="B29" s="95">
        <v>0.05</v>
      </c>
      <c r="C29" s="95"/>
      <c r="D29" s="95"/>
      <c r="E29" s="117" t="str">
        <f>IF(B29&lt;&gt;"",
(IF(B29&lt;5%,'Classification thresholds'!$F$2,
IF(B29&lt;10%,'Classification thresholds'!$G$2,
IF(B29&lt;15%,'Classification thresholds'!$H$2,IF(B29&lt;30%,'Classification thresholds'!$I$2,IF(B29&gt;29%,'Classification thresholds'!$J$2,"")))))),
IF(C29&lt;&gt;"",(IF(C29&lt;5%,"Provide justification for value",
IF(C29&lt;10%,"Provide justification for value",
IF(C29&lt;15%,"Provide justification for value",
IF(C29&lt;30%,"Provide justification for value",""))))),
IF(D29&lt;&gt;"",(IF(D29&lt;12.5%,'Classification thresholds'!$F$2,
IF(D29&lt;20%,'Classification thresholds'!$G$2,
IF(D29&lt;25%,'Classification thresholds'!$H$2,
IF(D29&lt;35%,'Classification thresholds'!$I$2,IF(D29&gt;34%,'Classification thresholds'!$J$2,"")))))),"")))</f>
        <v>Phase 2</v>
      </c>
      <c r="F29" s="118"/>
    </row>
    <row r="30" spans="1:6" s="9" customFormat="1" ht="15" x14ac:dyDescent="0.2">
      <c r="A30" s="106" t="s">
        <v>64</v>
      </c>
      <c r="B30" s="95">
        <v>0.05</v>
      </c>
      <c r="C30" s="95"/>
      <c r="D30" s="95"/>
      <c r="E30" s="117" t="str">
        <f>IF(B30&lt;&gt;"",
(IF(B30&lt;5%,'Classification thresholds'!$F$2,
IF(B30&lt;10%,'Classification thresholds'!$G$2,
IF(B30&lt;15%,'Classification thresholds'!$H$2,IF(B30&lt;30%,'Classification thresholds'!$I$2,IF(B30&gt;29%,'Classification thresholds'!$J$2,"")))))),
IF(C30&lt;&gt;"",(IF(C30&lt;5%,"Provide justification for value",
IF(C30&lt;10%,"Provide justification for value",
IF(C30&lt;15%,"Provide justification for value",
IF(C30&lt;30%,"Provide justification for value",""))))),
IF(D30&lt;&gt;"",(IF(D30&lt;12.5%,'Classification thresholds'!$F$2,
IF(D30&lt;20%,'Classification thresholds'!$G$2,
IF(D30&lt;25%,'Classification thresholds'!$H$2,
IF(D30&lt;35%,'Classification thresholds'!$I$2,IF(D30&gt;34%,'Classification thresholds'!$J$2,"")))))),"")))</f>
        <v>Phase 2</v>
      </c>
      <c r="F30" s="118"/>
    </row>
    <row r="31" spans="1:6" s="9" customFormat="1" ht="15" x14ac:dyDescent="0.2">
      <c r="A31" s="106" t="s">
        <v>65</v>
      </c>
      <c r="B31" s="95">
        <v>0.05</v>
      </c>
      <c r="C31" s="95"/>
      <c r="D31" s="95"/>
      <c r="E31" s="117" t="str">
        <f>IF(B31&lt;&gt;"",
(IF(B31&lt;5%,'Classification thresholds'!$F$2,
IF(B31&lt;10%,'Classification thresholds'!$G$2,
IF(B31&lt;15%,'Classification thresholds'!$H$2,IF(B31&lt;30%,'Classification thresholds'!$I$2,IF(B31&gt;29%,'Classification thresholds'!$J$2,"")))))),
IF(C31&lt;&gt;"",(IF(C31&lt;5%,"Provide justification for value",
IF(C31&lt;10%,"Provide justification for value",
IF(C31&lt;15%,"Provide justification for value",
IF(C31&lt;30%,"Provide justification for value",""))))),
IF(D31&lt;&gt;"",(IF(D31&lt;12.5%,'Classification thresholds'!$F$2,
IF(D31&lt;20%,'Classification thresholds'!$G$2,
IF(D31&lt;25%,'Classification thresholds'!$H$2,
IF(D31&lt;35%,'Classification thresholds'!$I$2,IF(D31&gt;34%,'Classification thresholds'!$J$2,"")))))),"")))</f>
        <v>Phase 2</v>
      </c>
      <c r="F31" s="118"/>
    </row>
    <row r="32" spans="1:6" s="9" customFormat="1" ht="15" x14ac:dyDescent="0.2">
      <c r="A32" s="106" t="s">
        <v>66</v>
      </c>
      <c r="B32" s="95">
        <v>0.05</v>
      </c>
      <c r="C32" s="95"/>
      <c r="D32" s="95"/>
      <c r="E32" s="117" t="str">
        <f>IF(B32&lt;&gt;"",
(IF(B32&lt;5%,'Classification thresholds'!$F$2,
IF(B32&lt;10%,'Classification thresholds'!$G$2,
IF(B32&lt;15%,'Classification thresholds'!$H$2,IF(B32&lt;30%,'Classification thresholds'!$I$2,IF(B32&gt;29%,'Classification thresholds'!$J$2,"")))))),
IF(C32&lt;&gt;"",(IF(C32&lt;5%,"Provide justification for value",
IF(C32&lt;10%,"Provide justification for value",
IF(C32&lt;15%,"Provide justification for value",
IF(C32&lt;30%,"Provide justification for value",""))))),
IF(D32&lt;&gt;"",(IF(D32&lt;12.5%,'Classification thresholds'!$F$2,
IF(D32&lt;20%,'Classification thresholds'!$G$2,
IF(D32&lt;25%,'Classification thresholds'!$H$2,
IF(D32&lt;35%,'Classification thresholds'!$I$2,IF(D32&gt;34%,'Classification thresholds'!$J$2,"")))))),"")))</f>
        <v>Phase 2</v>
      </c>
      <c r="F32" s="118"/>
    </row>
    <row r="33" spans="1:6" s="9" customFormat="1" ht="15" x14ac:dyDescent="0.2">
      <c r="A33" s="106" t="s">
        <v>67</v>
      </c>
      <c r="B33" s="95">
        <v>0.05</v>
      </c>
      <c r="C33" s="95"/>
      <c r="D33" s="95"/>
      <c r="E33" s="117" t="str">
        <f>IF(B33&lt;&gt;"",
(IF(B33&lt;5%,'Classification thresholds'!$F$2,
IF(B33&lt;10%,'Classification thresholds'!$G$2,
IF(B33&lt;15%,'Classification thresholds'!$H$2,IF(B33&lt;30%,'Classification thresholds'!$I$2,IF(B33&gt;29%,'Classification thresholds'!$J$2,"")))))),
IF(C33&lt;&gt;"",(IF(C33&lt;5%,"Provide justification for value",
IF(C33&lt;10%,"Provide justification for value",
IF(C33&lt;15%,"Provide justification for value",
IF(C33&lt;30%,"Provide justification for value",""))))),
IF(D33&lt;&gt;"",(IF(D33&lt;12.5%,'Classification thresholds'!$F$2,
IF(D33&lt;20%,'Classification thresholds'!$G$2,
IF(D33&lt;25%,'Classification thresholds'!$H$2,
IF(D33&lt;35%,'Classification thresholds'!$I$2,IF(D33&gt;34%,'Classification thresholds'!$J$2,"")))))),"")))</f>
        <v>Phase 2</v>
      </c>
      <c r="F33" s="118"/>
    </row>
    <row r="34" spans="1:6" s="9" customFormat="1" ht="15" x14ac:dyDescent="0.2">
      <c r="A34" s="106" t="s">
        <v>68</v>
      </c>
      <c r="B34" s="95">
        <v>0.05</v>
      </c>
      <c r="C34" s="95"/>
      <c r="D34" s="95"/>
      <c r="E34" s="117" t="str">
        <f>IF(B34&lt;&gt;"",
(IF(B34&lt;5%,'Classification thresholds'!$F$2,
IF(B34&lt;10%,'Classification thresholds'!$G$2,
IF(B34&lt;15%,'Classification thresholds'!$H$2,IF(B34&lt;30%,'Classification thresholds'!$I$2,IF(B34&gt;29%,'Classification thresholds'!$J$2,"")))))),
IF(C34&lt;&gt;"",(IF(C34&lt;5%,"Provide justification for value",
IF(C34&lt;10%,"Provide justification for value",
IF(C34&lt;15%,"Provide justification for value",
IF(C34&lt;30%,"Provide justification for value",""))))),
IF(D34&lt;&gt;"",(IF(D34&lt;12.5%,'Classification thresholds'!$F$2,
IF(D34&lt;20%,'Classification thresholds'!$G$2,
IF(D34&lt;25%,'Classification thresholds'!$H$2,
IF(D34&lt;35%,'Classification thresholds'!$I$2,IF(D34&gt;34%,'Classification thresholds'!$J$2,"")))))),"")))</f>
        <v>Phase 2</v>
      </c>
      <c r="F34" s="118"/>
    </row>
    <row r="35" spans="1:6" s="9" customFormat="1" ht="15" x14ac:dyDescent="0.2">
      <c r="A35" s="106" t="s">
        <v>69</v>
      </c>
      <c r="B35" s="95">
        <v>0.05</v>
      </c>
      <c r="C35" s="95"/>
      <c r="D35" s="95"/>
      <c r="E35" s="117" t="str">
        <f>IF(B35&lt;&gt;"",
(IF(B35&lt;5%,'Classification thresholds'!$F$2,
IF(B35&lt;10%,'Classification thresholds'!$G$2,
IF(B35&lt;15%,'Classification thresholds'!$H$2,IF(B35&lt;30%,'Classification thresholds'!$I$2,IF(B35&gt;29%,'Classification thresholds'!$J$2,"")))))),
IF(C35&lt;&gt;"",(IF(C35&lt;5%,"Provide justification for value",
IF(C35&lt;10%,"Provide justification for value",
IF(C35&lt;15%,"Provide justification for value",
IF(C35&lt;30%,"Provide justification for value",""))))),
IF(D35&lt;&gt;"",(IF(D35&lt;12.5%,'Classification thresholds'!$F$2,
IF(D35&lt;20%,'Classification thresholds'!$G$2,
IF(D35&lt;25%,'Classification thresholds'!$H$2,
IF(D35&lt;35%,'Classification thresholds'!$I$2,IF(D35&gt;34%,'Classification thresholds'!$J$2,"")))))),"")))</f>
        <v>Phase 2</v>
      </c>
      <c r="F35" s="118"/>
    </row>
    <row r="36" spans="1:6" s="9" customFormat="1" ht="15" x14ac:dyDescent="0.2">
      <c r="A36" s="106" t="s">
        <v>70</v>
      </c>
      <c r="B36" s="95">
        <v>0.05</v>
      </c>
      <c r="C36" s="95"/>
      <c r="D36" s="95"/>
      <c r="E36" s="117" t="str">
        <f>IF(B36&lt;&gt;"",
(IF(B36&lt;5%,'Classification thresholds'!$F$2,
IF(B36&lt;10%,'Classification thresholds'!$G$2,
IF(B36&lt;15%,'Classification thresholds'!$H$2,IF(B36&lt;30%,'Classification thresholds'!$I$2,IF(B36&gt;29%,'Classification thresholds'!$J$2,"")))))),
IF(C36&lt;&gt;"",(IF(C36&lt;5%,"Provide justification for value",
IF(C36&lt;10%,"Provide justification for value",
IF(C36&lt;15%,"Provide justification for value",
IF(C36&lt;30%,"Provide justification for value",""))))),
IF(D36&lt;&gt;"",(IF(D36&lt;12.5%,'Classification thresholds'!$F$2,
IF(D36&lt;20%,'Classification thresholds'!$G$2,
IF(D36&lt;25%,'Classification thresholds'!$H$2,
IF(D36&lt;35%,'Classification thresholds'!$I$2,IF(D36&gt;34%,'Classification thresholds'!$J$2,"")))))),"")))</f>
        <v>Phase 2</v>
      </c>
      <c r="F36" s="118"/>
    </row>
    <row r="37" spans="1:6" s="9" customFormat="1" ht="15" x14ac:dyDescent="0.2">
      <c r="A37" s="106"/>
      <c r="B37" s="95"/>
      <c r="C37" s="95"/>
      <c r="D37" s="95"/>
      <c r="E37" s="117" t="str">
        <f>IF(B37&lt;&gt;"",
(IF(B37&lt;5%,'Classification thresholds'!$F$2,
IF(B37&lt;10%,'Classification thresholds'!$G$2,
IF(B37&lt;15%,'Classification thresholds'!$H$2,IF(B37&lt;30%,'Classification thresholds'!$I$2,IF(B37&gt;29%,'Classification thresholds'!$J$2,"")))))),
IF(C37&lt;&gt;"",(IF(C37&lt;5%,"Provide justification for value",
IF(C37&lt;10%,"Provide justification for value",
IF(C37&lt;15%,"Provide justification for value",
IF(C37&lt;30%,"Provide justification for value",""))))),
IF(D37&lt;&gt;"",(IF(D37&lt;12.5%,'Classification thresholds'!$F$2,
IF(D37&lt;20%,'Classification thresholds'!$G$2,
IF(D37&lt;25%,'Classification thresholds'!$H$2,
IF(D37&lt;35%,'Classification thresholds'!$I$2,IF(D37&gt;34%,'Classification thresholds'!$J$2,"")))))),"")))</f>
        <v/>
      </c>
      <c r="F37" s="118"/>
    </row>
    <row r="38" spans="1:6" s="9" customFormat="1" ht="15" x14ac:dyDescent="0.2">
      <c r="A38" s="106"/>
      <c r="B38" s="95"/>
      <c r="C38" s="95"/>
      <c r="D38" s="95"/>
      <c r="E38" s="117" t="str">
        <f>IF(B38&lt;&gt;"",
(IF(B38&lt;5%,'Classification thresholds'!$F$2,
IF(B38&lt;10%,'Classification thresholds'!$G$2,
IF(B38&lt;15%,'Classification thresholds'!$H$2,IF(B38&lt;30%,'Classification thresholds'!$I$2,IF(B38&gt;29%,'Classification thresholds'!$J$2,"")))))),
IF(C38&lt;&gt;"",(IF(C38&lt;5%,"Provide justification for value",
IF(C38&lt;10%,"Provide justification for value",
IF(C38&lt;15%,"Provide justification for value",
IF(C38&lt;30%,"Provide justification for value",""))))),
IF(D38&lt;&gt;"",(IF(D38&lt;12.5%,'Classification thresholds'!$F$2,
IF(D38&lt;20%,'Classification thresholds'!$G$2,
IF(D38&lt;25%,'Classification thresholds'!$H$2,
IF(D38&lt;35%,'Classification thresholds'!$I$2,IF(D38&gt;34%,'Classification thresholds'!$J$2,"")))))),"")))</f>
        <v/>
      </c>
      <c r="F38" s="118"/>
    </row>
    <row r="39" spans="1:6" s="9" customFormat="1" ht="15" x14ac:dyDescent="0.2">
      <c r="A39" s="106"/>
      <c r="B39" s="95"/>
      <c r="C39" s="95"/>
      <c r="D39" s="95"/>
      <c r="E39" s="117" t="str">
        <f>IF(B39&lt;&gt;"",
(IF(B39&lt;5%,'Classification thresholds'!$F$2,
IF(B39&lt;10%,'Classification thresholds'!$G$2,
IF(B39&lt;15%,'Classification thresholds'!$H$2,IF(B39&lt;30%,'Classification thresholds'!$I$2,IF(B39&gt;29%,'Classification thresholds'!$J$2,"")))))),
IF(C39&lt;&gt;"",(IF(C39&lt;5%,"Provide justification for value",
IF(C39&lt;10%,"Provide justification for value",
IF(C39&lt;15%,"Provide justification for value",
IF(C39&lt;30%,"Provide justification for value",""))))),
IF(D39&lt;&gt;"",(IF(D39&lt;12.5%,'Classification thresholds'!$F$2,
IF(D39&lt;20%,'Classification thresholds'!$G$2,
IF(D39&lt;25%,'Classification thresholds'!$H$2,
IF(D39&lt;35%,'Classification thresholds'!$I$2,IF(D39&gt;34%,'Classification thresholds'!$J$2,"")))))),"")))</f>
        <v/>
      </c>
      <c r="F39" s="118"/>
    </row>
    <row r="40" spans="1:6" s="9" customFormat="1" ht="15" x14ac:dyDescent="0.2">
      <c r="A40" s="106"/>
      <c r="B40" s="95"/>
      <c r="C40" s="95"/>
      <c r="D40" s="95"/>
      <c r="E40" s="117" t="str">
        <f>IF(B40&lt;&gt;"",
(IF(B40&lt;5%,'Classification thresholds'!$F$2,
IF(B40&lt;10%,'Classification thresholds'!$G$2,
IF(B40&lt;15%,'Classification thresholds'!$H$2,IF(B40&lt;30%,'Classification thresholds'!$I$2,IF(B40&gt;29%,'Classification thresholds'!$J$2,"")))))),
IF(C40&lt;&gt;"",(IF(C40&lt;5%,"Provide justification for value",
IF(C40&lt;10%,"Provide justification for value",
IF(C40&lt;15%,"Provide justification for value",
IF(C40&lt;30%,"Provide justification for value",""))))),
IF(D40&lt;&gt;"",(IF(D40&lt;12.5%,'Classification thresholds'!$F$2,
IF(D40&lt;20%,'Classification thresholds'!$G$2,
IF(D40&lt;25%,'Classification thresholds'!$H$2,
IF(D40&lt;35%,'Classification thresholds'!$I$2,IF(D40&gt;34%,'Classification thresholds'!$J$2,"")))))),"")))</f>
        <v/>
      </c>
      <c r="F40" s="118"/>
    </row>
    <row r="41" spans="1:6" s="9" customFormat="1" ht="15" x14ac:dyDescent="0.2">
      <c r="A41" s="106"/>
      <c r="B41" s="95"/>
      <c r="C41" s="95"/>
      <c r="D41" s="95"/>
      <c r="E41" s="117" t="str">
        <f>IF(B41&lt;&gt;"",
(IF(B41&lt;5%,'Classification thresholds'!$F$2,
IF(B41&lt;10%,'Classification thresholds'!$G$2,
IF(B41&lt;15%,'Classification thresholds'!$H$2,IF(B41&lt;30%,'Classification thresholds'!$I$2,IF(B41&gt;29%,'Classification thresholds'!$J$2,"")))))),
IF(C41&lt;&gt;"",(IF(C41&lt;5%,"Provide justification for value",
IF(C41&lt;10%,"Provide justification for value",
IF(C41&lt;15%,"Provide justification for value",
IF(C41&lt;30%,"Provide justification for value",""))))),
IF(D41&lt;&gt;"",(IF(D41&lt;12.5%,'Classification thresholds'!$F$2,
IF(D41&lt;20%,'Classification thresholds'!$G$2,
IF(D41&lt;25%,'Classification thresholds'!$H$2,
IF(D41&lt;35%,'Classification thresholds'!$I$2,IF(D41&gt;34%,'Classification thresholds'!$J$2,"")))))),"")))</f>
        <v/>
      </c>
      <c r="F41" s="118"/>
    </row>
    <row r="42" spans="1:6" s="9" customFormat="1" ht="15" x14ac:dyDescent="0.2">
      <c r="A42" s="106"/>
      <c r="B42" s="95"/>
      <c r="C42" s="95"/>
      <c r="D42" s="95"/>
      <c r="E42" s="117" t="str">
        <f>IF(B42&lt;&gt;"",
(IF(B42&lt;5%,'Classification thresholds'!$F$2,
IF(B42&lt;10%,'Classification thresholds'!$G$2,
IF(B42&lt;15%,'Classification thresholds'!$H$2,IF(B42&lt;30%,'Classification thresholds'!$I$2,IF(B42&gt;29%,'Classification thresholds'!$J$2,"")))))),
IF(C42&lt;&gt;"",(IF(C42&lt;5%,"Provide justification for value",
IF(C42&lt;10%,"Provide justification for value",
IF(C42&lt;15%,"Provide justification for value",
IF(C42&lt;30%,"Provide justification for value",""))))),
IF(D42&lt;&gt;"",(IF(D42&lt;12.5%,'Classification thresholds'!$F$2,
IF(D42&lt;20%,'Classification thresholds'!$G$2,
IF(D42&lt;25%,'Classification thresholds'!$H$2,
IF(D42&lt;35%,'Classification thresholds'!$I$2,IF(D42&gt;34%,'Classification thresholds'!$J$2,"")))))),"")))</f>
        <v/>
      </c>
      <c r="F42" s="118"/>
    </row>
    <row r="43" spans="1:6" s="9" customFormat="1" ht="15" x14ac:dyDescent="0.2">
      <c r="A43" s="106"/>
      <c r="B43" s="95"/>
      <c r="C43" s="95"/>
      <c r="D43" s="95"/>
      <c r="E43" s="117" t="str">
        <f>IF(B43&lt;&gt;"",
(IF(B43&lt;5%,'Classification thresholds'!$F$2,
IF(B43&lt;10%,'Classification thresholds'!$G$2,
IF(B43&lt;15%,'Classification thresholds'!$H$2,IF(B43&lt;30%,'Classification thresholds'!$I$2,IF(B43&gt;29%,'Classification thresholds'!$J$2,"")))))),
IF(C43&lt;&gt;"",(IF(C43&lt;5%,"Provide justification for value",
IF(C43&lt;10%,"Provide justification for value",
IF(C43&lt;15%,"Provide justification for value",
IF(C43&lt;30%,"Provide justification for value",""))))),
IF(D43&lt;&gt;"",(IF(D43&lt;12.5%,'Classification thresholds'!$F$2,
IF(D43&lt;20%,'Classification thresholds'!$G$2,
IF(D43&lt;25%,'Classification thresholds'!$H$2,
IF(D43&lt;35%,'Classification thresholds'!$I$2,IF(D43&gt;34%,'Classification thresholds'!$J$2,"")))))),"")))</f>
        <v/>
      </c>
      <c r="F43" s="118"/>
    </row>
    <row r="44" spans="1:6" s="9" customFormat="1" ht="15" x14ac:dyDescent="0.2">
      <c r="A44" s="106"/>
      <c r="B44" s="95"/>
      <c r="C44" s="95"/>
      <c r="D44" s="95"/>
      <c r="E44" s="117" t="str">
        <f>IF(B44&lt;&gt;"",
(IF(B44&lt;5%,'Classification thresholds'!$F$2,
IF(B44&lt;10%,'Classification thresholds'!$G$2,
IF(B44&lt;15%,'Classification thresholds'!$H$2,IF(B44&lt;30%,'Classification thresholds'!$I$2,IF(B44&gt;29%,'Classification thresholds'!$J$2,"")))))),
IF(C44&lt;&gt;"",(IF(C44&lt;5%,"Provide justification for value",
IF(C44&lt;10%,"Provide justification for value",
IF(C44&lt;15%,"Provide justification for value",
IF(C44&lt;30%,"Provide justification for value",""))))),
IF(D44&lt;&gt;"",(IF(D44&lt;12.5%,'Classification thresholds'!$F$2,
IF(D44&lt;20%,'Classification thresholds'!$G$2,
IF(D44&lt;25%,'Classification thresholds'!$H$2,
IF(D44&lt;35%,'Classification thresholds'!$I$2,IF(D44&gt;34%,'Classification thresholds'!$J$2,"")))))),"")))</f>
        <v/>
      </c>
      <c r="F44" s="118"/>
    </row>
    <row r="47" spans="1:6" hidden="1" x14ac:dyDescent="0.25"/>
    <row r="48" spans="1:6" ht="62.45" hidden="1" customHeight="1" x14ac:dyDescent="0.25"/>
    <row r="49" ht="22.9" hidden="1" customHeight="1" thickBot="1" x14ac:dyDescent="0.3"/>
    <row r="50" ht="35.450000000000003" customHeight="1" x14ac:dyDescent="0.25"/>
    <row r="51" ht="63" customHeight="1" x14ac:dyDescent="0.25"/>
    <row r="52" ht="18.600000000000001" customHeight="1" x14ac:dyDescent="0.25"/>
    <row r="53" ht="18" customHeight="1" x14ac:dyDescent="0.25"/>
    <row r="54" ht="18" customHeight="1" x14ac:dyDescent="0.25"/>
    <row r="55" ht="15.6" customHeight="1" x14ac:dyDescent="0.25"/>
    <row r="56" ht="29.45" customHeight="1" x14ac:dyDescent="0.25"/>
    <row r="57" ht="29.45" customHeight="1" x14ac:dyDescent="0.25"/>
    <row r="58" ht="17.45" customHeight="1" x14ac:dyDescent="0.25"/>
    <row r="59" ht="18" customHeight="1" x14ac:dyDescent="0.25"/>
    <row r="60" ht="27.6" customHeight="1" x14ac:dyDescent="0.25"/>
    <row r="61" ht="27.6" customHeight="1" x14ac:dyDescent="0.25"/>
    <row r="62" ht="17.45" customHeight="1" x14ac:dyDescent="0.25"/>
    <row r="63" ht="17.45" customHeight="1" x14ac:dyDescent="0.25"/>
    <row r="64" ht="18.600000000000001" customHeight="1" x14ac:dyDescent="0.25"/>
    <row r="65" ht="16.149999999999999" customHeight="1" x14ac:dyDescent="0.25"/>
    <row r="66" ht="29.45" customHeight="1" x14ac:dyDescent="0.25"/>
    <row r="67" ht="27.6" customHeight="1" x14ac:dyDescent="0.25"/>
    <row r="68" ht="27.6" customHeight="1" x14ac:dyDescent="0.25"/>
  </sheetData>
  <mergeCells count="3">
    <mergeCell ref="D1:E1"/>
    <mergeCell ref="B2:F2"/>
    <mergeCell ref="A1:C1"/>
  </mergeCells>
  <conditionalFormatting sqref="C10:C11">
    <cfRule type="cellIs" dxfId="232" priority="31" operator="lessThan">
      <formula>5%</formula>
    </cfRule>
  </conditionalFormatting>
  <conditionalFormatting sqref="B7:B36">
    <cfRule type="containsBlanks" dxfId="231" priority="20">
      <formula>LEN(TRIM(B7))=0</formula>
    </cfRule>
    <cfRule type="cellIs" dxfId="230" priority="21" operator="greaterThanOrEqual">
      <formula>30%</formula>
    </cfRule>
    <cfRule type="cellIs" dxfId="229" priority="22" operator="between">
      <formula>15%</formula>
      <formula>30%</formula>
    </cfRule>
    <cfRule type="cellIs" dxfId="228" priority="23" operator="between">
      <formula>10%</formula>
      <formula>15%</formula>
    </cfRule>
    <cfRule type="cellIs" dxfId="227" priority="24" operator="between">
      <formula>5%</formula>
      <formula>10%</formula>
    </cfRule>
    <cfRule type="cellIs" dxfId="226" priority="25" operator="lessThan">
      <formula>5%</formula>
    </cfRule>
  </conditionalFormatting>
  <conditionalFormatting sqref="B37:B44">
    <cfRule type="containsBlanks" dxfId="225" priority="14">
      <formula>LEN(TRIM(B37))=0</formula>
    </cfRule>
    <cfRule type="cellIs" dxfId="224" priority="15" operator="greaterThanOrEqual">
      <formula>30%</formula>
    </cfRule>
    <cfRule type="cellIs" dxfId="223" priority="16" operator="between">
      <formula>15%</formula>
      <formula>30%</formula>
    </cfRule>
    <cfRule type="cellIs" dxfId="222" priority="17" operator="between">
      <formula>10%</formula>
      <formula>15%</formula>
    </cfRule>
    <cfRule type="cellIs" dxfId="221" priority="18" operator="between">
      <formula>5%</formula>
      <formula>10%</formula>
    </cfRule>
    <cfRule type="cellIs" dxfId="220" priority="19" operator="lessThan">
      <formula>5%</formula>
    </cfRule>
  </conditionalFormatting>
  <conditionalFormatting sqref="D7:D44">
    <cfRule type="cellIs" dxfId="219" priority="8" operator="greaterThanOrEqual">
      <formula>35%</formula>
    </cfRule>
    <cfRule type="cellIs" dxfId="218" priority="9" operator="between">
      <formula>25%</formula>
      <formula>35%</formula>
    </cfRule>
    <cfRule type="cellIs" dxfId="217" priority="10" operator="between">
      <formula>20%</formula>
      <formula>25%</formula>
    </cfRule>
    <cfRule type="cellIs" dxfId="216" priority="11" operator="between">
      <formula>12.6%</formula>
      <formula>20%</formula>
    </cfRule>
    <cfRule type="cellIs" dxfId="215" priority="12" operator="lessThan">
      <formula>12.5%</formula>
    </cfRule>
    <cfRule type="containsBlanks" dxfId="214" priority="13">
      <formula>LEN(TRIM(D7))=0</formula>
    </cfRule>
  </conditionalFormatting>
  <conditionalFormatting sqref="C7:C44">
    <cfRule type="containsBlanks" dxfId="213" priority="26">
      <formula>LEN(TRIM(C7))=0</formula>
    </cfRule>
    <cfRule type="cellIs" dxfId="212" priority="27" operator="greaterThanOrEqual">
      <formula>"="</formula>
    </cfRule>
    <cfRule type="cellIs" dxfId="211" priority="28" operator="greaterThanOrEqual">
      <formula>15%</formula>
    </cfRule>
    <cfRule type="cellIs" dxfId="210" priority="29" operator="between">
      <formula>10%</formula>
      <formula>15%</formula>
    </cfRule>
    <cfRule type="cellIs" dxfId="209" priority="30" operator="between">
      <formula>5%</formula>
      <formula>10%</formula>
    </cfRule>
  </conditionalFormatting>
  <conditionalFormatting sqref="E9:E10 E14:E15 E19:E20 E24:E25 E29:E30 E34:E35">
    <cfRule type="containsBlanks" dxfId="208" priority="1">
      <formula>LEN(TRIM(E9))=0</formula>
    </cfRule>
  </conditionalFormatting>
  <conditionalFormatting sqref="E14:E44">
    <cfRule type="containsBlanks" dxfId="207" priority="7">
      <formula>LEN(TRIM(E14))=0</formula>
    </cfRule>
  </conditionalFormatting>
  <conditionalFormatting sqref="E7:E44">
    <cfRule type="cellIs" dxfId="206" priority="2" operator="equal">
      <formula>"Phase 5"</formula>
    </cfRule>
    <cfRule type="cellIs" dxfId="205" priority="3" operator="equal">
      <formula>"Phase 4"</formula>
    </cfRule>
    <cfRule type="cellIs" dxfId="204" priority="4" operator="equal">
      <formula>"Phase 3"</formula>
    </cfRule>
    <cfRule type="cellIs" dxfId="203" priority="5" operator="equal">
      <formula>"Phase 2"</formula>
    </cfRule>
    <cfRule type="cellIs" dxfId="202" priority="6" operator="equal">
      <formula>"Phase 1"</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AR87"/>
  <sheetViews>
    <sheetView workbookViewId="0">
      <selection activeCell="C8" sqref="C8"/>
    </sheetView>
    <sheetView workbookViewId="1">
      <selection sqref="A1:E1"/>
    </sheetView>
  </sheetViews>
  <sheetFormatPr defaultColWidth="7.125" defaultRowHeight="12.75" x14ac:dyDescent="0.2"/>
  <cols>
    <col min="1" max="1" width="24.75" style="1" customWidth="1"/>
    <col min="2" max="2" width="24" style="2" customWidth="1"/>
    <col min="3" max="3" width="21" style="2" customWidth="1"/>
    <col min="4" max="4" width="20.625" style="1" customWidth="1"/>
    <col min="5" max="5" width="21.375" style="1" customWidth="1"/>
    <col min="6" max="6" width="21.875" style="1" customWidth="1"/>
    <col min="7" max="7" width="22.75" style="1" customWidth="1"/>
    <col min="8" max="8" width="20.625" style="1" customWidth="1"/>
    <col min="9" max="10" width="27.125" style="1" customWidth="1"/>
    <col min="11" max="11" width="19.75" style="1" customWidth="1"/>
    <col min="12" max="12" width="20.625" style="1" customWidth="1"/>
    <col min="13" max="13" width="17.75" style="1" customWidth="1"/>
    <col min="14" max="14" width="17.625" style="1" customWidth="1"/>
    <col min="15" max="15" width="19.75" style="1" customWidth="1"/>
    <col min="16" max="16" width="18.125" style="1" customWidth="1"/>
    <col min="17" max="19" width="19.75" style="1" customWidth="1"/>
    <col min="20" max="20" width="18.25" style="1" customWidth="1"/>
    <col min="21" max="21" width="26.75" style="1" customWidth="1"/>
    <col min="22" max="22" width="18.75" style="1" customWidth="1"/>
    <col min="23" max="23" width="27.75" style="1" customWidth="1"/>
    <col min="24" max="24" width="23.5" style="1" customWidth="1"/>
    <col min="25" max="25" width="25.125" style="1" customWidth="1"/>
    <col min="26" max="26" width="19.25" style="1" customWidth="1"/>
    <col min="27" max="27" width="15.125" style="1" customWidth="1"/>
    <col min="28" max="28" width="21.125" style="1" customWidth="1"/>
    <col min="29" max="29" width="19.25" style="1" customWidth="1"/>
    <col min="30" max="30" width="15.125" style="1" customWidth="1"/>
    <col min="31" max="31" width="21.125" style="1" customWidth="1"/>
    <col min="32" max="32" width="17.25" style="1" customWidth="1"/>
    <col min="33" max="33" width="14.75" style="1" customWidth="1"/>
    <col min="34" max="34" width="21.25" style="1" customWidth="1"/>
    <col min="35" max="35" width="17.375" style="1" customWidth="1"/>
    <col min="36" max="36" width="34" style="1" customWidth="1"/>
    <col min="37" max="37" width="28.625" style="1" customWidth="1"/>
    <col min="38" max="38" width="29.25" style="1" customWidth="1"/>
    <col min="39" max="39" width="21.125" style="1" customWidth="1"/>
    <col min="40" max="40" width="18" style="1" customWidth="1"/>
    <col min="41" max="41" width="18.75" style="1" customWidth="1"/>
    <col min="42" max="42" width="21" style="1" customWidth="1"/>
    <col min="43" max="43" width="28.375" style="1" customWidth="1"/>
    <col min="44" max="44" width="20.625" style="1" customWidth="1"/>
    <col min="45" max="16384" width="7.125" style="1"/>
  </cols>
  <sheetData>
    <row r="1" spans="1:44" ht="21.6" customHeight="1" x14ac:dyDescent="0.2">
      <c r="A1" s="469" t="s">
        <v>657</v>
      </c>
      <c r="B1" s="469"/>
      <c r="C1" s="469"/>
      <c r="D1" s="469"/>
      <c r="E1" s="470"/>
      <c r="F1" s="167" t="s">
        <v>583</v>
      </c>
      <c r="G1" s="168" t="s">
        <v>538</v>
      </c>
      <c r="H1" s="169" t="s">
        <v>539</v>
      </c>
      <c r="I1" s="170" t="s">
        <v>540</v>
      </c>
      <c r="J1" s="171" t="s">
        <v>541</v>
      </c>
      <c r="K1" s="308" t="s">
        <v>601</v>
      </c>
    </row>
    <row r="2" spans="1:44" ht="27" customHeight="1" thickBot="1" x14ac:dyDescent="0.25">
      <c r="B2" s="1"/>
      <c r="C2" s="1"/>
      <c r="D2" s="490" t="s">
        <v>602</v>
      </c>
      <c r="E2" s="491"/>
      <c r="F2" s="172" t="s">
        <v>547</v>
      </c>
      <c r="G2" s="173" t="s">
        <v>548</v>
      </c>
      <c r="H2" s="174" t="s">
        <v>549</v>
      </c>
      <c r="I2" s="175" t="s">
        <v>550</v>
      </c>
      <c r="J2" s="176" t="s">
        <v>551</v>
      </c>
      <c r="K2" s="309"/>
    </row>
    <row r="3" spans="1:44" ht="17.45" customHeight="1" thickBot="1" x14ac:dyDescent="0.25">
      <c r="B3" s="1"/>
      <c r="C3" s="1"/>
      <c r="E3" s="128" t="s">
        <v>658</v>
      </c>
      <c r="F3" s="127" t="s">
        <v>600</v>
      </c>
      <c r="G3" s="181" t="s">
        <v>599</v>
      </c>
      <c r="H3" s="182" t="s">
        <v>598</v>
      </c>
      <c r="I3" s="310" t="s">
        <v>659</v>
      </c>
      <c r="J3" s="311"/>
      <c r="K3" s="183"/>
    </row>
    <row r="4" spans="1:44" ht="22.9" customHeight="1" thickBot="1" x14ac:dyDescent="0.3">
      <c r="B4" s="1"/>
      <c r="C4" s="1"/>
      <c r="M4"/>
    </row>
    <row r="5" spans="1:44" ht="22.9" customHeight="1" thickBot="1" x14ac:dyDescent="0.25">
      <c r="B5" s="496" t="s">
        <v>660</v>
      </c>
      <c r="C5" s="496"/>
      <c r="D5" s="496"/>
      <c r="E5" s="496"/>
      <c r="F5" s="496"/>
      <c r="G5" s="496"/>
      <c r="H5" s="496"/>
      <c r="I5" s="496"/>
      <c r="J5" s="496"/>
      <c r="K5" s="496"/>
      <c r="L5" s="496"/>
      <c r="M5" s="497" t="s">
        <v>580</v>
      </c>
      <c r="N5" s="498"/>
      <c r="O5" s="499" t="s">
        <v>579</v>
      </c>
      <c r="P5" s="500"/>
      <c r="Q5" s="500"/>
      <c r="R5" s="500"/>
      <c r="S5" s="501"/>
      <c r="T5" s="492" t="s">
        <v>578</v>
      </c>
      <c r="U5" s="493"/>
      <c r="V5" s="493"/>
      <c r="W5" s="494"/>
      <c r="X5" s="495" t="s">
        <v>577</v>
      </c>
      <c r="Y5" s="495"/>
      <c r="Z5" s="495"/>
      <c r="AA5" s="495"/>
      <c r="AB5" s="495"/>
      <c r="AC5" s="495"/>
      <c r="AD5" s="495"/>
      <c r="AE5" s="495"/>
      <c r="AF5" s="495"/>
      <c r="AG5" s="495"/>
      <c r="AH5" s="495"/>
      <c r="AI5" s="495"/>
      <c r="AJ5" s="495"/>
      <c r="AK5" s="495"/>
      <c r="AL5" s="495"/>
      <c r="AM5" s="495"/>
      <c r="AN5" s="495"/>
      <c r="AO5" s="495"/>
      <c r="AP5" s="495"/>
      <c r="AQ5" s="495"/>
      <c r="AR5" s="495"/>
    </row>
    <row r="6" spans="1:44" s="5" customFormat="1" ht="53.45" customHeight="1" thickBot="1" x14ac:dyDescent="0.3">
      <c r="A6" s="121" t="s">
        <v>647</v>
      </c>
      <c r="B6" s="90" t="s">
        <v>496</v>
      </c>
      <c r="C6" s="90" t="s">
        <v>844</v>
      </c>
      <c r="D6" s="90" t="s">
        <v>845</v>
      </c>
      <c r="E6" s="90" t="s">
        <v>676</v>
      </c>
      <c r="F6" s="90" t="s">
        <v>508</v>
      </c>
      <c r="G6" s="90" t="s">
        <v>509</v>
      </c>
      <c r="H6" s="90" t="s">
        <v>503</v>
      </c>
      <c r="I6" s="90" t="s">
        <v>587</v>
      </c>
      <c r="J6" s="90" t="s">
        <v>588</v>
      </c>
      <c r="K6" s="90" t="s">
        <v>497</v>
      </c>
      <c r="L6" s="207" t="s">
        <v>849</v>
      </c>
      <c r="M6" s="208" t="s">
        <v>661</v>
      </c>
      <c r="N6" s="209" t="s">
        <v>662</v>
      </c>
      <c r="O6" s="291" t="s">
        <v>750</v>
      </c>
      <c r="P6" s="291" t="s">
        <v>642</v>
      </c>
      <c r="Q6" s="291" t="s">
        <v>643</v>
      </c>
      <c r="R6" s="291" t="s">
        <v>644</v>
      </c>
      <c r="S6" s="291" t="s">
        <v>645</v>
      </c>
      <c r="T6" s="210" t="s">
        <v>604</v>
      </c>
      <c r="U6" s="211" t="s">
        <v>610</v>
      </c>
      <c r="V6" s="211" t="s">
        <v>617</v>
      </c>
      <c r="W6" s="212" t="s">
        <v>623</v>
      </c>
      <c r="X6" s="213" t="s">
        <v>819</v>
      </c>
      <c r="Y6" s="213" t="s">
        <v>630</v>
      </c>
      <c r="Z6" s="213" t="s">
        <v>854</v>
      </c>
      <c r="AA6" s="213" t="s">
        <v>855</v>
      </c>
      <c r="AB6" s="213" t="s">
        <v>856</v>
      </c>
      <c r="AC6" s="213" t="s">
        <v>857</v>
      </c>
      <c r="AD6" s="213" t="s">
        <v>858</v>
      </c>
      <c r="AE6" s="213" t="s">
        <v>859</v>
      </c>
      <c r="AF6" s="213" t="s">
        <v>812</v>
      </c>
      <c r="AG6" s="213" t="s">
        <v>813</v>
      </c>
      <c r="AH6" s="213" t="s">
        <v>814</v>
      </c>
      <c r="AI6" s="213" t="s">
        <v>815</v>
      </c>
      <c r="AJ6" s="213" t="s">
        <v>801</v>
      </c>
      <c r="AK6" s="213" t="s">
        <v>820</v>
      </c>
      <c r="AL6" s="213" t="s">
        <v>636</v>
      </c>
      <c r="AM6" s="213" t="s">
        <v>808</v>
      </c>
      <c r="AN6" s="213" t="s">
        <v>829</v>
      </c>
      <c r="AO6" s="213" t="s">
        <v>806</v>
      </c>
      <c r="AP6" s="213" t="s">
        <v>828</v>
      </c>
      <c r="AQ6" s="213" t="s">
        <v>817</v>
      </c>
      <c r="AR6" s="213" t="s">
        <v>818</v>
      </c>
    </row>
    <row r="7" spans="1:44" s="126" customFormat="1" ht="47.45" customHeight="1" x14ac:dyDescent="0.25">
      <c r="A7" s="73" t="s">
        <v>651</v>
      </c>
      <c r="B7" s="74" t="s">
        <v>663</v>
      </c>
      <c r="C7" s="74" t="s">
        <v>663</v>
      </c>
      <c r="D7" s="74" t="s">
        <v>663</v>
      </c>
      <c r="E7" s="74" t="s">
        <v>663</v>
      </c>
      <c r="F7" s="74" t="s">
        <v>663</v>
      </c>
      <c r="G7" s="74" t="s">
        <v>663</v>
      </c>
      <c r="H7" s="74" t="s">
        <v>663</v>
      </c>
      <c r="I7" s="74" t="s">
        <v>663</v>
      </c>
      <c r="J7" s="74" t="s">
        <v>663</v>
      </c>
      <c r="K7" s="74" t="s">
        <v>663</v>
      </c>
      <c r="L7" s="74" t="s">
        <v>663</v>
      </c>
      <c r="M7" s="216" t="s">
        <v>664</v>
      </c>
      <c r="N7" s="217" t="s">
        <v>664</v>
      </c>
      <c r="O7" s="214" t="s">
        <v>677</v>
      </c>
      <c r="P7" s="214" t="s">
        <v>677</v>
      </c>
      <c r="Q7" s="214" t="s">
        <v>677</v>
      </c>
      <c r="R7" s="214" t="s">
        <v>677</v>
      </c>
      <c r="S7" s="214" t="s">
        <v>677</v>
      </c>
      <c r="T7" s="216" t="s">
        <v>677</v>
      </c>
      <c r="U7" s="206" t="s">
        <v>677</v>
      </c>
      <c r="V7" s="206" t="s">
        <v>677</v>
      </c>
      <c r="W7" s="217" t="s">
        <v>677</v>
      </c>
      <c r="X7" s="206" t="s">
        <v>677</v>
      </c>
      <c r="Y7" s="206" t="s">
        <v>677</v>
      </c>
      <c r="Z7" s="206" t="s">
        <v>677</v>
      </c>
      <c r="AA7" s="206" t="s">
        <v>677</v>
      </c>
      <c r="AB7" s="206" t="s">
        <v>677</v>
      </c>
      <c r="AC7" s="206" t="s">
        <v>677</v>
      </c>
      <c r="AD7" s="206" t="s">
        <v>677</v>
      </c>
      <c r="AE7" s="206" t="s">
        <v>677</v>
      </c>
      <c r="AF7" s="206" t="s">
        <v>677</v>
      </c>
      <c r="AG7" s="206" t="s">
        <v>677</v>
      </c>
      <c r="AH7" s="206" t="s">
        <v>677</v>
      </c>
      <c r="AI7" s="206" t="s">
        <v>677</v>
      </c>
      <c r="AJ7" s="206" t="s">
        <v>830</v>
      </c>
      <c r="AK7" s="206" t="s">
        <v>830</v>
      </c>
      <c r="AL7" s="206" t="s">
        <v>677</v>
      </c>
      <c r="AM7" s="206" t="s">
        <v>830</v>
      </c>
      <c r="AN7" s="206" t="s">
        <v>830</v>
      </c>
      <c r="AO7" s="206" t="s">
        <v>830</v>
      </c>
      <c r="AP7" s="206" t="s">
        <v>830</v>
      </c>
      <c r="AQ7" s="206" t="s">
        <v>830</v>
      </c>
      <c r="AR7" s="206" t="s">
        <v>830</v>
      </c>
    </row>
    <row r="8" spans="1:44" s="125" customFormat="1" ht="15" x14ac:dyDescent="0.2">
      <c r="A8" s="105" t="s">
        <v>41</v>
      </c>
      <c r="B8" s="94">
        <v>0.1</v>
      </c>
      <c r="C8" s="95">
        <v>0.12</v>
      </c>
      <c r="D8" s="94">
        <v>0.25</v>
      </c>
      <c r="E8" s="94">
        <v>0.45</v>
      </c>
      <c r="F8" s="94">
        <v>0.45</v>
      </c>
      <c r="G8" s="95">
        <v>0.12</v>
      </c>
      <c r="H8" s="94">
        <v>0.1</v>
      </c>
      <c r="I8" s="94">
        <v>0.1</v>
      </c>
      <c r="J8" s="94">
        <v>0.15</v>
      </c>
      <c r="K8" s="94">
        <v>0.1</v>
      </c>
      <c r="L8" s="95">
        <v>0.14000000000000001</v>
      </c>
      <c r="M8" s="224">
        <v>2</v>
      </c>
      <c r="N8" s="225">
        <v>2</v>
      </c>
      <c r="O8" s="204">
        <v>1</v>
      </c>
      <c r="P8" s="204">
        <v>1</v>
      </c>
      <c r="Q8" s="204">
        <v>1</v>
      </c>
      <c r="R8" s="204">
        <v>1</v>
      </c>
      <c r="S8" s="204">
        <v>1</v>
      </c>
      <c r="T8" s="218">
        <v>1</v>
      </c>
      <c r="U8" s="219">
        <v>1</v>
      </c>
      <c r="V8" s="219">
        <v>1</v>
      </c>
      <c r="W8" s="220">
        <v>1</v>
      </c>
      <c r="X8" s="204">
        <v>1</v>
      </c>
      <c r="Y8" s="204">
        <v>1</v>
      </c>
      <c r="Z8" s="204">
        <v>1</v>
      </c>
      <c r="AA8" s="204">
        <v>1</v>
      </c>
      <c r="AB8" s="204">
        <v>1</v>
      </c>
      <c r="AC8" s="204">
        <v>1</v>
      </c>
      <c r="AD8" s="204">
        <v>1</v>
      </c>
      <c r="AE8" s="204">
        <v>1</v>
      </c>
      <c r="AF8" s="204">
        <v>1</v>
      </c>
      <c r="AG8" s="204">
        <v>1</v>
      </c>
      <c r="AH8" s="204">
        <v>1</v>
      </c>
      <c r="AI8" s="204">
        <v>1</v>
      </c>
      <c r="AJ8" s="204">
        <v>1</v>
      </c>
      <c r="AK8" s="204">
        <v>1</v>
      </c>
      <c r="AL8" s="204">
        <v>1</v>
      </c>
      <c r="AM8" s="204">
        <v>1</v>
      </c>
      <c r="AN8" s="204">
        <v>1</v>
      </c>
      <c r="AO8" s="204">
        <v>1</v>
      </c>
      <c r="AP8" s="204">
        <v>1</v>
      </c>
      <c r="AQ8" s="204">
        <v>1</v>
      </c>
      <c r="AR8" s="204">
        <v>1</v>
      </c>
    </row>
    <row r="9" spans="1:44" s="9" customFormat="1" ht="15" x14ac:dyDescent="0.2">
      <c r="A9" s="106" t="s">
        <v>42</v>
      </c>
      <c r="B9" s="94">
        <v>0.09</v>
      </c>
      <c r="C9" s="95">
        <v>0.25</v>
      </c>
      <c r="D9" s="94">
        <v>0.09</v>
      </c>
      <c r="E9" s="94">
        <v>0.09</v>
      </c>
      <c r="F9" s="94">
        <v>0.09</v>
      </c>
      <c r="G9" s="95">
        <v>0.25</v>
      </c>
      <c r="H9" s="94">
        <v>0.09</v>
      </c>
      <c r="I9" s="94">
        <v>0.09</v>
      </c>
      <c r="J9" s="94">
        <v>0.09</v>
      </c>
      <c r="K9" s="94">
        <v>0.08</v>
      </c>
      <c r="L9" s="95">
        <v>0.09</v>
      </c>
      <c r="M9" s="224">
        <v>1</v>
      </c>
      <c r="N9" s="225">
        <v>1</v>
      </c>
      <c r="O9" s="205">
        <v>2</v>
      </c>
      <c r="P9" s="205">
        <v>2</v>
      </c>
      <c r="Q9" s="205">
        <v>2</v>
      </c>
      <c r="R9" s="205">
        <v>2</v>
      </c>
      <c r="S9" s="205">
        <v>2</v>
      </c>
      <c r="T9" s="221">
        <v>2</v>
      </c>
      <c r="U9" s="222">
        <v>2</v>
      </c>
      <c r="V9" s="222">
        <v>2</v>
      </c>
      <c r="W9" s="223">
        <v>2</v>
      </c>
      <c r="X9" s="205">
        <v>2</v>
      </c>
      <c r="Y9" s="205">
        <v>2</v>
      </c>
      <c r="Z9" s="205">
        <v>2</v>
      </c>
      <c r="AA9" s="205">
        <v>2</v>
      </c>
      <c r="AB9" s="205">
        <v>2</v>
      </c>
      <c r="AC9" s="205">
        <v>2</v>
      </c>
      <c r="AD9" s="205">
        <v>2</v>
      </c>
      <c r="AE9" s="205">
        <v>2</v>
      </c>
      <c r="AF9" s="205">
        <v>2</v>
      </c>
      <c r="AG9" s="205">
        <v>2</v>
      </c>
      <c r="AH9" s="205">
        <v>2</v>
      </c>
      <c r="AI9" s="205">
        <v>2</v>
      </c>
      <c r="AJ9" s="205">
        <v>2</v>
      </c>
      <c r="AK9" s="205">
        <v>2</v>
      </c>
      <c r="AL9" s="205">
        <v>2</v>
      </c>
      <c r="AM9" s="205">
        <v>2</v>
      </c>
      <c r="AN9" s="205">
        <v>2</v>
      </c>
      <c r="AO9" s="205">
        <v>2</v>
      </c>
      <c r="AP9" s="205">
        <v>2</v>
      </c>
      <c r="AQ9" s="205">
        <v>2</v>
      </c>
      <c r="AR9" s="205">
        <v>2</v>
      </c>
    </row>
    <row r="10" spans="1:44" s="9" customFormat="1" ht="15" x14ac:dyDescent="0.2">
      <c r="A10" s="106" t="s">
        <v>43</v>
      </c>
      <c r="B10" s="94">
        <v>0.18</v>
      </c>
      <c r="C10" s="95">
        <v>0.11</v>
      </c>
      <c r="D10" s="94">
        <v>0.18</v>
      </c>
      <c r="E10" s="94">
        <v>0.18</v>
      </c>
      <c r="F10" s="94">
        <v>0.18</v>
      </c>
      <c r="G10" s="95">
        <v>0.11</v>
      </c>
      <c r="H10" s="94">
        <v>0.18</v>
      </c>
      <c r="I10" s="94">
        <v>0.18</v>
      </c>
      <c r="J10" s="94">
        <v>0.18</v>
      </c>
      <c r="K10" s="94">
        <v>0.17</v>
      </c>
      <c r="L10" s="95">
        <v>0.18</v>
      </c>
      <c r="M10" s="224">
        <v>1</v>
      </c>
      <c r="N10" s="225">
        <v>1</v>
      </c>
      <c r="O10" s="205">
        <v>3</v>
      </c>
      <c r="P10" s="205">
        <v>3</v>
      </c>
      <c r="Q10" s="205">
        <v>3</v>
      </c>
      <c r="R10" s="205">
        <v>3</v>
      </c>
      <c r="S10" s="205">
        <v>3</v>
      </c>
      <c r="T10" s="221">
        <v>3</v>
      </c>
      <c r="U10" s="222">
        <v>3</v>
      </c>
      <c r="V10" s="222">
        <v>3</v>
      </c>
      <c r="W10" s="223">
        <v>3</v>
      </c>
      <c r="X10" s="205">
        <v>3</v>
      </c>
      <c r="Y10" s="205">
        <v>3</v>
      </c>
      <c r="Z10" s="205">
        <v>3</v>
      </c>
      <c r="AA10" s="205">
        <v>3</v>
      </c>
      <c r="AB10" s="205">
        <v>3</v>
      </c>
      <c r="AC10" s="205">
        <v>3</v>
      </c>
      <c r="AD10" s="205">
        <v>3</v>
      </c>
      <c r="AE10" s="205">
        <v>3</v>
      </c>
      <c r="AF10" s="205">
        <v>3</v>
      </c>
      <c r="AG10" s="205">
        <v>3</v>
      </c>
      <c r="AH10" s="205">
        <v>3</v>
      </c>
      <c r="AI10" s="205">
        <v>3</v>
      </c>
      <c r="AJ10" s="205">
        <v>3</v>
      </c>
      <c r="AK10" s="205">
        <v>3</v>
      </c>
      <c r="AL10" s="205">
        <v>3</v>
      </c>
      <c r="AM10" s="205">
        <v>3</v>
      </c>
      <c r="AN10" s="205">
        <v>3</v>
      </c>
      <c r="AO10" s="205">
        <v>3</v>
      </c>
      <c r="AP10" s="205">
        <v>3</v>
      </c>
      <c r="AQ10" s="205">
        <v>3</v>
      </c>
      <c r="AR10" s="205">
        <v>3</v>
      </c>
    </row>
    <row r="11" spans="1:44" s="9" customFormat="1" ht="15" x14ac:dyDescent="0.2">
      <c r="A11" s="106" t="s">
        <v>44</v>
      </c>
      <c r="B11" s="94">
        <v>7.0000000000000007E-2</v>
      </c>
      <c r="C11" s="95">
        <v>5.651194319090929E-2</v>
      </c>
      <c r="D11" s="94">
        <v>7.0000000000000007E-2</v>
      </c>
      <c r="E11" s="94">
        <v>7.0000000000000007E-2</v>
      </c>
      <c r="F11" s="94">
        <v>7.0000000000000007E-2</v>
      </c>
      <c r="G11" s="95">
        <v>5.651194319090929E-2</v>
      </c>
      <c r="H11" s="94">
        <v>7.0000000000000007E-2</v>
      </c>
      <c r="I11" s="94">
        <v>7.0000000000000007E-2</v>
      </c>
      <c r="J11" s="94">
        <v>7.0000000000000007E-2</v>
      </c>
      <c r="K11" s="94">
        <v>0.09</v>
      </c>
      <c r="L11" s="95">
        <v>7.0000000000000007E-2</v>
      </c>
      <c r="M11" s="224">
        <v>1</v>
      </c>
      <c r="N11" s="225">
        <v>1</v>
      </c>
      <c r="O11" s="205">
        <v>4</v>
      </c>
      <c r="P11" s="205">
        <v>4</v>
      </c>
      <c r="Q11" s="205">
        <v>4</v>
      </c>
      <c r="R11" s="205">
        <v>4</v>
      </c>
      <c r="S11" s="205">
        <v>4</v>
      </c>
      <c r="T11" s="221">
        <v>4</v>
      </c>
      <c r="U11" s="222">
        <v>4</v>
      </c>
      <c r="V11" s="222">
        <v>4</v>
      </c>
      <c r="W11" s="223">
        <v>4</v>
      </c>
      <c r="X11" s="205">
        <v>4</v>
      </c>
      <c r="Y11" s="205">
        <v>4</v>
      </c>
      <c r="Z11" s="205">
        <v>4</v>
      </c>
      <c r="AA11" s="205">
        <v>4</v>
      </c>
      <c r="AB11" s="205">
        <v>4</v>
      </c>
      <c r="AC11" s="205">
        <v>4</v>
      </c>
      <c r="AD11" s="205">
        <v>4</v>
      </c>
      <c r="AE11" s="205">
        <v>4</v>
      </c>
      <c r="AF11" s="205">
        <v>4</v>
      </c>
      <c r="AG11" s="205">
        <v>4</v>
      </c>
      <c r="AH11" s="205">
        <v>4</v>
      </c>
      <c r="AI11" s="205">
        <v>4</v>
      </c>
      <c r="AJ11" s="205">
        <v>4</v>
      </c>
      <c r="AK11" s="205">
        <v>4</v>
      </c>
      <c r="AL11" s="205">
        <v>4</v>
      </c>
      <c r="AM11" s="205">
        <v>4</v>
      </c>
      <c r="AN11" s="205">
        <v>4</v>
      </c>
      <c r="AO11" s="205">
        <v>4</v>
      </c>
      <c r="AP11" s="205">
        <v>4</v>
      </c>
      <c r="AQ11" s="205">
        <v>4</v>
      </c>
      <c r="AR11" s="205">
        <v>4</v>
      </c>
    </row>
    <row r="12" spans="1:44" s="9" customFormat="1" ht="15" x14ac:dyDescent="0.2">
      <c r="A12" s="106" t="s">
        <v>45</v>
      </c>
      <c r="B12" s="94">
        <v>0.06</v>
      </c>
      <c r="C12" s="95">
        <v>4.9807175082149227E-2</v>
      </c>
      <c r="D12" s="94">
        <v>0.06</v>
      </c>
      <c r="E12" s="94">
        <v>0.06</v>
      </c>
      <c r="F12" s="94">
        <v>0.06</v>
      </c>
      <c r="G12" s="95">
        <v>4.9807175082149227E-2</v>
      </c>
      <c r="H12" s="94">
        <v>0.06</v>
      </c>
      <c r="I12" s="94">
        <v>0.06</v>
      </c>
      <c r="J12" s="94">
        <v>0.06</v>
      </c>
      <c r="K12" s="94">
        <v>0.08</v>
      </c>
      <c r="L12" s="95">
        <v>0.06</v>
      </c>
      <c r="M12" s="224">
        <v>2</v>
      </c>
      <c r="N12" s="225">
        <v>2</v>
      </c>
      <c r="O12" s="205">
        <v>5</v>
      </c>
      <c r="P12" s="205">
        <v>5</v>
      </c>
      <c r="Q12" s="205">
        <v>5</v>
      </c>
      <c r="R12" s="205">
        <v>5</v>
      </c>
      <c r="S12" s="205">
        <v>5</v>
      </c>
      <c r="T12" s="221">
        <v>5</v>
      </c>
      <c r="U12" s="222">
        <v>5</v>
      </c>
      <c r="V12" s="222">
        <v>5</v>
      </c>
      <c r="W12" s="223">
        <v>5</v>
      </c>
      <c r="X12" s="205">
        <v>5</v>
      </c>
      <c r="Y12" s="205">
        <v>5</v>
      </c>
      <c r="Z12" s="205">
        <v>5</v>
      </c>
      <c r="AA12" s="205">
        <v>5</v>
      </c>
      <c r="AB12" s="205">
        <v>5</v>
      </c>
      <c r="AC12" s="205">
        <v>5</v>
      </c>
      <c r="AD12" s="205">
        <v>5</v>
      </c>
      <c r="AE12" s="205">
        <v>5</v>
      </c>
      <c r="AF12" s="205">
        <v>5</v>
      </c>
      <c r="AG12" s="205">
        <v>5</v>
      </c>
      <c r="AH12" s="205">
        <v>5</v>
      </c>
      <c r="AI12" s="205">
        <v>5</v>
      </c>
      <c r="AJ12" s="205">
        <v>5</v>
      </c>
      <c r="AK12" s="205">
        <v>5</v>
      </c>
      <c r="AL12" s="205">
        <v>5</v>
      </c>
      <c r="AM12" s="205">
        <v>5</v>
      </c>
      <c r="AN12" s="205">
        <v>5</v>
      </c>
      <c r="AO12" s="205">
        <v>5</v>
      </c>
      <c r="AP12" s="205">
        <v>5</v>
      </c>
      <c r="AQ12" s="205">
        <v>5</v>
      </c>
      <c r="AR12" s="205">
        <v>5</v>
      </c>
    </row>
    <row r="13" spans="1:44" s="9" customFormat="1" ht="15" x14ac:dyDescent="0.2">
      <c r="A13" s="106" t="s">
        <v>46</v>
      </c>
      <c r="B13" s="94">
        <v>0.05</v>
      </c>
      <c r="C13" s="95">
        <v>5.2810694544647187E-2</v>
      </c>
      <c r="D13" s="94">
        <v>0.05</v>
      </c>
      <c r="E13" s="94">
        <v>0.05</v>
      </c>
      <c r="F13" s="94">
        <v>0.05</v>
      </c>
      <c r="G13" s="95">
        <v>5.2810694544647187E-2</v>
      </c>
      <c r="H13" s="94">
        <v>0.05</v>
      </c>
      <c r="I13" s="94">
        <v>0.05</v>
      </c>
      <c r="J13" s="94">
        <v>0.05</v>
      </c>
      <c r="K13" s="94">
        <v>0.03</v>
      </c>
      <c r="L13" s="95">
        <v>0.05</v>
      </c>
      <c r="M13" s="224">
        <v>2</v>
      </c>
      <c r="N13" s="225">
        <v>2</v>
      </c>
      <c r="O13" s="204">
        <v>1</v>
      </c>
      <c r="P13" s="204">
        <v>1</v>
      </c>
      <c r="Q13" s="204">
        <v>1</v>
      </c>
      <c r="R13" s="204">
        <v>1</v>
      </c>
      <c r="S13" s="204">
        <v>1</v>
      </c>
      <c r="T13" s="218">
        <v>1</v>
      </c>
      <c r="U13" s="219">
        <v>1</v>
      </c>
      <c r="V13" s="219">
        <v>1</v>
      </c>
      <c r="W13" s="220">
        <v>1</v>
      </c>
      <c r="X13" s="204">
        <v>1</v>
      </c>
      <c r="Y13" s="204">
        <v>1</v>
      </c>
      <c r="Z13" s="204">
        <v>1</v>
      </c>
      <c r="AA13" s="204">
        <v>1</v>
      </c>
      <c r="AB13" s="204">
        <v>1</v>
      </c>
      <c r="AC13" s="204">
        <v>1</v>
      </c>
      <c r="AD13" s="204">
        <v>1</v>
      </c>
      <c r="AE13" s="204">
        <v>1</v>
      </c>
      <c r="AF13" s="204">
        <v>1</v>
      </c>
      <c r="AG13" s="204">
        <v>1</v>
      </c>
      <c r="AH13" s="204">
        <v>1</v>
      </c>
      <c r="AI13" s="204">
        <v>1</v>
      </c>
      <c r="AJ13" s="204">
        <v>1</v>
      </c>
      <c r="AK13" s="204">
        <v>1</v>
      </c>
      <c r="AL13" s="204">
        <v>1</v>
      </c>
      <c r="AM13" s="204">
        <v>1</v>
      </c>
      <c r="AN13" s="204">
        <v>1</v>
      </c>
      <c r="AO13" s="204">
        <v>1</v>
      </c>
      <c r="AP13" s="204">
        <v>1</v>
      </c>
      <c r="AQ13" s="204">
        <v>1</v>
      </c>
      <c r="AR13" s="204">
        <v>1</v>
      </c>
    </row>
    <row r="14" spans="1:44" s="9" customFormat="1" ht="15" x14ac:dyDescent="0.2">
      <c r="A14" s="106" t="s">
        <v>47</v>
      </c>
      <c r="B14" s="94">
        <v>0.04</v>
      </c>
      <c r="C14" s="95">
        <v>3.9427477059562489E-2</v>
      </c>
      <c r="D14" s="94">
        <v>0.04</v>
      </c>
      <c r="E14" s="94">
        <v>0.04</v>
      </c>
      <c r="F14" s="94">
        <v>0.04</v>
      </c>
      <c r="G14" s="95">
        <v>3.9427477059562489E-2</v>
      </c>
      <c r="H14" s="94">
        <v>0.04</v>
      </c>
      <c r="I14" s="94">
        <v>0.04</v>
      </c>
      <c r="J14" s="94">
        <v>0.04</v>
      </c>
      <c r="K14" s="94">
        <v>0.05</v>
      </c>
      <c r="L14" s="95">
        <v>0.04</v>
      </c>
      <c r="M14" s="224">
        <v>2</v>
      </c>
      <c r="N14" s="225">
        <v>2</v>
      </c>
      <c r="O14" s="205">
        <v>2</v>
      </c>
      <c r="P14" s="205">
        <v>2</v>
      </c>
      <c r="Q14" s="205">
        <v>2</v>
      </c>
      <c r="R14" s="205">
        <v>2</v>
      </c>
      <c r="S14" s="205">
        <v>2</v>
      </c>
      <c r="T14" s="221">
        <v>2</v>
      </c>
      <c r="U14" s="222">
        <v>2</v>
      </c>
      <c r="V14" s="222">
        <v>2</v>
      </c>
      <c r="W14" s="223">
        <v>2</v>
      </c>
      <c r="X14" s="205">
        <v>2</v>
      </c>
      <c r="Y14" s="205">
        <v>2</v>
      </c>
      <c r="Z14" s="205">
        <v>2</v>
      </c>
      <c r="AA14" s="205">
        <v>2</v>
      </c>
      <c r="AB14" s="205">
        <v>2</v>
      </c>
      <c r="AC14" s="205">
        <v>2</v>
      </c>
      <c r="AD14" s="205">
        <v>2</v>
      </c>
      <c r="AE14" s="205">
        <v>2</v>
      </c>
      <c r="AF14" s="205">
        <v>2</v>
      </c>
      <c r="AG14" s="205">
        <v>2</v>
      </c>
      <c r="AH14" s="205">
        <v>2</v>
      </c>
      <c r="AI14" s="205">
        <v>2</v>
      </c>
      <c r="AJ14" s="205">
        <v>2</v>
      </c>
      <c r="AK14" s="205">
        <v>2</v>
      </c>
      <c r="AL14" s="205">
        <v>2</v>
      </c>
      <c r="AM14" s="205">
        <v>2</v>
      </c>
      <c r="AN14" s="205">
        <v>2</v>
      </c>
      <c r="AO14" s="205">
        <v>2</v>
      </c>
      <c r="AP14" s="205">
        <v>2</v>
      </c>
      <c r="AQ14" s="205">
        <v>2</v>
      </c>
      <c r="AR14" s="205">
        <v>2</v>
      </c>
    </row>
    <row r="15" spans="1:44" s="9" customFormat="1" ht="15" x14ac:dyDescent="0.2">
      <c r="A15" s="106" t="s">
        <v>48</v>
      </c>
      <c r="B15" s="94">
        <v>0.04</v>
      </c>
      <c r="C15" s="95">
        <v>3.7345187182510869E-2</v>
      </c>
      <c r="D15" s="94">
        <v>0.04</v>
      </c>
      <c r="E15" s="94">
        <v>0.04</v>
      </c>
      <c r="F15" s="94">
        <v>0.04</v>
      </c>
      <c r="G15" s="95">
        <v>3.7345187182510869E-2</v>
      </c>
      <c r="H15" s="94">
        <v>0.04</v>
      </c>
      <c r="I15" s="94">
        <v>0.04</v>
      </c>
      <c r="J15" s="94">
        <v>0.04</v>
      </c>
      <c r="K15" s="94">
        <v>0.03</v>
      </c>
      <c r="L15" s="95">
        <v>0.04</v>
      </c>
      <c r="M15" s="224">
        <v>2</v>
      </c>
      <c r="N15" s="225">
        <v>2</v>
      </c>
      <c r="O15" s="205">
        <v>3</v>
      </c>
      <c r="P15" s="205">
        <v>3</v>
      </c>
      <c r="Q15" s="205">
        <v>3</v>
      </c>
      <c r="R15" s="205">
        <v>3</v>
      </c>
      <c r="S15" s="205">
        <v>3</v>
      </c>
      <c r="T15" s="221">
        <v>3</v>
      </c>
      <c r="U15" s="222">
        <v>3</v>
      </c>
      <c r="V15" s="222">
        <v>3</v>
      </c>
      <c r="W15" s="223">
        <v>3</v>
      </c>
      <c r="X15" s="205">
        <v>3</v>
      </c>
      <c r="Y15" s="205">
        <v>3</v>
      </c>
      <c r="Z15" s="205">
        <v>3</v>
      </c>
      <c r="AA15" s="205">
        <v>3</v>
      </c>
      <c r="AB15" s="205">
        <v>3</v>
      </c>
      <c r="AC15" s="205">
        <v>3</v>
      </c>
      <c r="AD15" s="205">
        <v>3</v>
      </c>
      <c r="AE15" s="205">
        <v>3</v>
      </c>
      <c r="AF15" s="205">
        <v>3</v>
      </c>
      <c r="AG15" s="205">
        <v>3</v>
      </c>
      <c r="AH15" s="205">
        <v>3</v>
      </c>
      <c r="AI15" s="205">
        <v>3</v>
      </c>
      <c r="AJ15" s="205">
        <v>3</v>
      </c>
      <c r="AK15" s="205">
        <v>3</v>
      </c>
      <c r="AL15" s="205">
        <v>3</v>
      </c>
      <c r="AM15" s="205">
        <v>3</v>
      </c>
      <c r="AN15" s="205">
        <v>3</v>
      </c>
      <c r="AO15" s="205">
        <v>3</v>
      </c>
      <c r="AP15" s="205">
        <v>3</v>
      </c>
      <c r="AQ15" s="205">
        <v>3</v>
      </c>
      <c r="AR15" s="205">
        <v>3</v>
      </c>
    </row>
    <row r="16" spans="1:44" s="9" customFormat="1" ht="15" x14ac:dyDescent="0.2">
      <c r="A16" s="106" t="s">
        <v>49</v>
      </c>
      <c r="B16" s="94">
        <v>0.22</v>
      </c>
      <c r="C16" s="95">
        <v>0.19600000000000001</v>
      </c>
      <c r="D16" s="94">
        <v>0.22</v>
      </c>
      <c r="E16" s="94">
        <v>0.22</v>
      </c>
      <c r="F16" s="94">
        <v>0.22</v>
      </c>
      <c r="G16" s="95">
        <v>0.19600000000000001</v>
      </c>
      <c r="H16" s="94">
        <v>0.22</v>
      </c>
      <c r="I16" s="94">
        <v>0.22</v>
      </c>
      <c r="J16" s="94">
        <v>0.22</v>
      </c>
      <c r="K16" s="94">
        <v>0.16</v>
      </c>
      <c r="L16" s="95">
        <v>0.22</v>
      </c>
      <c r="M16" s="224">
        <v>2</v>
      </c>
      <c r="N16" s="225">
        <v>2</v>
      </c>
      <c r="O16" s="205">
        <v>4</v>
      </c>
      <c r="P16" s="205">
        <v>4</v>
      </c>
      <c r="Q16" s="205">
        <v>4</v>
      </c>
      <c r="R16" s="205">
        <v>4</v>
      </c>
      <c r="S16" s="205">
        <v>4</v>
      </c>
      <c r="T16" s="221">
        <v>4</v>
      </c>
      <c r="U16" s="222">
        <v>4</v>
      </c>
      <c r="V16" s="222">
        <v>4</v>
      </c>
      <c r="W16" s="223">
        <v>4</v>
      </c>
      <c r="X16" s="205">
        <v>4</v>
      </c>
      <c r="Y16" s="205">
        <v>4</v>
      </c>
      <c r="Z16" s="205">
        <v>4</v>
      </c>
      <c r="AA16" s="205">
        <v>4</v>
      </c>
      <c r="AB16" s="205">
        <v>4</v>
      </c>
      <c r="AC16" s="205">
        <v>4</v>
      </c>
      <c r="AD16" s="205">
        <v>4</v>
      </c>
      <c r="AE16" s="205">
        <v>4</v>
      </c>
      <c r="AF16" s="205">
        <v>4</v>
      </c>
      <c r="AG16" s="205">
        <v>4</v>
      </c>
      <c r="AH16" s="205">
        <v>4</v>
      </c>
      <c r="AI16" s="205">
        <v>4</v>
      </c>
      <c r="AJ16" s="205">
        <v>4</v>
      </c>
      <c r="AK16" s="205">
        <v>4</v>
      </c>
      <c r="AL16" s="205">
        <v>4</v>
      </c>
      <c r="AM16" s="205">
        <v>4</v>
      </c>
      <c r="AN16" s="205">
        <v>4</v>
      </c>
      <c r="AO16" s="205">
        <v>4</v>
      </c>
      <c r="AP16" s="205">
        <v>4</v>
      </c>
      <c r="AQ16" s="205">
        <v>4</v>
      </c>
      <c r="AR16" s="205">
        <v>4</v>
      </c>
    </row>
    <row r="17" spans="1:44" s="9" customFormat="1" ht="15" x14ac:dyDescent="0.2">
      <c r="A17" s="106" t="s">
        <v>50</v>
      </c>
      <c r="B17" s="94">
        <v>0.14000000000000001</v>
      </c>
      <c r="C17" s="95">
        <v>0.20699999999999999</v>
      </c>
      <c r="D17" s="94">
        <v>0.14000000000000001</v>
      </c>
      <c r="E17" s="94">
        <v>0.14000000000000001</v>
      </c>
      <c r="F17" s="94">
        <v>0.14000000000000001</v>
      </c>
      <c r="G17" s="95">
        <v>0.20699999999999999</v>
      </c>
      <c r="H17" s="94">
        <v>0.14000000000000001</v>
      </c>
      <c r="I17" s="94">
        <v>0.14000000000000001</v>
      </c>
      <c r="J17" s="94">
        <v>0.14000000000000001</v>
      </c>
      <c r="K17" s="94">
        <v>0.3</v>
      </c>
      <c r="L17" s="95">
        <v>0.14000000000000001</v>
      </c>
      <c r="M17" s="224">
        <v>2</v>
      </c>
      <c r="N17" s="225">
        <v>2</v>
      </c>
      <c r="O17" s="205">
        <v>5</v>
      </c>
      <c r="P17" s="205">
        <v>5</v>
      </c>
      <c r="Q17" s="205">
        <v>5</v>
      </c>
      <c r="R17" s="205">
        <v>5</v>
      </c>
      <c r="S17" s="205">
        <v>5</v>
      </c>
      <c r="T17" s="221">
        <v>5</v>
      </c>
      <c r="U17" s="222">
        <v>5</v>
      </c>
      <c r="V17" s="222">
        <v>5</v>
      </c>
      <c r="W17" s="223">
        <v>5</v>
      </c>
      <c r="X17" s="205">
        <v>5</v>
      </c>
      <c r="Y17" s="205">
        <v>5</v>
      </c>
      <c r="Z17" s="205">
        <v>5</v>
      </c>
      <c r="AA17" s="205">
        <v>5</v>
      </c>
      <c r="AB17" s="205">
        <v>5</v>
      </c>
      <c r="AC17" s="205">
        <v>5</v>
      </c>
      <c r="AD17" s="205">
        <v>5</v>
      </c>
      <c r="AE17" s="205">
        <v>5</v>
      </c>
      <c r="AF17" s="205">
        <v>5</v>
      </c>
      <c r="AG17" s="205">
        <v>5</v>
      </c>
      <c r="AH17" s="205">
        <v>5</v>
      </c>
      <c r="AI17" s="205">
        <v>5</v>
      </c>
      <c r="AJ17" s="205">
        <v>5</v>
      </c>
      <c r="AK17" s="205">
        <v>5</v>
      </c>
      <c r="AL17" s="205">
        <v>5</v>
      </c>
      <c r="AM17" s="205">
        <v>5</v>
      </c>
      <c r="AN17" s="205">
        <v>5</v>
      </c>
      <c r="AO17" s="205">
        <v>5</v>
      </c>
      <c r="AP17" s="205">
        <v>5</v>
      </c>
      <c r="AQ17" s="205">
        <v>5</v>
      </c>
      <c r="AR17" s="205">
        <v>5</v>
      </c>
    </row>
    <row r="18" spans="1:44" s="9" customFormat="1" ht="15" x14ac:dyDescent="0.2">
      <c r="A18" s="106" t="s">
        <v>51</v>
      </c>
      <c r="B18" s="94">
        <v>0.11</v>
      </c>
      <c r="C18" s="95">
        <v>0.127</v>
      </c>
      <c r="D18" s="94">
        <v>0.11</v>
      </c>
      <c r="E18" s="94">
        <v>0.11</v>
      </c>
      <c r="F18" s="94">
        <v>0.11</v>
      </c>
      <c r="G18" s="95">
        <v>0.127</v>
      </c>
      <c r="H18" s="94">
        <v>0.11</v>
      </c>
      <c r="I18" s="94">
        <v>0.11</v>
      </c>
      <c r="J18" s="94">
        <v>0.11</v>
      </c>
      <c r="K18" s="101">
        <v>0.24</v>
      </c>
      <c r="L18" s="95">
        <v>0.35</v>
      </c>
      <c r="M18" s="224">
        <v>2</v>
      </c>
      <c r="N18" s="225">
        <v>2</v>
      </c>
      <c r="O18" s="204">
        <v>1</v>
      </c>
      <c r="P18" s="204">
        <v>1</v>
      </c>
      <c r="Q18" s="204">
        <v>1</v>
      </c>
      <c r="R18" s="204">
        <v>1</v>
      </c>
      <c r="S18" s="204">
        <v>1</v>
      </c>
      <c r="T18" s="218">
        <v>1</v>
      </c>
      <c r="U18" s="219">
        <v>1</v>
      </c>
      <c r="V18" s="219">
        <v>1</v>
      </c>
      <c r="W18" s="220">
        <v>1</v>
      </c>
      <c r="X18" s="204">
        <v>1</v>
      </c>
      <c r="Y18" s="204">
        <v>1</v>
      </c>
      <c r="Z18" s="204">
        <v>1</v>
      </c>
      <c r="AA18" s="204">
        <v>1</v>
      </c>
      <c r="AB18" s="204">
        <v>1</v>
      </c>
      <c r="AC18" s="204">
        <v>1</v>
      </c>
      <c r="AD18" s="204">
        <v>1</v>
      </c>
      <c r="AE18" s="204">
        <v>1</v>
      </c>
      <c r="AF18" s="204">
        <v>1</v>
      </c>
      <c r="AG18" s="204">
        <v>1</v>
      </c>
      <c r="AH18" s="204">
        <v>1</v>
      </c>
      <c r="AI18" s="204">
        <v>1</v>
      </c>
      <c r="AJ18" s="204">
        <v>1</v>
      </c>
      <c r="AK18" s="204">
        <v>1</v>
      </c>
      <c r="AL18" s="204">
        <v>1</v>
      </c>
      <c r="AM18" s="204">
        <v>1</v>
      </c>
      <c r="AN18" s="204">
        <v>1</v>
      </c>
      <c r="AO18" s="204">
        <v>1</v>
      </c>
      <c r="AP18" s="204">
        <v>1</v>
      </c>
      <c r="AQ18" s="204">
        <v>1</v>
      </c>
      <c r="AR18" s="204">
        <v>1</v>
      </c>
    </row>
    <row r="19" spans="1:44" s="9" customFormat="1" ht="15" x14ac:dyDescent="0.2">
      <c r="A19" s="106" t="s">
        <v>52</v>
      </c>
      <c r="B19" s="94">
        <v>0.12</v>
      </c>
      <c r="C19" s="95">
        <v>0.109</v>
      </c>
      <c r="D19" s="94">
        <v>0.12</v>
      </c>
      <c r="E19" s="94">
        <v>0.12</v>
      </c>
      <c r="F19" s="94">
        <v>0.12</v>
      </c>
      <c r="G19" s="95">
        <v>0.109</v>
      </c>
      <c r="H19" s="94">
        <v>0.12</v>
      </c>
      <c r="I19" s="94">
        <v>0.12</v>
      </c>
      <c r="J19" s="94">
        <v>0.12</v>
      </c>
      <c r="K19" s="94">
        <v>0.1</v>
      </c>
      <c r="L19" s="95">
        <v>0.12</v>
      </c>
      <c r="M19" s="224">
        <v>1</v>
      </c>
      <c r="N19" s="225">
        <v>1</v>
      </c>
      <c r="O19" s="205">
        <v>2</v>
      </c>
      <c r="P19" s="205">
        <v>2</v>
      </c>
      <c r="Q19" s="205">
        <v>2</v>
      </c>
      <c r="R19" s="205">
        <v>2</v>
      </c>
      <c r="S19" s="205">
        <v>2</v>
      </c>
      <c r="T19" s="221">
        <v>2</v>
      </c>
      <c r="U19" s="222">
        <v>2</v>
      </c>
      <c r="V19" s="222">
        <v>2</v>
      </c>
      <c r="W19" s="223">
        <v>2</v>
      </c>
      <c r="X19" s="205">
        <v>2</v>
      </c>
      <c r="Y19" s="205">
        <v>2</v>
      </c>
      <c r="Z19" s="205">
        <v>2</v>
      </c>
      <c r="AA19" s="205">
        <v>2</v>
      </c>
      <c r="AB19" s="205">
        <v>2</v>
      </c>
      <c r="AC19" s="205">
        <v>2</v>
      </c>
      <c r="AD19" s="205">
        <v>2</v>
      </c>
      <c r="AE19" s="205">
        <v>2</v>
      </c>
      <c r="AF19" s="205">
        <v>2</v>
      </c>
      <c r="AG19" s="205">
        <v>2</v>
      </c>
      <c r="AH19" s="205">
        <v>2</v>
      </c>
      <c r="AI19" s="205">
        <v>2</v>
      </c>
      <c r="AJ19" s="205">
        <v>2</v>
      </c>
      <c r="AK19" s="205">
        <v>2</v>
      </c>
      <c r="AL19" s="205">
        <v>2</v>
      </c>
      <c r="AM19" s="205">
        <v>2</v>
      </c>
      <c r="AN19" s="205">
        <v>2</v>
      </c>
      <c r="AO19" s="205">
        <v>2</v>
      </c>
      <c r="AP19" s="205">
        <v>2</v>
      </c>
      <c r="AQ19" s="205">
        <v>2</v>
      </c>
      <c r="AR19" s="205">
        <v>2</v>
      </c>
    </row>
    <row r="20" spans="1:44" s="9" customFormat="1" ht="15" x14ac:dyDescent="0.2">
      <c r="A20" s="106" t="s">
        <v>53</v>
      </c>
      <c r="B20" s="94">
        <v>0.08</v>
      </c>
      <c r="C20" s="95">
        <v>6.2658629150474848E-2</v>
      </c>
      <c r="D20" s="94">
        <v>0.08</v>
      </c>
      <c r="E20" s="94">
        <v>0.08</v>
      </c>
      <c r="F20" s="94">
        <v>0.08</v>
      </c>
      <c r="G20" s="95">
        <v>6.2658629150474848E-2</v>
      </c>
      <c r="H20" s="94">
        <v>0.08</v>
      </c>
      <c r="I20" s="94">
        <v>0.08</v>
      </c>
      <c r="J20" s="94">
        <v>0.08</v>
      </c>
      <c r="K20" s="94">
        <v>0.09</v>
      </c>
      <c r="L20" s="95">
        <v>0.08</v>
      </c>
      <c r="M20" s="224">
        <v>0.5</v>
      </c>
      <c r="N20" s="225">
        <v>0.5</v>
      </c>
      <c r="O20" s="205">
        <v>3</v>
      </c>
      <c r="P20" s="205">
        <v>3</v>
      </c>
      <c r="Q20" s="205">
        <v>3</v>
      </c>
      <c r="R20" s="205">
        <v>3</v>
      </c>
      <c r="S20" s="205">
        <v>3</v>
      </c>
      <c r="T20" s="221">
        <v>3</v>
      </c>
      <c r="U20" s="222">
        <v>3</v>
      </c>
      <c r="V20" s="222">
        <v>3</v>
      </c>
      <c r="W20" s="223">
        <v>3</v>
      </c>
      <c r="X20" s="205">
        <v>3</v>
      </c>
      <c r="Y20" s="205">
        <v>3</v>
      </c>
      <c r="Z20" s="205">
        <v>3</v>
      </c>
      <c r="AA20" s="205">
        <v>3</v>
      </c>
      <c r="AB20" s="205">
        <v>3</v>
      </c>
      <c r="AC20" s="205">
        <v>3</v>
      </c>
      <c r="AD20" s="205">
        <v>3</v>
      </c>
      <c r="AE20" s="205">
        <v>3</v>
      </c>
      <c r="AF20" s="205">
        <v>3</v>
      </c>
      <c r="AG20" s="205">
        <v>3</v>
      </c>
      <c r="AH20" s="205">
        <v>3</v>
      </c>
      <c r="AI20" s="205">
        <v>3</v>
      </c>
      <c r="AJ20" s="205">
        <v>3</v>
      </c>
      <c r="AK20" s="205">
        <v>3</v>
      </c>
      <c r="AL20" s="205">
        <v>3</v>
      </c>
      <c r="AM20" s="205">
        <v>3</v>
      </c>
      <c r="AN20" s="205">
        <v>3</v>
      </c>
      <c r="AO20" s="205">
        <v>3</v>
      </c>
      <c r="AP20" s="205">
        <v>3</v>
      </c>
      <c r="AQ20" s="205">
        <v>3</v>
      </c>
      <c r="AR20" s="205">
        <v>3</v>
      </c>
    </row>
    <row r="21" spans="1:44" s="9" customFormat="1" ht="15" x14ac:dyDescent="0.2">
      <c r="A21" s="106" t="s">
        <v>54</v>
      </c>
      <c r="B21" s="94">
        <v>0.08</v>
      </c>
      <c r="C21" s="95">
        <v>6.5359566821275444E-2</v>
      </c>
      <c r="D21" s="94">
        <v>0.08</v>
      </c>
      <c r="E21" s="94">
        <v>0.08</v>
      </c>
      <c r="F21" s="94">
        <v>0.08</v>
      </c>
      <c r="G21" s="95">
        <v>6.5359566821275444E-2</v>
      </c>
      <c r="H21" s="94">
        <v>0.08</v>
      </c>
      <c r="I21" s="94">
        <v>0.08</v>
      </c>
      <c r="J21" s="94">
        <v>0.08</v>
      </c>
      <c r="K21" s="94">
        <v>0.16</v>
      </c>
      <c r="L21" s="95">
        <v>0.08</v>
      </c>
      <c r="M21" s="224">
        <v>0.4</v>
      </c>
      <c r="N21" s="225">
        <v>0.5</v>
      </c>
      <c r="O21" s="205">
        <v>4</v>
      </c>
      <c r="P21" s="205">
        <v>4</v>
      </c>
      <c r="Q21" s="205">
        <v>4</v>
      </c>
      <c r="R21" s="205">
        <v>4</v>
      </c>
      <c r="S21" s="205">
        <v>4</v>
      </c>
      <c r="T21" s="221">
        <v>4</v>
      </c>
      <c r="U21" s="222">
        <v>4</v>
      </c>
      <c r="V21" s="222">
        <v>4</v>
      </c>
      <c r="W21" s="223">
        <v>4</v>
      </c>
      <c r="X21" s="205">
        <v>4</v>
      </c>
      <c r="Y21" s="205">
        <v>4</v>
      </c>
      <c r="Z21" s="205">
        <v>4</v>
      </c>
      <c r="AA21" s="205">
        <v>4</v>
      </c>
      <c r="AB21" s="205">
        <v>4</v>
      </c>
      <c r="AC21" s="205">
        <v>4</v>
      </c>
      <c r="AD21" s="205">
        <v>4</v>
      </c>
      <c r="AE21" s="205">
        <v>4</v>
      </c>
      <c r="AF21" s="205">
        <v>4</v>
      </c>
      <c r="AG21" s="205">
        <v>4</v>
      </c>
      <c r="AH21" s="205">
        <v>4</v>
      </c>
      <c r="AI21" s="205">
        <v>4</v>
      </c>
      <c r="AJ21" s="205">
        <v>4</v>
      </c>
      <c r="AK21" s="205">
        <v>4</v>
      </c>
      <c r="AL21" s="205">
        <v>4</v>
      </c>
      <c r="AM21" s="205">
        <v>4</v>
      </c>
      <c r="AN21" s="205">
        <v>4</v>
      </c>
      <c r="AO21" s="205">
        <v>4</v>
      </c>
      <c r="AP21" s="205">
        <v>4</v>
      </c>
      <c r="AQ21" s="205">
        <v>4</v>
      </c>
      <c r="AR21" s="205">
        <v>4</v>
      </c>
    </row>
    <row r="22" spans="1:44" s="9" customFormat="1" ht="15" x14ac:dyDescent="0.2">
      <c r="A22" s="106" t="s">
        <v>55</v>
      </c>
      <c r="B22" s="94">
        <v>0.18</v>
      </c>
      <c r="C22" s="95">
        <v>0.183</v>
      </c>
      <c r="D22" s="94">
        <v>0.18</v>
      </c>
      <c r="E22" s="94">
        <v>0.18</v>
      </c>
      <c r="F22" s="94">
        <v>0.18</v>
      </c>
      <c r="G22" s="95">
        <v>0.183</v>
      </c>
      <c r="H22" s="94">
        <v>0.18</v>
      </c>
      <c r="I22" s="94">
        <v>0.18</v>
      </c>
      <c r="J22" s="94">
        <v>0.18</v>
      </c>
      <c r="K22" s="94">
        <v>0.22</v>
      </c>
      <c r="L22" s="95">
        <v>0.18</v>
      </c>
      <c r="M22" s="224">
        <v>0.4</v>
      </c>
      <c r="N22" s="225">
        <v>0.5</v>
      </c>
      <c r="O22" s="205">
        <v>5</v>
      </c>
      <c r="P22" s="205">
        <v>5</v>
      </c>
      <c r="Q22" s="205">
        <v>5</v>
      </c>
      <c r="R22" s="205">
        <v>5</v>
      </c>
      <c r="S22" s="205">
        <v>5</v>
      </c>
      <c r="T22" s="221">
        <v>5</v>
      </c>
      <c r="U22" s="222">
        <v>5</v>
      </c>
      <c r="V22" s="222">
        <v>5</v>
      </c>
      <c r="W22" s="223">
        <v>5</v>
      </c>
      <c r="X22" s="205">
        <v>5</v>
      </c>
      <c r="Y22" s="205">
        <v>5</v>
      </c>
      <c r="Z22" s="205">
        <v>5</v>
      </c>
      <c r="AA22" s="205">
        <v>5</v>
      </c>
      <c r="AB22" s="205">
        <v>5</v>
      </c>
      <c r="AC22" s="205">
        <v>5</v>
      </c>
      <c r="AD22" s="205">
        <v>5</v>
      </c>
      <c r="AE22" s="205">
        <v>5</v>
      </c>
      <c r="AF22" s="205">
        <v>5</v>
      </c>
      <c r="AG22" s="205">
        <v>5</v>
      </c>
      <c r="AH22" s="205">
        <v>5</v>
      </c>
      <c r="AI22" s="205">
        <v>5</v>
      </c>
      <c r="AJ22" s="205">
        <v>5</v>
      </c>
      <c r="AK22" s="205">
        <v>5</v>
      </c>
      <c r="AL22" s="205">
        <v>5</v>
      </c>
      <c r="AM22" s="205">
        <v>5</v>
      </c>
      <c r="AN22" s="205">
        <v>5</v>
      </c>
      <c r="AO22" s="205">
        <v>5</v>
      </c>
      <c r="AP22" s="205">
        <v>5</v>
      </c>
      <c r="AQ22" s="205">
        <v>5</v>
      </c>
      <c r="AR22" s="205">
        <v>5</v>
      </c>
    </row>
    <row r="23" spans="1:44" s="9" customFormat="1" ht="15" x14ac:dyDescent="0.2">
      <c r="A23" s="106" t="s">
        <v>56</v>
      </c>
      <c r="B23" s="94">
        <v>0.12</v>
      </c>
      <c r="C23" s="95">
        <v>7.4334919140947586E-2</v>
      </c>
      <c r="D23" s="94">
        <v>0.12</v>
      </c>
      <c r="E23" s="94">
        <v>0.12</v>
      </c>
      <c r="F23" s="94">
        <v>0.12</v>
      </c>
      <c r="G23" s="95">
        <v>7.4334919140947586E-2</v>
      </c>
      <c r="H23" s="94">
        <v>0.12</v>
      </c>
      <c r="I23" s="94">
        <v>0.12</v>
      </c>
      <c r="J23" s="94">
        <v>0.12</v>
      </c>
      <c r="K23" s="94">
        <v>0.09</v>
      </c>
      <c r="L23" s="95">
        <v>0.12</v>
      </c>
      <c r="M23" s="224">
        <v>0.4</v>
      </c>
      <c r="N23" s="225">
        <v>0.5</v>
      </c>
      <c r="O23" s="204">
        <v>1</v>
      </c>
      <c r="P23" s="204">
        <v>1</v>
      </c>
      <c r="Q23" s="204">
        <v>1</v>
      </c>
      <c r="R23" s="204">
        <v>1</v>
      </c>
      <c r="S23" s="204">
        <v>1</v>
      </c>
      <c r="T23" s="218">
        <v>1</v>
      </c>
      <c r="U23" s="219">
        <v>1</v>
      </c>
      <c r="V23" s="219">
        <v>1</v>
      </c>
      <c r="W23" s="220">
        <v>1</v>
      </c>
      <c r="X23" s="204">
        <v>1</v>
      </c>
      <c r="Y23" s="204">
        <v>1</v>
      </c>
      <c r="Z23" s="204">
        <v>1</v>
      </c>
      <c r="AA23" s="204">
        <v>1</v>
      </c>
      <c r="AB23" s="204">
        <v>1</v>
      </c>
      <c r="AC23" s="204">
        <v>1</v>
      </c>
      <c r="AD23" s="204">
        <v>1</v>
      </c>
      <c r="AE23" s="204">
        <v>1</v>
      </c>
      <c r="AF23" s="204">
        <v>1</v>
      </c>
      <c r="AG23" s="204">
        <v>1</v>
      </c>
      <c r="AH23" s="204">
        <v>1</v>
      </c>
      <c r="AI23" s="204">
        <v>1</v>
      </c>
      <c r="AJ23" s="204">
        <v>1</v>
      </c>
      <c r="AK23" s="204">
        <v>1</v>
      </c>
      <c r="AL23" s="204">
        <v>1</v>
      </c>
      <c r="AM23" s="204">
        <v>1</v>
      </c>
      <c r="AN23" s="204">
        <v>1</v>
      </c>
      <c r="AO23" s="204">
        <v>1</v>
      </c>
      <c r="AP23" s="204">
        <v>1</v>
      </c>
      <c r="AQ23" s="204">
        <v>1</v>
      </c>
      <c r="AR23" s="204">
        <v>1</v>
      </c>
    </row>
    <row r="24" spans="1:44" s="9" customFormat="1" ht="15" x14ac:dyDescent="0.2">
      <c r="A24" s="106" t="s">
        <v>57</v>
      </c>
      <c r="B24" s="94">
        <v>0.14000000000000001</v>
      </c>
      <c r="C24" s="95">
        <v>0.14000000000000001</v>
      </c>
      <c r="D24" s="94">
        <v>0.14000000000000001</v>
      </c>
      <c r="E24" s="94">
        <v>0.14000000000000001</v>
      </c>
      <c r="F24" s="94">
        <v>0.14000000000000001</v>
      </c>
      <c r="G24" s="95">
        <v>0.14000000000000001</v>
      </c>
      <c r="H24" s="94">
        <v>0.14000000000000001</v>
      </c>
      <c r="I24" s="94">
        <v>0.14000000000000001</v>
      </c>
      <c r="J24" s="94">
        <v>0.14000000000000001</v>
      </c>
      <c r="K24" s="94">
        <v>0.11</v>
      </c>
      <c r="L24" s="95">
        <v>0.14000000000000001</v>
      </c>
      <c r="M24" s="224">
        <v>0.4</v>
      </c>
      <c r="N24" s="225">
        <v>0.5</v>
      </c>
      <c r="O24" s="205">
        <v>2</v>
      </c>
      <c r="P24" s="205">
        <v>2</v>
      </c>
      <c r="Q24" s="205">
        <v>2</v>
      </c>
      <c r="R24" s="205">
        <v>2</v>
      </c>
      <c r="S24" s="205">
        <v>2</v>
      </c>
      <c r="T24" s="221">
        <v>2</v>
      </c>
      <c r="U24" s="222">
        <v>2</v>
      </c>
      <c r="V24" s="222">
        <v>2</v>
      </c>
      <c r="W24" s="223">
        <v>2</v>
      </c>
      <c r="X24" s="205">
        <v>2</v>
      </c>
      <c r="Y24" s="205">
        <v>2</v>
      </c>
      <c r="Z24" s="205">
        <v>2</v>
      </c>
      <c r="AA24" s="205">
        <v>2</v>
      </c>
      <c r="AB24" s="205">
        <v>2</v>
      </c>
      <c r="AC24" s="205">
        <v>2</v>
      </c>
      <c r="AD24" s="205">
        <v>2</v>
      </c>
      <c r="AE24" s="205">
        <v>2</v>
      </c>
      <c r="AF24" s="205">
        <v>2</v>
      </c>
      <c r="AG24" s="205">
        <v>2</v>
      </c>
      <c r="AH24" s="205">
        <v>2</v>
      </c>
      <c r="AI24" s="205">
        <v>2</v>
      </c>
      <c r="AJ24" s="205">
        <v>2</v>
      </c>
      <c r="AK24" s="205">
        <v>2</v>
      </c>
      <c r="AL24" s="205">
        <v>2</v>
      </c>
      <c r="AM24" s="205">
        <v>2</v>
      </c>
      <c r="AN24" s="205">
        <v>2</v>
      </c>
      <c r="AO24" s="205">
        <v>2</v>
      </c>
      <c r="AP24" s="205">
        <v>2</v>
      </c>
      <c r="AQ24" s="205">
        <v>2</v>
      </c>
      <c r="AR24" s="205">
        <v>2</v>
      </c>
    </row>
    <row r="25" spans="1:44" s="9" customFormat="1" ht="15" x14ac:dyDescent="0.2">
      <c r="A25" s="106" t="s">
        <v>58</v>
      </c>
      <c r="B25" s="94">
        <v>0.14000000000000001</v>
      </c>
      <c r="C25" s="95">
        <v>0.159</v>
      </c>
      <c r="D25" s="94">
        <v>0.14000000000000001</v>
      </c>
      <c r="E25" s="94">
        <v>0.14000000000000001</v>
      </c>
      <c r="F25" s="94">
        <v>0.14000000000000001</v>
      </c>
      <c r="G25" s="95">
        <v>0.159</v>
      </c>
      <c r="H25" s="94">
        <v>0.14000000000000001</v>
      </c>
      <c r="I25" s="94">
        <v>0.14000000000000001</v>
      </c>
      <c r="J25" s="94">
        <v>0.14000000000000001</v>
      </c>
      <c r="K25" s="94">
        <v>0.16</v>
      </c>
      <c r="L25" s="95">
        <v>0.14000000000000001</v>
      </c>
      <c r="M25" s="224">
        <v>0.4</v>
      </c>
      <c r="N25" s="225">
        <v>0.5</v>
      </c>
      <c r="O25" s="205">
        <v>3</v>
      </c>
      <c r="P25" s="205">
        <v>3</v>
      </c>
      <c r="Q25" s="205">
        <v>3</v>
      </c>
      <c r="R25" s="205">
        <v>3</v>
      </c>
      <c r="S25" s="205">
        <v>3</v>
      </c>
      <c r="T25" s="221">
        <v>3</v>
      </c>
      <c r="U25" s="222">
        <v>3</v>
      </c>
      <c r="V25" s="222">
        <v>3</v>
      </c>
      <c r="W25" s="223">
        <v>3</v>
      </c>
      <c r="X25" s="205">
        <v>3</v>
      </c>
      <c r="Y25" s="205">
        <v>3</v>
      </c>
      <c r="Z25" s="205">
        <v>3</v>
      </c>
      <c r="AA25" s="205">
        <v>3</v>
      </c>
      <c r="AB25" s="205">
        <v>3</v>
      </c>
      <c r="AC25" s="205">
        <v>3</v>
      </c>
      <c r="AD25" s="205">
        <v>3</v>
      </c>
      <c r="AE25" s="205">
        <v>3</v>
      </c>
      <c r="AF25" s="205">
        <v>3</v>
      </c>
      <c r="AG25" s="205">
        <v>3</v>
      </c>
      <c r="AH25" s="205">
        <v>3</v>
      </c>
      <c r="AI25" s="205">
        <v>3</v>
      </c>
      <c r="AJ25" s="205">
        <v>3</v>
      </c>
      <c r="AK25" s="205">
        <v>3</v>
      </c>
      <c r="AL25" s="205">
        <v>3</v>
      </c>
      <c r="AM25" s="205">
        <v>3</v>
      </c>
      <c r="AN25" s="205">
        <v>3</v>
      </c>
      <c r="AO25" s="205">
        <v>3</v>
      </c>
      <c r="AP25" s="205">
        <v>3</v>
      </c>
      <c r="AQ25" s="205">
        <v>3</v>
      </c>
      <c r="AR25" s="205">
        <v>3</v>
      </c>
    </row>
    <row r="26" spans="1:44" s="9" customFormat="1" ht="15" x14ac:dyDescent="0.2">
      <c r="A26" s="106" t="s">
        <v>59</v>
      </c>
      <c r="B26" s="94">
        <v>0.02</v>
      </c>
      <c r="C26" s="95">
        <v>7.5266845671774496E-2</v>
      </c>
      <c r="D26" s="94">
        <v>0.02</v>
      </c>
      <c r="E26" s="94">
        <v>0.02</v>
      </c>
      <c r="F26" s="94">
        <v>0.02</v>
      </c>
      <c r="G26" s="95">
        <v>7.5266845671774496E-2</v>
      </c>
      <c r="H26" s="94">
        <v>0.02</v>
      </c>
      <c r="I26" s="94">
        <v>0.02</v>
      </c>
      <c r="J26" s="94">
        <v>0.02</v>
      </c>
      <c r="K26" s="94">
        <v>0.04</v>
      </c>
      <c r="L26" s="95">
        <v>0.02</v>
      </c>
      <c r="M26" s="224">
        <v>0.4</v>
      </c>
      <c r="N26" s="225">
        <v>0.5</v>
      </c>
      <c r="O26" s="205">
        <v>4</v>
      </c>
      <c r="P26" s="205">
        <v>4</v>
      </c>
      <c r="Q26" s="205">
        <v>4</v>
      </c>
      <c r="R26" s="205">
        <v>4</v>
      </c>
      <c r="S26" s="205">
        <v>4</v>
      </c>
      <c r="T26" s="221">
        <v>4</v>
      </c>
      <c r="U26" s="222">
        <v>4</v>
      </c>
      <c r="V26" s="222">
        <v>4</v>
      </c>
      <c r="W26" s="223">
        <v>4</v>
      </c>
      <c r="X26" s="205">
        <v>4</v>
      </c>
      <c r="Y26" s="205">
        <v>4</v>
      </c>
      <c r="Z26" s="205">
        <v>4</v>
      </c>
      <c r="AA26" s="205">
        <v>4</v>
      </c>
      <c r="AB26" s="205">
        <v>4</v>
      </c>
      <c r="AC26" s="205">
        <v>4</v>
      </c>
      <c r="AD26" s="205">
        <v>4</v>
      </c>
      <c r="AE26" s="205">
        <v>4</v>
      </c>
      <c r="AF26" s="205">
        <v>4</v>
      </c>
      <c r="AG26" s="205">
        <v>4</v>
      </c>
      <c r="AH26" s="205">
        <v>4</v>
      </c>
      <c r="AI26" s="205">
        <v>4</v>
      </c>
      <c r="AJ26" s="205">
        <v>4</v>
      </c>
      <c r="AK26" s="205">
        <v>4</v>
      </c>
      <c r="AL26" s="205">
        <v>4</v>
      </c>
      <c r="AM26" s="205">
        <v>4</v>
      </c>
      <c r="AN26" s="205">
        <v>4</v>
      </c>
      <c r="AO26" s="205">
        <v>4</v>
      </c>
      <c r="AP26" s="205">
        <v>4</v>
      </c>
      <c r="AQ26" s="205">
        <v>4</v>
      </c>
      <c r="AR26" s="205">
        <v>4</v>
      </c>
    </row>
    <row r="27" spans="1:44" s="9" customFormat="1" ht="15" x14ac:dyDescent="0.2">
      <c r="A27" s="106" t="s">
        <v>60</v>
      </c>
      <c r="B27" s="94">
        <v>0.16</v>
      </c>
      <c r="C27" s="95">
        <v>0.16800000000000001</v>
      </c>
      <c r="D27" s="94">
        <v>0.16</v>
      </c>
      <c r="E27" s="94">
        <v>0.16</v>
      </c>
      <c r="F27" s="94">
        <v>0.16</v>
      </c>
      <c r="G27" s="95">
        <v>0.16800000000000001</v>
      </c>
      <c r="H27" s="94">
        <v>0.16</v>
      </c>
      <c r="I27" s="94">
        <v>0.16</v>
      </c>
      <c r="J27" s="94">
        <v>0.16</v>
      </c>
      <c r="K27" s="94">
        <v>0.18</v>
      </c>
      <c r="L27" s="95">
        <v>0.16</v>
      </c>
      <c r="M27" s="224">
        <v>0.4</v>
      </c>
      <c r="N27" s="225">
        <v>0.5</v>
      </c>
      <c r="O27" s="205">
        <v>5</v>
      </c>
      <c r="P27" s="205">
        <v>5</v>
      </c>
      <c r="Q27" s="205">
        <v>5</v>
      </c>
      <c r="R27" s="205">
        <v>5</v>
      </c>
      <c r="S27" s="205">
        <v>5</v>
      </c>
      <c r="T27" s="221">
        <v>5</v>
      </c>
      <c r="U27" s="222">
        <v>5</v>
      </c>
      <c r="V27" s="222">
        <v>5</v>
      </c>
      <c r="W27" s="223">
        <v>5</v>
      </c>
      <c r="X27" s="205">
        <v>5</v>
      </c>
      <c r="Y27" s="205">
        <v>5</v>
      </c>
      <c r="Z27" s="205">
        <v>5</v>
      </c>
      <c r="AA27" s="205">
        <v>5</v>
      </c>
      <c r="AB27" s="205">
        <v>5</v>
      </c>
      <c r="AC27" s="205">
        <v>5</v>
      </c>
      <c r="AD27" s="205">
        <v>5</v>
      </c>
      <c r="AE27" s="205">
        <v>5</v>
      </c>
      <c r="AF27" s="205">
        <v>5</v>
      </c>
      <c r="AG27" s="205">
        <v>5</v>
      </c>
      <c r="AH27" s="205">
        <v>5</v>
      </c>
      <c r="AI27" s="205">
        <v>5</v>
      </c>
      <c r="AJ27" s="205">
        <v>5</v>
      </c>
      <c r="AK27" s="205">
        <v>5</v>
      </c>
      <c r="AL27" s="205">
        <v>5</v>
      </c>
      <c r="AM27" s="205">
        <v>5</v>
      </c>
      <c r="AN27" s="205">
        <v>5</v>
      </c>
      <c r="AO27" s="205">
        <v>5</v>
      </c>
      <c r="AP27" s="205">
        <v>5</v>
      </c>
      <c r="AQ27" s="205">
        <v>5</v>
      </c>
      <c r="AR27" s="205">
        <v>5</v>
      </c>
    </row>
    <row r="28" spans="1:44" s="9" customFormat="1" ht="15" x14ac:dyDescent="0.2">
      <c r="A28" s="106" t="s">
        <v>61</v>
      </c>
      <c r="B28" s="94">
        <v>0.12</v>
      </c>
      <c r="C28" s="95">
        <v>6.750103599861669E-2</v>
      </c>
      <c r="D28" s="94">
        <v>0.12</v>
      </c>
      <c r="E28" s="94">
        <v>0.12</v>
      </c>
      <c r="F28" s="94">
        <v>0.12</v>
      </c>
      <c r="G28" s="95">
        <v>6.750103599861669E-2</v>
      </c>
      <c r="H28" s="94">
        <v>0.12</v>
      </c>
      <c r="I28" s="94">
        <v>0.12</v>
      </c>
      <c r="J28" s="94">
        <v>0.12</v>
      </c>
      <c r="K28" s="94">
        <v>0.13</v>
      </c>
      <c r="L28" s="95">
        <v>0.12</v>
      </c>
      <c r="M28" s="224">
        <v>0.4</v>
      </c>
      <c r="N28" s="225">
        <v>0.5</v>
      </c>
      <c r="O28" s="204">
        <v>1</v>
      </c>
      <c r="P28" s="204">
        <v>1</v>
      </c>
      <c r="Q28" s="204">
        <v>1</v>
      </c>
      <c r="R28" s="204">
        <v>1</v>
      </c>
      <c r="S28" s="204">
        <v>1</v>
      </c>
      <c r="T28" s="218">
        <v>1</v>
      </c>
      <c r="U28" s="219">
        <v>1</v>
      </c>
      <c r="V28" s="219">
        <v>1</v>
      </c>
      <c r="W28" s="220">
        <v>1</v>
      </c>
      <c r="X28" s="204">
        <v>1</v>
      </c>
      <c r="Y28" s="204">
        <v>1</v>
      </c>
      <c r="Z28" s="204">
        <v>1</v>
      </c>
      <c r="AA28" s="204">
        <v>1</v>
      </c>
      <c r="AB28" s="204">
        <v>1</v>
      </c>
      <c r="AC28" s="204">
        <v>1</v>
      </c>
      <c r="AD28" s="204">
        <v>1</v>
      </c>
      <c r="AE28" s="204">
        <v>1</v>
      </c>
      <c r="AF28" s="204">
        <v>1</v>
      </c>
      <c r="AG28" s="204">
        <v>1</v>
      </c>
      <c r="AH28" s="204">
        <v>1</v>
      </c>
      <c r="AI28" s="204">
        <v>1</v>
      </c>
      <c r="AJ28" s="204">
        <v>1</v>
      </c>
      <c r="AK28" s="204">
        <v>1</v>
      </c>
      <c r="AL28" s="204">
        <v>1</v>
      </c>
      <c r="AM28" s="204">
        <v>1</v>
      </c>
      <c r="AN28" s="204">
        <v>1</v>
      </c>
      <c r="AO28" s="204">
        <v>1</v>
      </c>
      <c r="AP28" s="204">
        <v>1</v>
      </c>
      <c r="AQ28" s="204">
        <v>1</v>
      </c>
      <c r="AR28" s="204">
        <v>1</v>
      </c>
    </row>
    <row r="29" spans="1:44" s="9" customFormat="1" ht="15" x14ac:dyDescent="0.2">
      <c r="A29" s="106" t="s">
        <v>62</v>
      </c>
      <c r="B29" s="94">
        <v>0.09</v>
      </c>
      <c r="C29" s="95">
        <v>8.8000000000000009E-2</v>
      </c>
      <c r="D29" s="94">
        <v>0.09</v>
      </c>
      <c r="E29" s="94">
        <v>0.09</v>
      </c>
      <c r="F29" s="94">
        <v>0.09</v>
      </c>
      <c r="G29" s="95">
        <v>8.8000000000000009E-2</v>
      </c>
      <c r="H29" s="94">
        <v>0.09</v>
      </c>
      <c r="I29" s="94">
        <v>0.09</v>
      </c>
      <c r="J29" s="94">
        <v>0.09</v>
      </c>
      <c r="K29" s="94">
        <v>0.11</v>
      </c>
      <c r="L29" s="95">
        <v>0.09</v>
      </c>
      <c r="M29" s="224">
        <v>0.4</v>
      </c>
      <c r="N29" s="225">
        <v>0.5</v>
      </c>
      <c r="O29" s="205">
        <v>2</v>
      </c>
      <c r="P29" s="205">
        <v>2</v>
      </c>
      <c r="Q29" s="205">
        <v>2</v>
      </c>
      <c r="R29" s="205">
        <v>2</v>
      </c>
      <c r="S29" s="205">
        <v>2</v>
      </c>
      <c r="T29" s="221">
        <v>2</v>
      </c>
      <c r="U29" s="222">
        <v>2</v>
      </c>
      <c r="V29" s="222">
        <v>2</v>
      </c>
      <c r="W29" s="223">
        <v>2</v>
      </c>
      <c r="X29" s="205">
        <v>2</v>
      </c>
      <c r="Y29" s="205">
        <v>2</v>
      </c>
      <c r="Z29" s="205">
        <v>2</v>
      </c>
      <c r="AA29" s="205">
        <v>2</v>
      </c>
      <c r="AB29" s="205">
        <v>2</v>
      </c>
      <c r="AC29" s="205">
        <v>2</v>
      </c>
      <c r="AD29" s="205">
        <v>2</v>
      </c>
      <c r="AE29" s="205">
        <v>2</v>
      </c>
      <c r="AF29" s="205">
        <v>2</v>
      </c>
      <c r="AG29" s="205">
        <v>2</v>
      </c>
      <c r="AH29" s="205">
        <v>2</v>
      </c>
      <c r="AI29" s="205">
        <v>2</v>
      </c>
      <c r="AJ29" s="205">
        <v>2</v>
      </c>
      <c r="AK29" s="205">
        <v>2</v>
      </c>
      <c r="AL29" s="205">
        <v>2</v>
      </c>
      <c r="AM29" s="205">
        <v>2</v>
      </c>
      <c r="AN29" s="205">
        <v>2</v>
      </c>
      <c r="AO29" s="205">
        <v>2</v>
      </c>
      <c r="AP29" s="205">
        <v>2</v>
      </c>
      <c r="AQ29" s="205">
        <v>2</v>
      </c>
      <c r="AR29" s="205">
        <v>2</v>
      </c>
    </row>
    <row r="30" spans="1:44" s="9" customFormat="1" ht="15" x14ac:dyDescent="0.2">
      <c r="A30" s="106" t="s">
        <v>63</v>
      </c>
      <c r="B30" s="94">
        <v>0.09</v>
      </c>
      <c r="C30" s="95">
        <v>9.4444844103495351E-2</v>
      </c>
      <c r="D30" s="94">
        <v>0.09</v>
      </c>
      <c r="E30" s="94">
        <v>0.09</v>
      </c>
      <c r="F30" s="94">
        <v>0.09</v>
      </c>
      <c r="G30" s="95">
        <v>9.4444844103495351E-2</v>
      </c>
      <c r="H30" s="94">
        <v>0.09</v>
      </c>
      <c r="I30" s="94">
        <v>0.09</v>
      </c>
      <c r="J30" s="94">
        <v>0.09</v>
      </c>
      <c r="K30" s="94">
        <v>0.18</v>
      </c>
      <c r="L30" s="95">
        <v>0.09</v>
      </c>
      <c r="M30" s="224">
        <v>0.4</v>
      </c>
      <c r="N30" s="225">
        <v>0.5</v>
      </c>
      <c r="O30" s="205">
        <v>3</v>
      </c>
      <c r="P30" s="205">
        <v>3</v>
      </c>
      <c r="Q30" s="205">
        <v>3</v>
      </c>
      <c r="R30" s="205">
        <v>3</v>
      </c>
      <c r="S30" s="205">
        <v>3</v>
      </c>
      <c r="T30" s="221">
        <v>3</v>
      </c>
      <c r="U30" s="222">
        <v>3</v>
      </c>
      <c r="V30" s="222">
        <v>3</v>
      </c>
      <c r="W30" s="223">
        <v>3</v>
      </c>
      <c r="X30" s="205">
        <v>3</v>
      </c>
      <c r="Y30" s="205">
        <v>3</v>
      </c>
      <c r="Z30" s="205">
        <v>3</v>
      </c>
      <c r="AA30" s="205">
        <v>3</v>
      </c>
      <c r="AB30" s="205">
        <v>3</v>
      </c>
      <c r="AC30" s="205">
        <v>3</v>
      </c>
      <c r="AD30" s="205">
        <v>3</v>
      </c>
      <c r="AE30" s="205">
        <v>3</v>
      </c>
      <c r="AF30" s="205">
        <v>3</v>
      </c>
      <c r="AG30" s="205">
        <v>3</v>
      </c>
      <c r="AH30" s="205">
        <v>3</v>
      </c>
      <c r="AI30" s="205">
        <v>3</v>
      </c>
      <c r="AJ30" s="205">
        <v>3</v>
      </c>
      <c r="AK30" s="205">
        <v>3</v>
      </c>
      <c r="AL30" s="205">
        <v>3</v>
      </c>
      <c r="AM30" s="205">
        <v>3</v>
      </c>
      <c r="AN30" s="205">
        <v>3</v>
      </c>
      <c r="AO30" s="205">
        <v>3</v>
      </c>
      <c r="AP30" s="205">
        <v>3</v>
      </c>
      <c r="AQ30" s="205">
        <v>3</v>
      </c>
      <c r="AR30" s="205">
        <v>3</v>
      </c>
    </row>
    <row r="31" spans="1:44" s="9" customFormat="1" ht="15" x14ac:dyDescent="0.2">
      <c r="A31" s="106" t="s">
        <v>64</v>
      </c>
      <c r="B31" s="94">
        <v>0.34</v>
      </c>
      <c r="C31" s="95">
        <v>0.33299999999999996</v>
      </c>
      <c r="D31" s="94">
        <v>0.34</v>
      </c>
      <c r="E31" s="94">
        <v>0.34</v>
      </c>
      <c r="F31" s="94">
        <v>0.34</v>
      </c>
      <c r="G31" s="95">
        <v>0.33299999999999996</v>
      </c>
      <c r="H31" s="94">
        <v>0.34</v>
      </c>
      <c r="I31" s="94">
        <v>0.34</v>
      </c>
      <c r="J31" s="94">
        <v>0.34</v>
      </c>
      <c r="K31" s="94">
        <v>0.39</v>
      </c>
      <c r="L31" s="95">
        <v>0.34</v>
      </c>
      <c r="M31" s="224">
        <v>0.4</v>
      </c>
      <c r="N31" s="225">
        <v>0.5</v>
      </c>
      <c r="O31" s="205">
        <v>4</v>
      </c>
      <c r="P31" s="205">
        <v>4</v>
      </c>
      <c r="Q31" s="205">
        <v>4</v>
      </c>
      <c r="R31" s="205">
        <v>4</v>
      </c>
      <c r="S31" s="205">
        <v>4</v>
      </c>
      <c r="T31" s="221">
        <v>4</v>
      </c>
      <c r="U31" s="222">
        <v>4</v>
      </c>
      <c r="V31" s="222">
        <v>4</v>
      </c>
      <c r="W31" s="223">
        <v>4</v>
      </c>
      <c r="X31" s="205">
        <v>4</v>
      </c>
      <c r="Y31" s="205">
        <v>4</v>
      </c>
      <c r="Z31" s="205">
        <v>4</v>
      </c>
      <c r="AA31" s="205">
        <v>4</v>
      </c>
      <c r="AB31" s="205">
        <v>4</v>
      </c>
      <c r="AC31" s="205">
        <v>4</v>
      </c>
      <c r="AD31" s="205">
        <v>4</v>
      </c>
      <c r="AE31" s="205">
        <v>4</v>
      </c>
      <c r="AF31" s="205">
        <v>4</v>
      </c>
      <c r="AG31" s="205">
        <v>4</v>
      </c>
      <c r="AH31" s="205">
        <v>4</v>
      </c>
      <c r="AI31" s="205">
        <v>4</v>
      </c>
      <c r="AJ31" s="205">
        <v>4</v>
      </c>
      <c r="AK31" s="205">
        <v>4</v>
      </c>
      <c r="AL31" s="205">
        <v>4</v>
      </c>
      <c r="AM31" s="205">
        <v>4</v>
      </c>
      <c r="AN31" s="205">
        <v>4</v>
      </c>
      <c r="AO31" s="205">
        <v>4</v>
      </c>
      <c r="AP31" s="205">
        <v>4</v>
      </c>
      <c r="AQ31" s="205">
        <v>4</v>
      </c>
      <c r="AR31" s="205">
        <v>4</v>
      </c>
    </row>
    <row r="32" spans="1:44" s="9" customFormat="1" ht="15" x14ac:dyDescent="0.2">
      <c r="A32" s="106" t="s">
        <v>65</v>
      </c>
      <c r="B32" s="94">
        <v>0.12</v>
      </c>
      <c r="C32" s="95">
        <v>0.126</v>
      </c>
      <c r="D32" s="94">
        <v>0.12</v>
      </c>
      <c r="E32" s="94">
        <v>0.12</v>
      </c>
      <c r="F32" s="94">
        <v>0.12</v>
      </c>
      <c r="G32" s="95">
        <v>0.126</v>
      </c>
      <c r="H32" s="94">
        <v>0.12</v>
      </c>
      <c r="I32" s="94">
        <v>0.12</v>
      </c>
      <c r="J32" s="94">
        <v>0.12</v>
      </c>
      <c r="K32" s="94">
        <v>0.15</v>
      </c>
      <c r="L32" s="95">
        <v>0.12</v>
      </c>
      <c r="M32" s="224">
        <v>0.4</v>
      </c>
      <c r="N32" s="225">
        <v>0.5</v>
      </c>
      <c r="O32" s="205">
        <v>5</v>
      </c>
      <c r="P32" s="205">
        <v>5</v>
      </c>
      <c r="Q32" s="205">
        <v>5</v>
      </c>
      <c r="R32" s="205">
        <v>5</v>
      </c>
      <c r="S32" s="205">
        <v>5</v>
      </c>
      <c r="T32" s="221">
        <v>5</v>
      </c>
      <c r="U32" s="222">
        <v>5</v>
      </c>
      <c r="V32" s="222">
        <v>5</v>
      </c>
      <c r="W32" s="223">
        <v>5</v>
      </c>
      <c r="X32" s="205">
        <v>5</v>
      </c>
      <c r="Y32" s="205">
        <v>5</v>
      </c>
      <c r="Z32" s="205">
        <v>5</v>
      </c>
      <c r="AA32" s="205">
        <v>5</v>
      </c>
      <c r="AB32" s="205">
        <v>5</v>
      </c>
      <c r="AC32" s="205">
        <v>5</v>
      </c>
      <c r="AD32" s="205">
        <v>5</v>
      </c>
      <c r="AE32" s="205">
        <v>5</v>
      </c>
      <c r="AF32" s="205">
        <v>5</v>
      </c>
      <c r="AG32" s="205">
        <v>5</v>
      </c>
      <c r="AH32" s="205">
        <v>5</v>
      </c>
      <c r="AI32" s="205">
        <v>5</v>
      </c>
      <c r="AJ32" s="205">
        <v>5</v>
      </c>
      <c r="AK32" s="205">
        <v>5</v>
      </c>
      <c r="AL32" s="205">
        <v>5</v>
      </c>
      <c r="AM32" s="205">
        <v>5</v>
      </c>
      <c r="AN32" s="205">
        <v>5</v>
      </c>
      <c r="AO32" s="205">
        <v>5</v>
      </c>
      <c r="AP32" s="205">
        <v>5</v>
      </c>
      <c r="AQ32" s="205">
        <v>5</v>
      </c>
      <c r="AR32" s="205">
        <v>5</v>
      </c>
    </row>
    <row r="33" spans="1:44" s="9" customFormat="1" ht="15" x14ac:dyDescent="0.2">
      <c r="A33" s="106" t="s">
        <v>66</v>
      </c>
      <c r="B33" s="94">
        <v>0.11</v>
      </c>
      <c r="C33" s="95">
        <v>0.105</v>
      </c>
      <c r="D33" s="94">
        <v>0.11</v>
      </c>
      <c r="E33" s="94">
        <v>0.11</v>
      </c>
      <c r="F33" s="94">
        <v>0.11</v>
      </c>
      <c r="G33" s="95">
        <v>0.105</v>
      </c>
      <c r="H33" s="94">
        <v>0.11</v>
      </c>
      <c r="I33" s="94">
        <v>0.11</v>
      </c>
      <c r="J33" s="94">
        <v>0.11</v>
      </c>
      <c r="K33" s="94">
        <v>0.12</v>
      </c>
      <c r="L33" s="95">
        <v>0.11</v>
      </c>
      <c r="M33" s="224">
        <v>0.4</v>
      </c>
      <c r="N33" s="225">
        <v>0.5</v>
      </c>
      <c r="O33" s="204">
        <v>1</v>
      </c>
      <c r="P33" s="204">
        <v>1</v>
      </c>
      <c r="Q33" s="204">
        <v>1</v>
      </c>
      <c r="R33" s="204">
        <v>1</v>
      </c>
      <c r="S33" s="204">
        <v>1</v>
      </c>
      <c r="T33" s="218">
        <v>1</v>
      </c>
      <c r="U33" s="219">
        <v>1</v>
      </c>
      <c r="V33" s="219">
        <v>1</v>
      </c>
      <c r="W33" s="220">
        <v>1</v>
      </c>
      <c r="X33" s="204">
        <v>1</v>
      </c>
      <c r="Y33" s="204">
        <v>1</v>
      </c>
      <c r="Z33" s="204">
        <v>1</v>
      </c>
      <c r="AA33" s="204">
        <v>1</v>
      </c>
      <c r="AB33" s="204">
        <v>1</v>
      </c>
      <c r="AC33" s="204">
        <v>1</v>
      </c>
      <c r="AD33" s="204">
        <v>1</v>
      </c>
      <c r="AE33" s="204">
        <v>1</v>
      </c>
      <c r="AF33" s="204">
        <v>1</v>
      </c>
      <c r="AG33" s="204">
        <v>1</v>
      </c>
      <c r="AH33" s="204">
        <v>1</v>
      </c>
      <c r="AI33" s="204">
        <v>1</v>
      </c>
      <c r="AJ33" s="204">
        <v>1</v>
      </c>
      <c r="AK33" s="204">
        <v>1</v>
      </c>
      <c r="AL33" s="204">
        <v>1</v>
      </c>
      <c r="AM33" s="204">
        <v>1</v>
      </c>
      <c r="AN33" s="204">
        <v>1</v>
      </c>
      <c r="AO33" s="204">
        <v>1</v>
      </c>
      <c r="AP33" s="204">
        <v>1</v>
      </c>
      <c r="AQ33" s="204">
        <v>1</v>
      </c>
      <c r="AR33" s="204">
        <v>1</v>
      </c>
    </row>
    <row r="34" spans="1:44" s="9" customFormat="1" ht="15" x14ac:dyDescent="0.2">
      <c r="A34" s="106" t="s">
        <v>67</v>
      </c>
      <c r="B34" s="94">
        <v>0.17</v>
      </c>
      <c r="C34" s="95">
        <v>0.17699999999999999</v>
      </c>
      <c r="D34" s="94">
        <v>0.17</v>
      </c>
      <c r="E34" s="94">
        <v>0.17</v>
      </c>
      <c r="F34" s="94">
        <v>0.17</v>
      </c>
      <c r="G34" s="95">
        <v>0.17699999999999999</v>
      </c>
      <c r="H34" s="94">
        <v>0.17</v>
      </c>
      <c r="I34" s="94">
        <v>0.17</v>
      </c>
      <c r="J34" s="94">
        <v>0.17</v>
      </c>
      <c r="K34" s="94">
        <v>0.19</v>
      </c>
      <c r="L34" s="95">
        <v>0.17</v>
      </c>
      <c r="M34" s="224">
        <v>0.4</v>
      </c>
      <c r="N34" s="225">
        <v>0.5</v>
      </c>
      <c r="O34" s="205">
        <v>2</v>
      </c>
      <c r="P34" s="205">
        <v>2</v>
      </c>
      <c r="Q34" s="205">
        <v>2</v>
      </c>
      <c r="R34" s="205">
        <v>2</v>
      </c>
      <c r="S34" s="205">
        <v>2</v>
      </c>
      <c r="T34" s="221">
        <v>2</v>
      </c>
      <c r="U34" s="222">
        <v>2</v>
      </c>
      <c r="V34" s="222">
        <v>2</v>
      </c>
      <c r="W34" s="223">
        <v>2</v>
      </c>
      <c r="X34" s="205">
        <v>2</v>
      </c>
      <c r="Y34" s="205">
        <v>2</v>
      </c>
      <c r="Z34" s="205">
        <v>2</v>
      </c>
      <c r="AA34" s="205">
        <v>2</v>
      </c>
      <c r="AB34" s="205">
        <v>2</v>
      </c>
      <c r="AC34" s="205">
        <v>2</v>
      </c>
      <c r="AD34" s="205">
        <v>2</v>
      </c>
      <c r="AE34" s="205">
        <v>2</v>
      </c>
      <c r="AF34" s="205">
        <v>2</v>
      </c>
      <c r="AG34" s="205">
        <v>2</v>
      </c>
      <c r="AH34" s="205">
        <v>2</v>
      </c>
      <c r="AI34" s="205">
        <v>2</v>
      </c>
      <c r="AJ34" s="205">
        <v>2</v>
      </c>
      <c r="AK34" s="205">
        <v>2</v>
      </c>
      <c r="AL34" s="205">
        <v>2</v>
      </c>
      <c r="AM34" s="205">
        <v>2</v>
      </c>
      <c r="AN34" s="205">
        <v>2</v>
      </c>
      <c r="AO34" s="205">
        <v>2</v>
      </c>
      <c r="AP34" s="205">
        <v>2</v>
      </c>
      <c r="AQ34" s="205">
        <v>2</v>
      </c>
      <c r="AR34" s="205">
        <v>2</v>
      </c>
    </row>
    <row r="35" spans="1:44" s="9" customFormat="1" ht="15" x14ac:dyDescent="0.2">
      <c r="A35" s="106" t="s">
        <v>68</v>
      </c>
      <c r="B35" s="94">
        <v>0.06</v>
      </c>
      <c r="C35" s="95">
        <v>6.933804782394698E-2</v>
      </c>
      <c r="D35" s="94">
        <v>0.06</v>
      </c>
      <c r="E35" s="94">
        <v>0.06</v>
      </c>
      <c r="F35" s="94">
        <v>0.06</v>
      </c>
      <c r="G35" s="95">
        <v>6.933804782394698E-2</v>
      </c>
      <c r="H35" s="94">
        <v>0.06</v>
      </c>
      <c r="I35" s="94">
        <v>0.06</v>
      </c>
      <c r="J35" s="94">
        <v>0.06</v>
      </c>
      <c r="K35" s="94">
        <v>0.03</v>
      </c>
      <c r="L35" s="95">
        <v>0.06</v>
      </c>
      <c r="M35" s="224">
        <v>0.4</v>
      </c>
      <c r="N35" s="225">
        <v>0.5</v>
      </c>
      <c r="O35" s="205">
        <v>3</v>
      </c>
      <c r="P35" s="205">
        <v>3</v>
      </c>
      <c r="Q35" s="205">
        <v>3</v>
      </c>
      <c r="R35" s="205">
        <v>3</v>
      </c>
      <c r="S35" s="205">
        <v>3</v>
      </c>
      <c r="T35" s="221">
        <v>3</v>
      </c>
      <c r="U35" s="222">
        <v>3</v>
      </c>
      <c r="V35" s="222">
        <v>3</v>
      </c>
      <c r="W35" s="223">
        <v>3</v>
      </c>
      <c r="X35" s="205">
        <v>3</v>
      </c>
      <c r="Y35" s="205">
        <v>3</v>
      </c>
      <c r="Z35" s="205">
        <v>3</v>
      </c>
      <c r="AA35" s="205">
        <v>3</v>
      </c>
      <c r="AB35" s="205">
        <v>3</v>
      </c>
      <c r="AC35" s="205">
        <v>3</v>
      </c>
      <c r="AD35" s="205">
        <v>3</v>
      </c>
      <c r="AE35" s="205">
        <v>3</v>
      </c>
      <c r="AF35" s="205">
        <v>3</v>
      </c>
      <c r="AG35" s="205">
        <v>3</v>
      </c>
      <c r="AH35" s="205">
        <v>3</v>
      </c>
      <c r="AI35" s="205">
        <v>3</v>
      </c>
      <c r="AJ35" s="205">
        <v>3</v>
      </c>
      <c r="AK35" s="205">
        <v>3</v>
      </c>
      <c r="AL35" s="205">
        <v>3</v>
      </c>
      <c r="AM35" s="205">
        <v>3</v>
      </c>
      <c r="AN35" s="205">
        <v>3</v>
      </c>
      <c r="AO35" s="205">
        <v>3</v>
      </c>
      <c r="AP35" s="205">
        <v>3</v>
      </c>
      <c r="AQ35" s="205">
        <v>3</v>
      </c>
      <c r="AR35" s="205">
        <v>3</v>
      </c>
    </row>
    <row r="36" spans="1:44" s="9" customFormat="1" ht="15" x14ac:dyDescent="0.2">
      <c r="A36" s="106" t="s">
        <v>69</v>
      </c>
      <c r="B36" s="94">
        <v>7.0000000000000007E-2</v>
      </c>
      <c r="C36" s="95">
        <v>7.7899148048748743E-2</v>
      </c>
      <c r="D36" s="94">
        <v>7.0000000000000007E-2</v>
      </c>
      <c r="E36" s="94">
        <v>7.0000000000000007E-2</v>
      </c>
      <c r="F36" s="94">
        <v>7.0000000000000007E-2</v>
      </c>
      <c r="G36" s="95">
        <v>7.7899148048748743E-2</v>
      </c>
      <c r="H36" s="94">
        <v>7.0000000000000007E-2</v>
      </c>
      <c r="I36" s="94">
        <v>7.0000000000000007E-2</v>
      </c>
      <c r="J36" s="94">
        <v>7.0000000000000007E-2</v>
      </c>
      <c r="K36" s="94">
        <v>0.08</v>
      </c>
      <c r="L36" s="95">
        <v>7.0000000000000007E-2</v>
      </c>
      <c r="M36" s="224">
        <v>0.4</v>
      </c>
      <c r="N36" s="225">
        <v>0.5</v>
      </c>
      <c r="O36" s="205">
        <v>4</v>
      </c>
      <c r="P36" s="205">
        <v>4</v>
      </c>
      <c r="Q36" s="205">
        <v>4</v>
      </c>
      <c r="R36" s="205">
        <v>4</v>
      </c>
      <c r="S36" s="205">
        <v>4</v>
      </c>
      <c r="T36" s="221">
        <v>4</v>
      </c>
      <c r="U36" s="222">
        <v>4</v>
      </c>
      <c r="V36" s="222">
        <v>4</v>
      </c>
      <c r="W36" s="223">
        <v>4</v>
      </c>
      <c r="X36" s="205">
        <v>4</v>
      </c>
      <c r="Y36" s="205">
        <v>4</v>
      </c>
      <c r="Z36" s="205">
        <v>4</v>
      </c>
      <c r="AA36" s="205">
        <v>4</v>
      </c>
      <c r="AB36" s="205">
        <v>4</v>
      </c>
      <c r="AC36" s="205">
        <v>4</v>
      </c>
      <c r="AD36" s="205">
        <v>4</v>
      </c>
      <c r="AE36" s="205">
        <v>4</v>
      </c>
      <c r="AF36" s="205">
        <v>4</v>
      </c>
      <c r="AG36" s="205">
        <v>4</v>
      </c>
      <c r="AH36" s="205">
        <v>4</v>
      </c>
      <c r="AI36" s="205">
        <v>4</v>
      </c>
      <c r="AJ36" s="205">
        <v>4</v>
      </c>
      <c r="AK36" s="205">
        <v>4</v>
      </c>
      <c r="AL36" s="205">
        <v>4</v>
      </c>
      <c r="AM36" s="205">
        <v>4</v>
      </c>
      <c r="AN36" s="205">
        <v>4</v>
      </c>
      <c r="AO36" s="205">
        <v>4</v>
      </c>
      <c r="AP36" s="205">
        <v>4</v>
      </c>
      <c r="AQ36" s="205">
        <v>4</v>
      </c>
      <c r="AR36" s="205">
        <v>4</v>
      </c>
    </row>
    <row r="37" spans="1:44" s="9" customFormat="1" ht="15" x14ac:dyDescent="0.2">
      <c r="A37" s="106" t="s">
        <v>70</v>
      </c>
      <c r="B37" s="94">
        <v>0.06</v>
      </c>
      <c r="C37" s="95">
        <v>6.1585365984931792E-2</v>
      </c>
      <c r="D37" s="94">
        <v>0.06</v>
      </c>
      <c r="E37" s="94">
        <v>0.06</v>
      </c>
      <c r="F37" s="94">
        <v>0.06</v>
      </c>
      <c r="G37" s="95">
        <v>6.1585365984931792E-2</v>
      </c>
      <c r="H37" s="94">
        <v>0.06</v>
      </c>
      <c r="I37" s="94">
        <v>0.06</v>
      </c>
      <c r="J37" s="94">
        <v>0.06</v>
      </c>
      <c r="K37" s="94">
        <v>0.04</v>
      </c>
      <c r="L37" s="95">
        <v>0.06</v>
      </c>
      <c r="M37" s="224">
        <v>0.4</v>
      </c>
      <c r="N37" s="225">
        <v>0.5</v>
      </c>
      <c r="O37" s="205">
        <v>5</v>
      </c>
      <c r="P37" s="205">
        <v>5</v>
      </c>
      <c r="Q37" s="205">
        <v>5</v>
      </c>
      <c r="R37" s="205">
        <v>5</v>
      </c>
      <c r="S37" s="205">
        <v>5</v>
      </c>
      <c r="T37" s="221">
        <v>5</v>
      </c>
      <c r="U37" s="222">
        <v>5</v>
      </c>
      <c r="V37" s="222">
        <v>5</v>
      </c>
      <c r="W37" s="223">
        <v>5</v>
      </c>
      <c r="X37" s="205">
        <v>5</v>
      </c>
      <c r="Y37" s="205">
        <v>5</v>
      </c>
      <c r="Z37" s="205">
        <v>5</v>
      </c>
      <c r="AA37" s="205">
        <v>5</v>
      </c>
      <c r="AB37" s="205">
        <v>5</v>
      </c>
      <c r="AC37" s="205">
        <v>5</v>
      </c>
      <c r="AD37" s="205">
        <v>5</v>
      </c>
      <c r="AE37" s="205">
        <v>5</v>
      </c>
      <c r="AF37" s="205">
        <v>5</v>
      </c>
      <c r="AG37" s="205">
        <v>5</v>
      </c>
      <c r="AH37" s="205">
        <v>5</v>
      </c>
      <c r="AI37" s="205">
        <v>5</v>
      </c>
      <c r="AJ37" s="205">
        <v>5</v>
      </c>
      <c r="AK37" s="205">
        <v>5</v>
      </c>
      <c r="AL37" s="205">
        <v>5</v>
      </c>
      <c r="AM37" s="205">
        <v>5</v>
      </c>
      <c r="AN37" s="205">
        <v>5</v>
      </c>
      <c r="AO37" s="205">
        <v>5</v>
      </c>
      <c r="AP37" s="205">
        <v>5</v>
      </c>
      <c r="AQ37" s="205">
        <v>5</v>
      </c>
      <c r="AR37" s="205">
        <v>5</v>
      </c>
    </row>
    <row r="38" spans="1:44" s="9" customFormat="1" ht="15" x14ac:dyDescent="0.2">
      <c r="A38" s="106"/>
      <c r="B38" s="94"/>
      <c r="C38" s="95"/>
      <c r="D38" s="94"/>
      <c r="E38" s="94"/>
      <c r="F38" s="94"/>
      <c r="G38" s="95"/>
      <c r="H38" s="94"/>
      <c r="I38" s="94"/>
      <c r="J38" s="94"/>
      <c r="K38" s="94"/>
      <c r="L38" s="95"/>
      <c r="M38" s="224"/>
      <c r="N38" s="225"/>
      <c r="O38" s="215"/>
      <c r="P38" s="215"/>
      <c r="Q38" s="215"/>
      <c r="R38" s="215"/>
      <c r="S38" s="215"/>
      <c r="T38" s="224"/>
      <c r="U38" s="184"/>
      <c r="V38" s="184"/>
      <c r="W38" s="225"/>
      <c r="X38" s="184"/>
      <c r="Y38" s="184"/>
      <c r="Z38" s="184"/>
      <c r="AA38" s="184"/>
      <c r="AB38" s="184"/>
      <c r="AC38" s="184"/>
      <c r="AD38" s="184"/>
      <c r="AE38" s="184"/>
      <c r="AF38" s="184"/>
      <c r="AG38" s="184"/>
      <c r="AH38" s="184"/>
      <c r="AI38" s="184"/>
      <c r="AJ38" s="184"/>
      <c r="AK38" s="184"/>
      <c r="AL38" s="184"/>
      <c r="AM38" s="184"/>
      <c r="AN38" s="184"/>
      <c r="AO38" s="184"/>
      <c r="AP38" s="184"/>
      <c r="AQ38" s="184"/>
      <c r="AR38" s="184"/>
    </row>
    <row r="39" spans="1:44" s="9" customFormat="1" ht="15" x14ac:dyDescent="0.2">
      <c r="A39" s="106"/>
      <c r="B39" s="94"/>
      <c r="C39" s="95"/>
      <c r="D39" s="94"/>
      <c r="E39" s="94"/>
      <c r="F39" s="94"/>
      <c r="G39" s="95"/>
      <c r="H39" s="94"/>
      <c r="I39" s="94"/>
      <c r="J39" s="94"/>
      <c r="K39" s="94"/>
      <c r="L39" s="95"/>
      <c r="M39" s="224"/>
      <c r="N39" s="225"/>
      <c r="O39" s="215"/>
      <c r="P39" s="215"/>
      <c r="Q39" s="215"/>
      <c r="R39" s="215"/>
      <c r="S39" s="215"/>
      <c r="T39" s="224"/>
      <c r="U39" s="184"/>
      <c r="V39" s="184"/>
      <c r="W39" s="225"/>
      <c r="X39" s="184"/>
      <c r="Y39" s="184"/>
      <c r="Z39" s="184"/>
      <c r="AA39" s="184"/>
      <c r="AB39" s="184"/>
      <c r="AC39" s="184"/>
      <c r="AD39" s="184"/>
      <c r="AE39" s="184"/>
      <c r="AF39" s="184"/>
      <c r="AG39" s="184"/>
      <c r="AH39" s="184"/>
      <c r="AI39" s="184"/>
      <c r="AJ39" s="184"/>
      <c r="AK39" s="184"/>
      <c r="AL39" s="184"/>
      <c r="AM39" s="184"/>
      <c r="AN39" s="184"/>
      <c r="AO39" s="184"/>
      <c r="AP39" s="184"/>
      <c r="AQ39" s="184"/>
      <c r="AR39" s="184"/>
    </row>
    <row r="40" spans="1:44" s="9" customFormat="1" ht="15" x14ac:dyDescent="0.2">
      <c r="A40" s="106"/>
      <c r="B40" s="94"/>
      <c r="C40" s="95"/>
      <c r="D40" s="94"/>
      <c r="E40" s="94"/>
      <c r="F40" s="94"/>
      <c r="G40" s="95"/>
      <c r="H40" s="94"/>
      <c r="I40" s="94"/>
      <c r="J40" s="94"/>
      <c r="K40" s="94"/>
      <c r="L40" s="95"/>
      <c r="M40" s="224"/>
      <c r="N40" s="225"/>
      <c r="O40" s="215"/>
      <c r="P40" s="215"/>
      <c r="Q40" s="215"/>
      <c r="R40" s="215"/>
      <c r="S40" s="215"/>
      <c r="T40" s="224"/>
      <c r="U40" s="184"/>
      <c r="V40" s="184"/>
      <c r="W40" s="225"/>
      <c r="X40" s="184"/>
      <c r="Y40" s="184"/>
      <c r="Z40" s="184"/>
      <c r="AA40" s="184"/>
      <c r="AB40" s="184"/>
      <c r="AC40" s="184"/>
      <c r="AD40" s="184"/>
      <c r="AE40" s="184"/>
      <c r="AF40" s="184"/>
      <c r="AG40" s="184"/>
      <c r="AH40" s="184"/>
      <c r="AI40" s="184"/>
      <c r="AJ40" s="184"/>
      <c r="AK40" s="184"/>
      <c r="AL40" s="184"/>
      <c r="AM40" s="184"/>
      <c r="AN40" s="184"/>
      <c r="AO40" s="184"/>
      <c r="AP40" s="184"/>
      <c r="AQ40" s="184"/>
      <c r="AR40" s="184"/>
    </row>
    <row r="41" spans="1:44" s="9" customFormat="1" ht="15" x14ac:dyDescent="0.2">
      <c r="A41" s="106"/>
      <c r="B41" s="94"/>
      <c r="C41" s="95"/>
      <c r="D41" s="94"/>
      <c r="E41" s="94"/>
      <c r="F41" s="94"/>
      <c r="G41" s="95"/>
      <c r="H41" s="94"/>
      <c r="I41" s="94"/>
      <c r="J41" s="94"/>
      <c r="K41" s="94"/>
      <c r="L41" s="95"/>
      <c r="M41" s="224"/>
      <c r="N41" s="225"/>
      <c r="O41" s="215"/>
      <c r="P41" s="215"/>
      <c r="Q41" s="215"/>
      <c r="R41" s="215"/>
      <c r="S41" s="215"/>
      <c r="T41" s="224"/>
      <c r="U41" s="184"/>
      <c r="V41" s="184"/>
      <c r="W41" s="225"/>
      <c r="X41" s="184"/>
      <c r="Y41" s="184"/>
      <c r="Z41" s="184"/>
      <c r="AA41" s="184"/>
      <c r="AB41" s="184"/>
      <c r="AC41" s="184"/>
      <c r="AD41" s="184"/>
      <c r="AE41" s="184"/>
      <c r="AF41" s="184"/>
      <c r="AG41" s="184"/>
      <c r="AH41" s="184"/>
      <c r="AI41" s="184"/>
      <c r="AJ41" s="184"/>
      <c r="AK41" s="184"/>
      <c r="AL41" s="184"/>
      <c r="AM41" s="184"/>
      <c r="AN41" s="184"/>
      <c r="AO41" s="184"/>
      <c r="AP41" s="184"/>
      <c r="AQ41" s="184"/>
      <c r="AR41" s="184"/>
    </row>
    <row r="42" spans="1:44" s="9" customFormat="1" ht="15" x14ac:dyDescent="0.2">
      <c r="A42" s="106"/>
      <c r="B42" s="94"/>
      <c r="C42" s="95"/>
      <c r="D42" s="94"/>
      <c r="E42" s="94"/>
      <c r="F42" s="94"/>
      <c r="G42" s="95"/>
      <c r="H42" s="94"/>
      <c r="I42" s="94"/>
      <c r="J42" s="94"/>
      <c r="K42" s="94"/>
      <c r="L42" s="95"/>
      <c r="M42" s="224"/>
      <c r="N42" s="225"/>
      <c r="O42" s="215"/>
      <c r="P42" s="215"/>
      <c r="Q42" s="215"/>
      <c r="R42" s="215"/>
      <c r="S42" s="215"/>
      <c r="T42" s="224"/>
      <c r="U42" s="184"/>
      <c r="V42" s="184"/>
      <c r="W42" s="225"/>
      <c r="X42" s="184"/>
      <c r="Y42" s="184"/>
      <c r="Z42" s="184"/>
      <c r="AA42" s="184"/>
      <c r="AB42" s="184"/>
      <c r="AC42" s="184"/>
      <c r="AD42" s="184"/>
      <c r="AE42" s="184"/>
      <c r="AF42" s="184"/>
      <c r="AG42" s="184"/>
      <c r="AH42" s="184"/>
      <c r="AI42" s="184"/>
      <c r="AJ42" s="184"/>
      <c r="AK42" s="184"/>
      <c r="AL42" s="184"/>
      <c r="AM42" s="184"/>
      <c r="AN42" s="184"/>
      <c r="AO42" s="184"/>
      <c r="AP42" s="184"/>
      <c r="AQ42" s="184"/>
      <c r="AR42" s="184"/>
    </row>
    <row r="43" spans="1:44" s="9" customFormat="1" ht="15" x14ac:dyDescent="0.2">
      <c r="A43" s="106"/>
      <c r="B43" s="94"/>
      <c r="C43" s="95"/>
      <c r="D43" s="94"/>
      <c r="E43" s="94"/>
      <c r="F43" s="94"/>
      <c r="G43" s="95"/>
      <c r="H43" s="94"/>
      <c r="I43" s="94"/>
      <c r="J43" s="94"/>
      <c r="K43" s="94"/>
      <c r="L43" s="95"/>
      <c r="M43" s="224"/>
      <c r="N43" s="225"/>
      <c r="O43" s="215"/>
      <c r="P43" s="215"/>
      <c r="Q43" s="215"/>
      <c r="R43" s="215"/>
      <c r="S43" s="215"/>
      <c r="T43" s="224"/>
      <c r="U43" s="184"/>
      <c r="V43" s="184"/>
      <c r="W43" s="225"/>
      <c r="X43" s="184"/>
      <c r="Y43" s="184"/>
      <c r="Z43" s="184"/>
      <c r="AA43" s="184"/>
      <c r="AB43" s="184"/>
      <c r="AC43" s="184"/>
      <c r="AD43" s="184"/>
      <c r="AE43" s="184"/>
      <c r="AF43" s="184"/>
      <c r="AG43" s="184"/>
      <c r="AH43" s="184"/>
      <c r="AI43" s="184"/>
      <c r="AJ43" s="184"/>
      <c r="AK43" s="184"/>
      <c r="AL43" s="184"/>
      <c r="AM43" s="184"/>
      <c r="AN43" s="184"/>
      <c r="AO43" s="184"/>
      <c r="AP43" s="184"/>
      <c r="AQ43" s="184"/>
      <c r="AR43" s="184"/>
    </row>
    <row r="44" spans="1:44" s="9" customFormat="1" ht="15" x14ac:dyDescent="0.2">
      <c r="A44" s="106"/>
      <c r="B44" s="94"/>
      <c r="C44" s="95"/>
      <c r="D44" s="94"/>
      <c r="E44" s="94"/>
      <c r="F44" s="94"/>
      <c r="G44" s="95"/>
      <c r="H44" s="94"/>
      <c r="I44" s="94"/>
      <c r="J44" s="94"/>
      <c r="K44" s="94"/>
      <c r="L44" s="95"/>
      <c r="M44" s="224"/>
      <c r="N44" s="225"/>
      <c r="O44" s="215"/>
      <c r="P44" s="215"/>
      <c r="Q44" s="215"/>
      <c r="R44" s="215"/>
      <c r="S44" s="215"/>
      <c r="T44" s="224"/>
      <c r="U44" s="184"/>
      <c r="V44" s="184"/>
      <c r="W44" s="225"/>
      <c r="X44" s="184"/>
      <c r="Y44" s="184"/>
      <c r="Z44" s="184"/>
      <c r="AA44" s="184"/>
      <c r="AB44" s="184"/>
      <c r="AC44" s="184"/>
      <c r="AD44" s="184"/>
      <c r="AE44" s="184"/>
      <c r="AF44" s="184"/>
      <c r="AG44" s="184"/>
      <c r="AH44" s="184"/>
      <c r="AI44" s="184"/>
      <c r="AJ44" s="184"/>
      <c r="AK44" s="184"/>
      <c r="AL44" s="184"/>
      <c r="AM44" s="184"/>
      <c r="AN44" s="184"/>
      <c r="AO44" s="184"/>
      <c r="AP44" s="184"/>
      <c r="AQ44" s="184"/>
      <c r="AR44" s="184"/>
    </row>
    <row r="45" spans="1:44" s="9" customFormat="1" ht="15.75" thickBot="1" x14ac:dyDescent="0.25">
      <c r="A45" s="106"/>
      <c r="B45" s="94"/>
      <c r="C45" s="95"/>
      <c r="D45" s="93"/>
      <c r="E45" s="94"/>
      <c r="F45" s="94"/>
      <c r="G45" s="95"/>
      <c r="H45" s="94"/>
      <c r="I45" s="94"/>
      <c r="J45" s="94"/>
      <c r="K45" s="93"/>
      <c r="L45" s="229"/>
      <c r="M45" s="226"/>
      <c r="N45" s="228"/>
      <c r="O45" s="215"/>
      <c r="P45" s="215"/>
      <c r="Q45" s="215"/>
      <c r="R45" s="215"/>
      <c r="S45" s="215"/>
      <c r="T45" s="226"/>
      <c r="U45" s="227"/>
      <c r="V45" s="227"/>
      <c r="W45" s="228"/>
      <c r="X45" s="184"/>
      <c r="Y45" s="184"/>
      <c r="Z45" s="184"/>
      <c r="AA45" s="184"/>
      <c r="AB45" s="184"/>
      <c r="AC45" s="184"/>
      <c r="AD45" s="184"/>
      <c r="AE45" s="184"/>
      <c r="AF45" s="184"/>
      <c r="AG45" s="184"/>
      <c r="AH45" s="184"/>
      <c r="AI45" s="184"/>
      <c r="AJ45" s="184"/>
      <c r="AK45" s="184"/>
      <c r="AL45" s="184"/>
      <c r="AM45" s="184"/>
      <c r="AN45" s="184"/>
      <c r="AO45" s="184"/>
      <c r="AP45" s="184"/>
      <c r="AQ45" s="184"/>
      <c r="AR45" s="184"/>
    </row>
    <row r="46" spans="1:44" x14ac:dyDescent="0.2">
      <c r="A46" s="2"/>
    </row>
    <row r="47" spans="1:44" x14ac:dyDescent="0.2">
      <c r="B47" s="1"/>
      <c r="C47" s="1"/>
    </row>
    <row r="48" spans="1:44" ht="13.5" thickBot="1" x14ac:dyDescent="0.25">
      <c r="B48" s="1"/>
      <c r="C48" s="1"/>
    </row>
    <row r="49" spans="2:42" ht="21" customHeight="1" thickBot="1" x14ac:dyDescent="0.25">
      <c r="B49" s="1"/>
      <c r="C49" s="1"/>
      <c r="AP49" s="165" t="s">
        <v>809</v>
      </c>
    </row>
    <row r="50" spans="2:42" ht="18.600000000000001" customHeight="1" thickBot="1" x14ac:dyDescent="0.25">
      <c r="B50" s="1"/>
      <c r="C50" s="1"/>
      <c r="AP50" s="165" t="s">
        <v>810</v>
      </c>
    </row>
    <row r="51" spans="2:42" ht="18" customHeight="1" thickBot="1" x14ac:dyDescent="0.25">
      <c r="B51" s="1"/>
      <c r="C51" s="1"/>
      <c r="AP51" s="165" t="s">
        <v>811</v>
      </c>
    </row>
    <row r="52" spans="2:42" ht="18" customHeight="1" thickBot="1" x14ac:dyDescent="0.25">
      <c r="B52" s="1"/>
      <c r="C52" s="1"/>
      <c r="AP52" s="165" t="s">
        <v>812</v>
      </c>
    </row>
    <row r="53" spans="2:42" ht="15.6" customHeight="1" thickBot="1" x14ac:dyDescent="0.25">
      <c r="B53" s="1"/>
      <c r="C53" s="1"/>
      <c r="AP53" s="165" t="s">
        <v>813</v>
      </c>
    </row>
    <row r="54" spans="2:42" ht="29.45" customHeight="1" thickBot="1" x14ac:dyDescent="0.25">
      <c r="B54" s="1"/>
      <c r="C54" s="1"/>
      <c r="AP54" s="165" t="s">
        <v>814</v>
      </c>
    </row>
    <row r="55" spans="2:42" ht="29.45" customHeight="1" thickBot="1" x14ac:dyDescent="0.25">
      <c r="B55" s="1"/>
      <c r="C55" s="1"/>
      <c r="AP55" s="165" t="s">
        <v>815</v>
      </c>
    </row>
    <row r="56" spans="2:42" ht="17.45" customHeight="1" thickBot="1" x14ac:dyDescent="0.25">
      <c r="B56" s="1"/>
      <c r="C56" s="1"/>
      <c r="AP56" s="165" t="s">
        <v>801</v>
      </c>
    </row>
    <row r="57" spans="2:42" ht="18" customHeight="1" thickBot="1" x14ac:dyDescent="0.25">
      <c r="B57" s="1"/>
      <c r="C57" s="1"/>
      <c r="AP57" s="165" t="s">
        <v>634</v>
      </c>
    </row>
    <row r="58" spans="2:42" ht="27.6" customHeight="1" thickBot="1" x14ac:dyDescent="0.25">
      <c r="B58" s="1"/>
      <c r="C58" s="1"/>
      <c r="AP58" s="165" t="s">
        <v>803</v>
      </c>
    </row>
    <row r="59" spans="2:42" ht="27.6" customHeight="1" thickBot="1" x14ac:dyDescent="0.25">
      <c r="B59" s="1"/>
      <c r="C59" s="1"/>
      <c r="AP59" s="165" t="s">
        <v>636</v>
      </c>
    </row>
    <row r="60" spans="2:42" ht="17.45" customHeight="1" thickBot="1" x14ac:dyDescent="0.25">
      <c r="B60" s="1"/>
      <c r="C60" s="1"/>
      <c r="AP60" s="165" t="s">
        <v>808</v>
      </c>
    </row>
    <row r="61" spans="2:42" ht="17.45" customHeight="1" thickBot="1" x14ac:dyDescent="0.25">
      <c r="B61" s="1"/>
      <c r="C61" s="1"/>
      <c r="AP61" s="165" t="s">
        <v>805</v>
      </c>
    </row>
    <row r="62" spans="2:42" ht="18.600000000000001" customHeight="1" thickBot="1" x14ac:dyDescent="0.25">
      <c r="B62" s="1"/>
      <c r="C62" s="1"/>
      <c r="AP62" s="165" t="s">
        <v>806</v>
      </c>
    </row>
    <row r="63" spans="2:42" ht="16.149999999999999" customHeight="1" thickBot="1" x14ac:dyDescent="0.25">
      <c r="B63" s="1"/>
      <c r="C63" s="1"/>
      <c r="AP63" s="165" t="s">
        <v>799</v>
      </c>
    </row>
    <row r="64" spans="2:42" ht="29.45" customHeight="1" thickBot="1" x14ac:dyDescent="0.25">
      <c r="B64" s="1"/>
      <c r="C64" s="1"/>
      <c r="AP64" s="165" t="s">
        <v>800</v>
      </c>
    </row>
    <row r="65" spans="2:42" ht="27.6" customHeight="1" thickBot="1" x14ac:dyDescent="0.25">
      <c r="B65" s="1"/>
      <c r="C65" s="1"/>
      <c r="AP65" s="165" t="s">
        <v>807</v>
      </c>
    </row>
    <row r="66" spans="2:42" ht="27.6" customHeight="1" thickBot="1" x14ac:dyDescent="0.25">
      <c r="B66" s="1"/>
      <c r="C66" s="1"/>
      <c r="AP66" s="202" t="s">
        <v>798</v>
      </c>
    </row>
    <row r="67" spans="2:42" ht="15.75" thickBot="1" x14ac:dyDescent="0.25">
      <c r="B67" s="1"/>
      <c r="C67" s="1"/>
      <c r="AP67" s="202" t="s">
        <v>642</v>
      </c>
    </row>
    <row r="68" spans="2:42" ht="15.75" thickBot="1" x14ac:dyDescent="0.25">
      <c r="B68" s="1"/>
      <c r="C68" s="1"/>
      <c r="AP68" s="202" t="s">
        <v>643</v>
      </c>
    </row>
    <row r="69" spans="2:42" ht="30.75" thickBot="1" x14ac:dyDescent="0.25">
      <c r="B69" s="1"/>
      <c r="C69" s="1"/>
      <c r="AP69" s="202" t="s">
        <v>644</v>
      </c>
    </row>
    <row r="70" spans="2:42" ht="30.75" thickBot="1" x14ac:dyDescent="0.25">
      <c r="B70" s="1"/>
      <c r="C70" s="1"/>
      <c r="AP70" s="202" t="s">
        <v>645</v>
      </c>
    </row>
    <row r="71" spans="2:42" x14ac:dyDescent="0.2">
      <c r="B71" s="1"/>
      <c r="C71" s="1"/>
    </row>
    <row r="72" spans="2:42" x14ac:dyDescent="0.2">
      <c r="B72" s="1"/>
      <c r="C72" s="1"/>
    </row>
    <row r="73" spans="2:42" x14ac:dyDescent="0.2">
      <c r="B73" s="1"/>
      <c r="C73" s="1"/>
    </row>
    <row r="74" spans="2:42" x14ac:dyDescent="0.2">
      <c r="B74" s="1"/>
      <c r="C74" s="1"/>
    </row>
    <row r="75" spans="2:42" x14ac:dyDescent="0.2">
      <c r="B75" s="1"/>
      <c r="C75" s="1"/>
    </row>
    <row r="76" spans="2:42" x14ac:dyDescent="0.2">
      <c r="B76" s="1"/>
      <c r="C76" s="1"/>
    </row>
    <row r="77" spans="2:42" x14ac:dyDescent="0.2">
      <c r="B77" s="1"/>
      <c r="C77" s="1"/>
    </row>
    <row r="78" spans="2:42" x14ac:dyDescent="0.2">
      <c r="B78" s="1"/>
      <c r="C78" s="1"/>
    </row>
    <row r="79" spans="2:42" x14ac:dyDescent="0.2">
      <c r="B79" s="1"/>
      <c r="C79" s="1"/>
    </row>
    <row r="80" spans="2:42" x14ac:dyDescent="0.2">
      <c r="B80" s="1"/>
      <c r="C80" s="1"/>
    </row>
    <row r="81" spans="2:3" x14ac:dyDescent="0.2">
      <c r="B81" s="1"/>
      <c r="C81" s="1"/>
    </row>
    <row r="82" spans="2:3" x14ac:dyDescent="0.2">
      <c r="B82" s="1"/>
      <c r="C82" s="1"/>
    </row>
    <row r="83" spans="2:3" x14ac:dyDescent="0.2">
      <c r="B83" s="1"/>
      <c r="C83" s="1"/>
    </row>
    <row r="84" spans="2:3" x14ac:dyDescent="0.2">
      <c r="B84" s="1"/>
      <c r="C84" s="1"/>
    </row>
    <row r="85" spans="2:3" x14ac:dyDescent="0.2">
      <c r="B85" s="1"/>
      <c r="C85" s="1"/>
    </row>
    <row r="86" spans="2:3" x14ac:dyDescent="0.2">
      <c r="B86" s="1"/>
      <c r="C86" s="1"/>
    </row>
    <row r="87" spans="2:3" x14ac:dyDescent="0.2">
      <c r="B87" s="1"/>
      <c r="C87" s="1"/>
    </row>
  </sheetData>
  <mergeCells count="7">
    <mergeCell ref="A1:E1"/>
    <mergeCell ref="D2:E2"/>
    <mergeCell ref="T5:W5"/>
    <mergeCell ref="X5:AR5"/>
    <mergeCell ref="B5:L5"/>
    <mergeCell ref="M5:N5"/>
    <mergeCell ref="O5:S5"/>
  </mergeCells>
  <conditionalFormatting sqref="N8:N45 O38:AB45 AF38:AN45">
    <cfRule type="containsBlanks" dxfId="201" priority="108">
      <formula>LEN(TRIM(N8))=0</formula>
    </cfRule>
    <cfRule type="cellIs" dxfId="200" priority="109" operator="greaterThanOrEqual">
      <formula>2</formula>
    </cfRule>
    <cfRule type="cellIs" dxfId="199" priority="110" operator="between">
      <formula>1</formula>
      <formula>1.9</formula>
    </cfRule>
    <cfRule type="cellIs" dxfId="198" priority="111" operator="lessThan">
      <formula>1</formula>
    </cfRule>
  </conditionalFormatting>
  <conditionalFormatting sqref="M8:M45">
    <cfRule type="containsBlanks" dxfId="197" priority="104">
      <formula>LEN(TRIM(M8))=0</formula>
    </cfRule>
    <cfRule type="cellIs" dxfId="196" priority="105" operator="greaterThanOrEqual">
      <formula>1</formula>
    </cfRule>
    <cfRule type="cellIs" dxfId="195" priority="106" operator="between">
      <formula>0.5</formula>
      <formula>0.9</formula>
    </cfRule>
    <cfRule type="cellIs" dxfId="194" priority="107" operator="lessThan">
      <formula>0.5</formula>
    </cfRule>
  </conditionalFormatting>
  <conditionalFormatting sqref="O8:O37 T8:T37 O46:AB147 X8:AB37 AF8:AR37 AF46:AN147">
    <cfRule type="cellIs" dxfId="193" priority="102" operator="equal">
      <formula>2</formula>
    </cfRule>
    <cfRule type="cellIs" dxfId="192" priority="103" operator="equal">
      <formula>1</formula>
    </cfRule>
  </conditionalFormatting>
  <conditionalFormatting sqref="O8:O37 T8:T37 X8:AB37 AF8:AR37">
    <cfRule type="cellIs" dxfId="191" priority="101" operator="equal">
      <formula>3</formula>
    </cfRule>
  </conditionalFormatting>
  <conditionalFormatting sqref="T8:T37 X8:AB37 AF8:AR37">
    <cfRule type="cellIs" dxfId="190" priority="100" operator="greaterThanOrEqual">
      <formula>4</formula>
    </cfRule>
  </conditionalFormatting>
  <conditionalFormatting sqref="O8:O37">
    <cfRule type="cellIs" dxfId="189" priority="97" operator="greaterThanOrEqual">
      <formula>4</formula>
    </cfRule>
  </conditionalFormatting>
  <conditionalFormatting sqref="U8:W37">
    <cfRule type="cellIs" dxfId="188" priority="95" operator="equal">
      <formula>2</formula>
    </cfRule>
    <cfRule type="cellIs" dxfId="187" priority="96" operator="equal">
      <formula>1</formula>
    </cfRule>
  </conditionalFormatting>
  <conditionalFormatting sqref="U8:W37">
    <cfRule type="cellIs" dxfId="186" priority="94" operator="equal">
      <formula>3</formula>
    </cfRule>
  </conditionalFormatting>
  <conditionalFormatting sqref="U8:W37">
    <cfRule type="cellIs" dxfId="185" priority="93" operator="greaterThanOrEqual">
      <formula>4</formula>
    </cfRule>
  </conditionalFormatting>
  <conditionalFormatting sqref="K8:K45">
    <cfRule type="containsBlanks" dxfId="184" priority="78">
      <formula>LEN(TRIM(K8))=0</formula>
    </cfRule>
    <cfRule type="cellIs" dxfId="183" priority="79" operator="greaterThanOrEqual">
      <formula>70%</formula>
    </cfRule>
    <cfRule type="cellIs" dxfId="182" priority="80" operator="between">
      <formula>40%</formula>
      <formula>70%</formula>
    </cfRule>
    <cfRule type="cellIs" dxfId="181" priority="81" operator="between">
      <formula>20%</formula>
      <formula>40%</formula>
    </cfRule>
    <cfRule type="cellIs" dxfId="180" priority="82" operator="lessThan">
      <formula>20%</formula>
    </cfRule>
  </conditionalFormatting>
  <conditionalFormatting sqref="H8:H45">
    <cfRule type="containsBlanks" dxfId="179" priority="88">
      <formula>LEN(TRIM(H8))=0</formula>
    </cfRule>
    <cfRule type="cellIs" dxfId="178" priority="89" operator="lessThan">
      <formula>30%</formula>
    </cfRule>
    <cfRule type="cellIs" dxfId="177" priority="90" operator="greaterThanOrEqual">
      <formula>70%</formula>
    </cfRule>
    <cfRule type="cellIs" dxfId="176" priority="91" operator="between">
      <formula>50%</formula>
      <formula>70%</formula>
    </cfRule>
    <cfRule type="cellIs" dxfId="175" priority="92" operator="between">
      <formula>30%</formula>
      <formula>50%</formula>
    </cfRule>
  </conditionalFormatting>
  <conditionalFormatting sqref="I8:I45">
    <cfRule type="containsBlanks" dxfId="174" priority="83">
      <formula>LEN(TRIM(I8))=0</formula>
    </cfRule>
    <cfRule type="cellIs" dxfId="173" priority="84" operator="greaterThanOrEqual">
      <formula>60%</formula>
    </cfRule>
    <cfRule type="cellIs" dxfId="172" priority="85" operator="between">
      <formula>40%</formula>
      <formula>60%</formula>
    </cfRule>
    <cfRule type="cellIs" dxfId="171" priority="86" operator="between">
      <formula>20%</formula>
      <formula>40%</formula>
    </cfRule>
    <cfRule type="cellIs" dxfId="170" priority="87" operator="lessThan">
      <formula>20%</formula>
    </cfRule>
  </conditionalFormatting>
  <conditionalFormatting sqref="J8:J45">
    <cfRule type="containsBlanks" dxfId="169" priority="73">
      <formula>LEN(TRIM(J8))=0</formula>
    </cfRule>
    <cfRule type="cellIs" dxfId="168" priority="74" operator="greaterThanOrEqual">
      <formula>60%</formula>
    </cfRule>
    <cfRule type="cellIs" dxfId="167" priority="75" operator="between">
      <formula>40%</formula>
      <formula>60%</formula>
    </cfRule>
    <cfRule type="cellIs" dxfId="166" priority="76" operator="between">
      <formula>20%</formula>
      <formula>40%</formula>
    </cfRule>
    <cfRule type="cellIs" dxfId="165" priority="77" operator="lessThan">
      <formula>20%</formula>
    </cfRule>
  </conditionalFormatting>
  <conditionalFormatting sqref="L8:L45">
    <cfRule type="containsBlanks" dxfId="164" priority="68">
      <formula>LEN(TRIM(L8))=0</formula>
    </cfRule>
    <cfRule type="cellIs" dxfId="163" priority="69" operator="greaterThanOrEqual">
      <formula>70%</formula>
    </cfRule>
    <cfRule type="cellIs" dxfId="162" priority="70" operator="between">
      <formula>40%</formula>
      <formula>70%</formula>
    </cfRule>
    <cfRule type="cellIs" dxfId="161" priority="71" operator="between">
      <formula>20%</formula>
      <formula>40%</formula>
    </cfRule>
    <cfRule type="cellIs" dxfId="160" priority="72" operator="lessThan">
      <formula>20%</formula>
    </cfRule>
  </conditionalFormatting>
  <conditionalFormatting sqref="B8:B45">
    <cfRule type="containsBlanks" dxfId="159" priority="63">
      <formula>LEN(TRIM(B8))=0</formula>
    </cfRule>
    <cfRule type="cellIs" dxfId="158" priority="64" operator="greaterThanOrEqual">
      <formula>30%</formula>
    </cfRule>
    <cfRule type="cellIs" dxfId="157" priority="65" operator="between">
      <formula>20%</formula>
      <formula>30%</formula>
    </cfRule>
    <cfRule type="cellIs" dxfId="156" priority="66" operator="between">
      <formula>10%</formula>
      <formula>20%</formula>
    </cfRule>
    <cfRule type="cellIs" dxfId="155" priority="67" operator="lessThan">
      <formula>10%</formula>
    </cfRule>
  </conditionalFormatting>
  <conditionalFormatting sqref="D8:D45">
    <cfRule type="containsBlanks" dxfId="154" priority="53">
      <formula>LEN(TRIM(D8))=0</formula>
    </cfRule>
    <cfRule type="cellIs" dxfId="153" priority="54" operator="greaterThanOrEqual">
      <formula>40%</formula>
    </cfRule>
    <cfRule type="cellIs" dxfId="152" priority="55" operator="between">
      <formula>20%</formula>
      <formula>40%</formula>
    </cfRule>
    <cfRule type="cellIs" dxfId="151" priority="56" operator="between">
      <formula>5%</formula>
      <formula>20%</formula>
    </cfRule>
    <cfRule type="cellIs" dxfId="150" priority="57" operator="lessThan">
      <formula>5%</formula>
    </cfRule>
  </conditionalFormatting>
  <conditionalFormatting sqref="F8:F45">
    <cfRule type="containsBlanks" dxfId="149" priority="48">
      <formula>LEN(TRIM(F8))=0</formula>
    </cfRule>
    <cfRule type="cellIs" dxfId="148" priority="49" operator="greaterThanOrEqual">
      <formula>15%</formula>
    </cfRule>
    <cfRule type="cellIs" dxfId="147" priority="50" operator="between">
      <formula>10%</formula>
      <formula>15%</formula>
    </cfRule>
    <cfRule type="cellIs" dxfId="146" priority="51" operator="between">
      <formula>5%</formula>
      <formula>10%</formula>
    </cfRule>
    <cfRule type="cellIs" dxfId="145" priority="52" operator="lessThan">
      <formula>5%</formula>
    </cfRule>
  </conditionalFormatting>
  <conditionalFormatting sqref="E8">
    <cfRule type="containsBlanks" dxfId="144" priority="43">
      <formula>LEN(TRIM(E8))=0</formula>
    </cfRule>
    <cfRule type="cellIs" dxfId="143" priority="44" operator="greaterThanOrEqual">
      <formula>40%</formula>
    </cfRule>
    <cfRule type="cellIs" dxfId="142" priority="45" operator="between">
      <formula>20%</formula>
      <formula>40%</formula>
    </cfRule>
    <cfRule type="cellIs" dxfId="141" priority="46" operator="between">
      <formula>5%</formula>
      <formula>20%</formula>
    </cfRule>
    <cfRule type="cellIs" dxfId="140" priority="47" operator="lessThan">
      <formula>5%</formula>
    </cfRule>
  </conditionalFormatting>
  <conditionalFormatting sqref="E9:E45">
    <cfRule type="containsBlanks" dxfId="139" priority="38">
      <formula>LEN(TRIM(E9))=0</formula>
    </cfRule>
    <cfRule type="cellIs" dxfId="138" priority="39" operator="greaterThanOrEqual">
      <formula>40%</formula>
    </cfRule>
    <cfRule type="cellIs" dxfId="137" priority="40" operator="between">
      <formula>20%</formula>
      <formula>40%</formula>
    </cfRule>
    <cfRule type="cellIs" dxfId="136" priority="41" operator="between">
      <formula>5%</formula>
      <formula>20%</formula>
    </cfRule>
    <cfRule type="cellIs" dxfId="135" priority="42" operator="lessThan">
      <formula>5%</formula>
    </cfRule>
  </conditionalFormatting>
  <conditionalFormatting sqref="C8:C45">
    <cfRule type="containsBlanks" dxfId="134" priority="58">
      <formula>LEN(TRIM(C8))=0</formula>
    </cfRule>
    <cfRule type="cellIs" dxfId="133" priority="59" operator="greaterThanOrEqual">
      <formula>10%</formula>
    </cfRule>
    <cfRule type="cellIs" dxfId="132" priority="60" operator="between">
      <formula>5%</formula>
      <formula>10%</formula>
    </cfRule>
    <cfRule type="cellIs" dxfId="131" priority="61" operator="between">
      <formula>2.5%</formula>
      <formula>5%</formula>
    </cfRule>
    <cfRule type="cellIs" dxfId="130" priority="62" operator="lessThan">
      <formula>2.5%</formula>
    </cfRule>
  </conditionalFormatting>
  <conditionalFormatting sqref="G8:G45">
    <cfRule type="containsBlanks" dxfId="129" priority="33">
      <formula>LEN(TRIM(G8))=0</formula>
    </cfRule>
    <cfRule type="cellIs" dxfId="128" priority="34" operator="greaterThanOrEqual">
      <formula>10%</formula>
    </cfRule>
    <cfRule type="cellIs" dxfId="127" priority="35" operator="between">
      <formula>5%</formula>
      <formula>10%</formula>
    </cfRule>
    <cfRule type="cellIs" dxfId="126" priority="36" operator="between">
      <formula>2.5%</formula>
      <formula>5%</formula>
    </cfRule>
    <cfRule type="cellIs" dxfId="125" priority="37" operator="lessThan">
      <formula>2.5%</formula>
    </cfRule>
  </conditionalFormatting>
  <conditionalFormatting sqref="AO38:AR45">
    <cfRule type="containsBlanks" dxfId="124" priority="21">
      <formula>LEN(TRIM(AO38))=0</formula>
    </cfRule>
    <cfRule type="cellIs" dxfId="123" priority="22" operator="greaterThanOrEqual">
      <formula>2</formula>
    </cfRule>
    <cfRule type="cellIs" dxfId="122" priority="23" operator="between">
      <formula>1</formula>
      <formula>1.9</formula>
    </cfRule>
    <cfRule type="cellIs" dxfId="121" priority="24" operator="lessThan">
      <formula>1</formula>
    </cfRule>
  </conditionalFormatting>
  <conditionalFormatting sqref="P8:S37">
    <cfRule type="cellIs" dxfId="120" priority="11" operator="equal">
      <formula>2</formula>
    </cfRule>
    <cfRule type="cellIs" dxfId="119" priority="12" operator="equal">
      <formula>1</formula>
    </cfRule>
  </conditionalFormatting>
  <conditionalFormatting sqref="P8:S37">
    <cfRule type="cellIs" dxfId="118" priority="10" operator="equal">
      <formula>3</formula>
    </cfRule>
  </conditionalFormatting>
  <conditionalFormatting sqref="P8:S37">
    <cfRule type="cellIs" dxfId="117" priority="9" operator="greaterThanOrEqual">
      <formula>4</formula>
    </cfRule>
  </conditionalFormatting>
  <conditionalFormatting sqref="AC38:AE45">
    <cfRule type="containsBlanks" dxfId="116" priority="5">
      <formula>LEN(TRIM(AC38))=0</formula>
    </cfRule>
    <cfRule type="cellIs" dxfId="115" priority="6" operator="greaterThanOrEqual">
      <formula>2</formula>
    </cfRule>
    <cfRule type="cellIs" dxfId="114" priority="7" operator="between">
      <formula>1</formula>
      <formula>1.9</formula>
    </cfRule>
    <cfRule type="cellIs" dxfId="113" priority="8" operator="lessThan">
      <formula>1</formula>
    </cfRule>
  </conditionalFormatting>
  <conditionalFormatting sqref="AC46:AE147 AC8:AE37">
    <cfRule type="cellIs" dxfId="112" priority="3" operator="equal">
      <formula>2</formula>
    </cfRule>
    <cfRule type="cellIs" dxfId="111" priority="4" operator="equal">
      <formula>1</formula>
    </cfRule>
  </conditionalFormatting>
  <conditionalFormatting sqref="AC8:AE37">
    <cfRule type="cellIs" dxfId="110" priority="2" operator="equal">
      <formula>3</formula>
    </cfRule>
  </conditionalFormatting>
  <conditionalFormatting sqref="AC8:AE37">
    <cfRule type="cellIs" dxfId="109" priority="1" operator="greaterThanOrEqual">
      <formula>4</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C000"/>
  </sheetPr>
  <dimension ref="A1:U102"/>
  <sheetViews>
    <sheetView topLeftCell="G1" workbookViewId="0">
      <selection activeCell="K2" sqref="K2"/>
    </sheetView>
    <sheetView workbookViewId="1"/>
  </sheetViews>
  <sheetFormatPr defaultColWidth="7.125" defaultRowHeight="12.75" x14ac:dyDescent="0.2"/>
  <cols>
    <col min="1" max="1" width="24.75" style="1" customWidth="1"/>
    <col min="2" max="2" width="28" style="1" customWidth="1"/>
    <col min="3" max="3" width="36.875" style="1" customWidth="1"/>
    <col min="4" max="4" width="27.625" style="2" customWidth="1"/>
    <col min="5" max="5" width="25.25" style="2" customWidth="1"/>
    <col min="6" max="6" width="23.5" style="1" customWidth="1"/>
    <col min="7" max="7" width="23.75" style="1" customWidth="1"/>
    <col min="8" max="8" width="36.5" style="1" customWidth="1"/>
    <col min="9" max="9" width="36.75" style="1" customWidth="1"/>
    <col min="10" max="10" width="28.875" style="1" customWidth="1"/>
    <col min="11" max="11" width="25.125" style="1" customWidth="1"/>
    <col min="12" max="12" width="15.75" style="1" customWidth="1"/>
    <col min="13" max="13" width="21.625" style="1" customWidth="1"/>
    <col min="14" max="14" width="9.5" style="1" customWidth="1"/>
    <col min="15" max="15" width="54" style="1" customWidth="1"/>
    <col min="16" max="16" width="13.125" style="1" customWidth="1"/>
    <col min="17" max="17" width="10.125" style="1" customWidth="1"/>
    <col min="18" max="18" width="10.875" style="1" customWidth="1"/>
    <col min="19" max="19" width="10.375" style="1" customWidth="1"/>
    <col min="20" max="20" width="13.375" style="1" customWidth="1"/>
    <col min="21" max="16384" width="7.125" style="1"/>
  </cols>
  <sheetData>
    <row r="1" spans="1:21" ht="88.15" customHeight="1" x14ac:dyDescent="0.2">
      <c r="C1" s="502" t="s">
        <v>665</v>
      </c>
      <c r="D1" s="502"/>
      <c r="E1" s="502"/>
      <c r="F1" s="502"/>
      <c r="G1" s="296"/>
      <c r="J1" s="255"/>
      <c r="O1" s="256"/>
      <c r="P1" s="257" t="s">
        <v>583</v>
      </c>
      <c r="Q1" s="258" t="s">
        <v>538</v>
      </c>
      <c r="R1" s="259" t="s">
        <v>539</v>
      </c>
      <c r="S1" s="260" t="s">
        <v>540</v>
      </c>
      <c r="T1" s="261" t="s">
        <v>541</v>
      </c>
    </row>
    <row r="2" spans="1:21" ht="36.6" customHeight="1" thickBot="1" x14ac:dyDescent="0.25">
      <c r="A2" s="121" t="s">
        <v>647</v>
      </c>
      <c r="B2" s="134" t="s">
        <v>668</v>
      </c>
      <c r="C2" s="134" t="s">
        <v>883</v>
      </c>
      <c r="D2" s="134" t="s">
        <v>496</v>
      </c>
      <c r="E2" s="134" t="s">
        <v>844</v>
      </c>
      <c r="F2" s="134" t="s">
        <v>845</v>
      </c>
      <c r="G2" s="133" t="s">
        <v>676</v>
      </c>
      <c r="H2" s="185" t="s">
        <v>666</v>
      </c>
      <c r="I2" s="185" t="s">
        <v>667</v>
      </c>
      <c r="J2" s="132" t="s">
        <v>508</v>
      </c>
      <c r="K2" s="132" t="s">
        <v>509</v>
      </c>
      <c r="L2" s="131" t="s">
        <v>656</v>
      </c>
      <c r="M2" s="131" t="s">
        <v>589</v>
      </c>
      <c r="O2" s="113" t="s">
        <v>602</v>
      </c>
      <c r="P2" s="262" t="s">
        <v>547</v>
      </c>
      <c r="Q2" s="263" t="s">
        <v>548</v>
      </c>
      <c r="R2" s="264" t="s">
        <v>549</v>
      </c>
      <c r="S2" s="265" t="s">
        <v>550</v>
      </c>
      <c r="T2" s="266" t="s">
        <v>551</v>
      </c>
    </row>
    <row r="3" spans="1:21" ht="48" x14ac:dyDescent="0.2">
      <c r="A3" s="73" t="s">
        <v>651</v>
      </c>
      <c r="B3" s="74" t="s">
        <v>652</v>
      </c>
      <c r="C3" s="74" t="s">
        <v>652</v>
      </c>
      <c r="D3" s="74" t="s">
        <v>652</v>
      </c>
      <c r="E3" s="74" t="s">
        <v>652</v>
      </c>
      <c r="F3" s="74" t="s">
        <v>652</v>
      </c>
      <c r="G3" s="74" t="s">
        <v>652</v>
      </c>
      <c r="H3" s="74" t="s">
        <v>652</v>
      </c>
      <c r="I3" s="74" t="s">
        <v>652</v>
      </c>
      <c r="J3" s="74" t="s">
        <v>707</v>
      </c>
      <c r="K3" s="74" t="s">
        <v>652</v>
      </c>
      <c r="L3" s="116"/>
      <c r="M3" s="250" t="s">
        <v>690</v>
      </c>
      <c r="O3" s="177">
        <v>100</v>
      </c>
      <c r="P3" s="178">
        <v>1</v>
      </c>
      <c r="Q3" s="178">
        <v>5</v>
      </c>
      <c r="R3" s="178">
        <v>14</v>
      </c>
      <c r="S3" s="178">
        <v>30</v>
      </c>
      <c r="T3" s="247">
        <v>50</v>
      </c>
    </row>
    <row r="4" spans="1:21" ht="29.25" customHeight="1" x14ac:dyDescent="0.25">
      <c r="A4" s="251" t="s">
        <v>41</v>
      </c>
      <c r="B4" s="94">
        <v>0.3</v>
      </c>
      <c r="C4" s="94">
        <v>0.2</v>
      </c>
      <c r="D4" s="130">
        <v>0.22</v>
      </c>
      <c r="E4" s="130">
        <v>0.09</v>
      </c>
      <c r="F4" s="130">
        <v>0.2</v>
      </c>
      <c r="G4" s="130">
        <v>0.25</v>
      </c>
      <c r="H4" s="94">
        <v>0.3</v>
      </c>
      <c r="I4" s="94">
        <v>0.3</v>
      </c>
      <c r="J4" s="130">
        <v>0.09</v>
      </c>
      <c r="K4" s="130">
        <v>0.09</v>
      </c>
      <c r="L4" s="248">
        <v>13.55</v>
      </c>
      <c r="M4" s="180" t="str">
        <f>IF(L4&lt;5, "Phase 1", IF(L4&lt;14, "Phase 2", IF(L4&lt;30, "Phase 3", IF(L4&lt;50, "Phase 4", "Phase 5"))))</f>
        <v>Phase 2</v>
      </c>
      <c r="O4" s="242" t="s">
        <v>668</v>
      </c>
      <c r="P4" s="179">
        <f>$P$3*$U$4/5</f>
        <v>0.12</v>
      </c>
      <c r="Q4" s="179">
        <f>$Q$3*$U$4/5</f>
        <v>0.6</v>
      </c>
      <c r="R4" s="179">
        <f>$R$3*$U$4/5</f>
        <v>1.6800000000000002</v>
      </c>
      <c r="S4" s="179">
        <f>$S$3*$U$4/5</f>
        <v>3.6</v>
      </c>
      <c r="T4" s="179">
        <f>$T$3*$U$4/3</f>
        <v>10</v>
      </c>
      <c r="U4" s="505">
        <v>0.6</v>
      </c>
    </row>
    <row r="5" spans="1:21" ht="35.450000000000003" customHeight="1" x14ac:dyDescent="0.25">
      <c r="A5" s="252" t="s">
        <v>42</v>
      </c>
      <c r="B5" s="94">
        <v>0.11</v>
      </c>
      <c r="C5" s="94">
        <v>0.55000000000000004</v>
      </c>
      <c r="D5" s="130">
        <v>0.15</v>
      </c>
      <c r="E5" s="129">
        <v>0.04</v>
      </c>
      <c r="F5" s="130">
        <v>0.09</v>
      </c>
      <c r="G5" s="130">
        <v>0.09</v>
      </c>
      <c r="H5" s="94">
        <v>0.5</v>
      </c>
      <c r="I5" s="94">
        <v>0.55000000000000004</v>
      </c>
      <c r="J5" s="129">
        <v>0.04</v>
      </c>
      <c r="K5" s="129">
        <v>0.04</v>
      </c>
      <c r="L5" s="248">
        <v>7.7999999999999989</v>
      </c>
      <c r="M5" s="180" t="str">
        <f>IF(L5&lt;5, "Phase 1", IF(L5&lt;14, "Phase 2", IF(L5&lt;30, "Phase 3", IF(L5&lt;50, "Phase 4", "Phase 5"))))</f>
        <v>Phase 2</v>
      </c>
      <c r="O5" s="342" t="s">
        <v>863</v>
      </c>
      <c r="P5" s="179">
        <f>$P$3*$U$4/5</f>
        <v>0.12</v>
      </c>
      <c r="Q5" s="179">
        <f>$Q$3*$U$4/5</f>
        <v>0.6</v>
      </c>
      <c r="R5" s="179">
        <f>$R$3*$U$4/5</f>
        <v>1.6800000000000002</v>
      </c>
      <c r="S5" s="179">
        <f>$S$3*$U$4/5</f>
        <v>3.6</v>
      </c>
      <c r="T5" s="179">
        <f>$T$3*$U$4/3</f>
        <v>10</v>
      </c>
      <c r="U5" s="505"/>
    </row>
    <row r="6" spans="1:21" ht="15.75" x14ac:dyDescent="0.25">
      <c r="A6" s="252" t="s">
        <v>43</v>
      </c>
      <c r="B6" s="94">
        <v>0.18</v>
      </c>
      <c r="C6" s="94">
        <v>0.18</v>
      </c>
      <c r="D6" s="130">
        <v>0.3</v>
      </c>
      <c r="E6" s="129">
        <v>0.14000000000000001</v>
      </c>
      <c r="F6" s="130">
        <v>0.4</v>
      </c>
      <c r="G6" s="130">
        <v>0.4</v>
      </c>
      <c r="H6" s="94">
        <v>0.18</v>
      </c>
      <c r="I6" s="94">
        <v>0.18</v>
      </c>
      <c r="J6" s="129">
        <v>0.14000000000000001</v>
      </c>
      <c r="K6" s="129">
        <v>0.14000000000000001</v>
      </c>
      <c r="L6" s="248">
        <v>29.2</v>
      </c>
      <c r="M6" s="180" t="str">
        <f t="shared" ref="M6:M33" si="0">IF(L6&lt;5, "Phase 1", IF(L6&lt;14, "Phase 2", IF(L6&lt;30, "Phase 3", IF(L6&lt;50, "Phase 4", "Phase 5"))))</f>
        <v>Phase 3</v>
      </c>
      <c r="O6" s="242" t="s">
        <v>671</v>
      </c>
      <c r="P6" s="179">
        <f>$P$3*$U$4/5</f>
        <v>0.12</v>
      </c>
      <c r="Q6" s="179">
        <f>$Q$3*$U$4/5</f>
        <v>0.6</v>
      </c>
      <c r="R6" s="179">
        <f>$R$3*$U$4/5</f>
        <v>1.6800000000000002</v>
      </c>
      <c r="S6" s="503">
        <f>$S$3*$U$4/5</f>
        <v>3.6</v>
      </c>
      <c r="T6" s="504"/>
      <c r="U6" s="505"/>
    </row>
    <row r="7" spans="1:21" ht="15.75" x14ac:dyDescent="0.25">
      <c r="A7" s="252" t="s">
        <v>44</v>
      </c>
      <c r="B7" s="94">
        <v>0.8</v>
      </c>
      <c r="C7" s="94">
        <v>0.8</v>
      </c>
      <c r="D7" s="130">
        <v>0.04</v>
      </c>
      <c r="E7" s="129">
        <v>0.02</v>
      </c>
      <c r="F7" s="130">
        <v>0.02</v>
      </c>
      <c r="G7" s="130">
        <v>0.02</v>
      </c>
      <c r="H7" s="94">
        <v>0.8</v>
      </c>
      <c r="I7" s="94">
        <v>0.8</v>
      </c>
      <c r="J7" s="129">
        <v>0.02</v>
      </c>
      <c r="K7" s="129">
        <v>0.02</v>
      </c>
      <c r="L7" s="248">
        <v>1</v>
      </c>
      <c r="M7" s="180" t="str">
        <f t="shared" si="0"/>
        <v>Phase 1</v>
      </c>
      <c r="O7" s="242" t="s">
        <v>844</v>
      </c>
      <c r="P7" s="179">
        <f>$P$3*$U$4/5</f>
        <v>0.12</v>
      </c>
      <c r="Q7" s="179">
        <f>$Q$3*$U$4/5</f>
        <v>0.6</v>
      </c>
      <c r="R7" s="179">
        <f>$R$3*$U$4/5</f>
        <v>1.6800000000000002</v>
      </c>
      <c r="S7" s="179">
        <f>$S$3*$U$4/5</f>
        <v>3.6</v>
      </c>
      <c r="T7" s="179">
        <f>$T$3*$U$4/3</f>
        <v>10</v>
      </c>
      <c r="U7" s="505"/>
    </row>
    <row r="8" spans="1:21" ht="17.45" customHeight="1" x14ac:dyDescent="0.25">
      <c r="A8" s="252" t="s">
        <v>45</v>
      </c>
      <c r="B8" s="94">
        <v>0.06</v>
      </c>
      <c r="C8" s="94">
        <v>0.06</v>
      </c>
      <c r="D8" s="130">
        <v>0.3</v>
      </c>
      <c r="E8" s="129">
        <v>0.2</v>
      </c>
      <c r="F8" s="130">
        <v>0.4</v>
      </c>
      <c r="G8" s="130">
        <v>0.4</v>
      </c>
      <c r="H8" s="94">
        <v>0.06</v>
      </c>
      <c r="I8" s="94">
        <v>0.06</v>
      </c>
      <c r="J8" s="129">
        <v>0.02</v>
      </c>
      <c r="K8" s="129">
        <v>0.3</v>
      </c>
      <c r="L8" s="248">
        <v>42.75</v>
      </c>
      <c r="M8" s="180" t="str">
        <f t="shared" si="0"/>
        <v>Phase 4</v>
      </c>
      <c r="O8" s="242" t="s">
        <v>845</v>
      </c>
      <c r="P8" s="179">
        <f>$P$3*$U$4/5</f>
        <v>0.12</v>
      </c>
      <c r="Q8" s="179">
        <f>$Q$3*$U$4/5</f>
        <v>0.6</v>
      </c>
      <c r="R8" s="179">
        <f>$R$3*$U$4/5</f>
        <v>1.6800000000000002</v>
      </c>
      <c r="S8" s="503">
        <f>$S$3*$U$4/5</f>
        <v>3.6</v>
      </c>
      <c r="T8" s="504"/>
      <c r="U8" s="505"/>
    </row>
    <row r="9" spans="1:21" ht="19.899999999999999" customHeight="1" x14ac:dyDescent="0.25">
      <c r="A9" s="252" t="s">
        <v>46</v>
      </c>
      <c r="B9" s="94">
        <v>0.3</v>
      </c>
      <c r="C9" s="94">
        <v>0.3</v>
      </c>
      <c r="D9" s="130">
        <v>0.1</v>
      </c>
      <c r="E9" s="129">
        <v>5.2810694544647187E-2</v>
      </c>
      <c r="F9" s="130">
        <v>0.4</v>
      </c>
      <c r="G9" s="130">
        <v>0.4</v>
      </c>
      <c r="H9" s="94">
        <v>0.3</v>
      </c>
      <c r="I9" s="94">
        <v>0.3</v>
      </c>
      <c r="J9" s="129">
        <v>5.2810694544647187E-2</v>
      </c>
      <c r="K9" s="129">
        <v>5.2810694544647187E-2</v>
      </c>
      <c r="L9" s="188">
        <v>15.51</v>
      </c>
      <c r="M9" s="180" t="str">
        <f t="shared" si="0"/>
        <v>Phase 3</v>
      </c>
      <c r="O9" s="243" t="s">
        <v>498</v>
      </c>
      <c r="P9" s="179">
        <f>$P$3*$U$9/3</f>
        <v>9.9999999999999992E-2</v>
      </c>
      <c r="Q9" s="179">
        <f>$Q$3*$U$9/3</f>
        <v>0.5</v>
      </c>
      <c r="R9" s="179">
        <f>$R$3*$U$9/3</f>
        <v>1.4000000000000001</v>
      </c>
      <c r="S9" s="503">
        <f>$S$3*$U$9/3</f>
        <v>3</v>
      </c>
      <c r="T9" s="504"/>
      <c r="U9" s="505">
        <v>0.3</v>
      </c>
    </row>
    <row r="10" spans="1:21" ht="25.15" customHeight="1" x14ac:dyDescent="0.25">
      <c r="A10" s="252" t="s">
        <v>47</v>
      </c>
      <c r="B10" s="94">
        <v>0.04</v>
      </c>
      <c r="C10" s="94">
        <v>0.04</v>
      </c>
      <c r="D10" s="130">
        <v>0.45</v>
      </c>
      <c r="E10" s="129">
        <v>0.3</v>
      </c>
      <c r="F10" s="130">
        <v>0.22</v>
      </c>
      <c r="G10" s="130">
        <v>0.22</v>
      </c>
      <c r="H10" s="94">
        <v>0.04</v>
      </c>
      <c r="I10" s="94">
        <v>0.04</v>
      </c>
      <c r="J10" s="129">
        <v>0.02</v>
      </c>
      <c r="K10" s="129">
        <v>0.3</v>
      </c>
      <c r="L10" s="249">
        <v>39.229999999999997</v>
      </c>
      <c r="M10" s="180" t="str">
        <f t="shared" si="0"/>
        <v>Phase 4</v>
      </c>
      <c r="O10" s="243" t="s">
        <v>666</v>
      </c>
      <c r="P10" s="179">
        <f>$P$3*$U$9/3</f>
        <v>9.9999999999999992E-2</v>
      </c>
      <c r="Q10" s="179">
        <f>$Q$3*$U$9/3</f>
        <v>0.5</v>
      </c>
      <c r="R10" s="179">
        <f>$R$3*$U$9/3</f>
        <v>1.4000000000000001</v>
      </c>
      <c r="S10" s="179">
        <f>$S$3*$U$9/3</f>
        <v>3</v>
      </c>
      <c r="T10" s="179">
        <f>$T$3*$U$9/3</f>
        <v>5</v>
      </c>
      <c r="U10" s="505"/>
    </row>
    <row r="11" spans="1:21" ht="25.15" customHeight="1" x14ac:dyDescent="0.25">
      <c r="A11" s="252" t="s">
        <v>48</v>
      </c>
      <c r="B11" s="94">
        <v>0.04</v>
      </c>
      <c r="C11" s="94">
        <v>0.04</v>
      </c>
      <c r="D11" s="130">
        <v>0.04</v>
      </c>
      <c r="E11" s="129">
        <v>3.7345187182510869E-2</v>
      </c>
      <c r="F11" s="130">
        <v>0.04</v>
      </c>
      <c r="G11" s="130">
        <v>0.04</v>
      </c>
      <c r="H11" s="94">
        <v>0.04</v>
      </c>
      <c r="I11" s="94">
        <v>0.04</v>
      </c>
      <c r="J11" s="129">
        <v>1</v>
      </c>
      <c r="K11" s="129">
        <v>3.7345187182510869E-2</v>
      </c>
      <c r="L11" s="249">
        <v>32.690000000000005</v>
      </c>
      <c r="M11" s="180" t="str">
        <f t="shared" si="0"/>
        <v>Phase 4</v>
      </c>
      <c r="O11" s="243" t="s">
        <v>667</v>
      </c>
      <c r="P11" s="179">
        <f>$P$3*$U$9/3</f>
        <v>9.9999999999999992E-2</v>
      </c>
      <c r="Q11" s="179">
        <f>$Q$3*$U$9/3</f>
        <v>0.5</v>
      </c>
      <c r="R11" s="179">
        <f>$R$3*$U$9/3</f>
        <v>1.4000000000000001</v>
      </c>
      <c r="S11" s="179">
        <f>$S$3*$U$9/3</f>
        <v>3</v>
      </c>
      <c r="T11" s="179">
        <f>$T$3*$U$9/3</f>
        <v>5</v>
      </c>
      <c r="U11" s="505"/>
    </row>
    <row r="12" spans="1:21" ht="27" customHeight="1" x14ac:dyDescent="0.25">
      <c r="A12" s="252" t="s">
        <v>49</v>
      </c>
      <c r="B12" s="94">
        <v>0.22</v>
      </c>
      <c r="C12" s="94">
        <v>0.22</v>
      </c>
      <c r="D12" s="130">
        <v>0.22</v>
      </c>
      <c r="E12" s="129">
        <v>0.19600000000000001</v>
      </c>
      <c r="F12" s="130">
        <v>0.22</v>
      </c>
      <c r="G12" s="130">
        <v>0.22</v>
      </c>
      <c r="H12" s="94">
        <v>0.22</v>
      </c>
      <c r="I12" s="94">
        <v>0.22</v>
      </c>
      <c r="J12" s="129">
        <v>0.02</v>
      </c>
      <c r="K12" s="129">
        <v>0.19600000000000001</v>
      </c>
      <c r="L12" s="249">
        <v>15.390000000000002</v>
      </c>
      <c r="M12" s="180" t="str">
        <f t="shared" si="0"/>
        <v>Phase 3</v>
      </c>
      <c r="O12" s="244" t="s">
        <v>669</v>
      </c>
      <c r="P12" s="179">
        <f>$P$3*$U$12/2</f>
        <v>0.05</v>
      </c>
      <c r="Q12" s="179">
        <f>$Q$3*$U$12/2</f>
        <v>0.25</v>
      </c>
      <c r="R12" s="179">
        <f>$R$3*$U$12/2</f>
        <v>0.70000000000000007</v>
      </c>
      <c r="S12" s="503">
        <f>S3*U12/2</f>
        <v>1.5</v>
      </c>
      <c r="T12" s="504"/>
      <c r="U12" s="505">
        <v>0.1</v>
      </c>
    </row>
    <row r="13" spans="1:21" ht="25.9" customHeight="1" x14ac:dyDescent="0.25">
      <c r="A13" s="252" t="s">
        <v>50</v>
      </c>
      <c r="B13" s="94">
        <v>0</v>
      </c>
      <c r="C13" s="94">
        <v>0.14000000000000001</v>
      </c>
      <c r="D13" s="130">
        <v>0</v>
      </c>
      <c r="E13" s="129">
        <v>0</v>
      </c>
      <c r="F13" s="130">
        <v>0</v>
      </c>
      <c r="G13" s="130">
        <v>0</v>
      </c>
      <c r="H13" s="94">
        <v>0</v>
      </c>
      <c r="I13" s="94">
        <v>0</v>
      </c>
      <c r="J13" s="129">
        <v>0.02</v>
      </c>
      <c r="K13" s="129">
        <v>0</v>
      </c>
      <c r="L13" s="249">
        <v>24.159999999999997</v>
      </c>
      <c r="M13" s="180" t="str">
        <f t="shared" si="0"/>
        <v>Phase 3</v>
      </c>
      <c r="N13" s="9"/>
      <c r="O13" s="244" t="s">
        <v>670</v>
      </c>
      <c r="P13" s="179">
        <f>$P$3*$U$12/2</f>
        <v>0.05</v>
      </c>
      <c r="Q13" s="179">
        <f>$Q$3*$U$12/2</f>
        <v>0.25</v>
      </c>
      <c r="R13" s="179">
        <f>$R$3*$U$12/2</f>
        <v>0.70000000000000007</v>
      </c>
      <c r="S13" s="179">
        <f>$S$3*$U$12/2</f>
        <v>1.5</v>
      </c>
      <c r="T13" s="179">
        <f>$T$3*$U$12/2</f>
        <v>2.5</v>
      </c>
      <c r="U13" s="505"/>
    </row>
    <row r="14" spans="1:21" ht="17.45" customHeight="1" x14ac:dyDescent="0.25">
      <c r="A14" s="252" t="s">
        <v>51</v>
      </c>
      <c r="B14" s="94">
        <v>0.11</v>
      </c>
      <c r="C14" s="94">
        <v>0.35</v>
      </c>
      <c r="D14" s="130">
        <v>0.11</v>
      </c>
      <c r="E14" s="129">
        <v>0.127</v>
      </c>
      <c r="F14" s="130">
        <v>0.11</v>
      </c>
      <c r="G14" s="130">
        <v>0.11</v>
      </c>
      <c r="H14" s="94">
        <v>0.11</v>
      </c>
      <c r="I14" s="94">
        <v>0.11</v>
      </c>
      <c r="J14" s="129">
        <v>0.127</v>
      </c>
      <c r="K14" s="129">
        <v>0.127</v>
      </c>
      <c r="L14" s="249">
        <v>18.779999999999998</v>
      </c>
      <c r="M14" s="180" t="str">
        <f t="shared" si="0"/>
        <v>Phase 3</v>
      </c>
      <c r="N14" s="9"/>
    </row>
    <row r="15" spans="1:21" ht="17.45" customHeight="1" thickBot="1" x14ac:dyDescent="0.3">
      <c r="A15" s="252" t="s">
        <v>52</v>
      </c>
      <c r="B15" s="94">
        <v>0.12</v>
      </c>
      <c r="C15" s="94">
        <v>0.12</v>
      </c>
      <c r="D15" s="130">
        <v>0.4</v>
      </c>
      <c r="E15" s="130">
        <v>2.5000000000000001E-2</v>
      </c>
      <c r="F15" s="130">
        <v>0.12</v>
      </c>
      <c r="G15" s="130">
        <v>0.12</v>
      </c>
      <c r="H15" s="94">
        <v>0.12</v>
      </c>
      <c r="I15" s="94">
        <v>0.12</v>
      </c>
      <c r="J15" s="130">
        <v>2.5000000000000001E-2</v>
      </c>
      <c r="K15" s="130">
        <v>2.5000000000000001E-2</v>
      </c>
      <c r="L15" s="249">
        <v>18.12</v>
      </c>
      <c r="M15" s="180" t="str">
        <f t="shared" si="0"/>
        <v>Phase 3</v>
      </c>
      <c r="N15" s="9"/>
    </row>
    <row r="16" spans="1:21" ht="22.9" customHeight="1" x14ac:dyDescent="0.25">
      <c r="A16" s="252" t="s">
        <v>53</v>
      </c>
      <c r="B16" s="94">
        <v>0.08</v>
      </c>
      <c r="C16" s="94">
        <v>0.08</v>
      </c>
      <c r="D16" s="130">
        <v>0.08</v>
      </c>
      <c r="E16" s="129">
        <v>6.2658629150474848E-2</v>
      </c>
      <c r="F16" s="130">
        <v>0.08</v>
      </c>
      <c r="G16" s="130">
        <v>0.08</v>
      </c>
      <c r="H16" s="94">
        <v>0.08</v>
      </c>
      <c r="I16" s="94">
        <v>0.08</v>
      </c>
      <c r="J16" s="129">
        <v>6.2658629150474848E-2</v>
      </c>
      <c r="K16" s="129">
        <v>6.2658629150474848E-2</v>
      </c>
      <c r="L16" s="249">
        <v>33.850000000000009</v>
      </c>
      <c r="M16" s="180" t="str">
        <f t="shared" si="0"/>
        <v>Phase 4</v>
      </c>
      <c r="N16" s="9"/>
      <c r="O16" s="256"/>
      <c r="P16" s="257" t="s">
        <v>583</v>
      </c>
      <c r="Q16" s="258" t="s">
        <v>538</v>
      </c>
      <c r="R16" s="259" t="s">
        <v>539</v>
      </c>
      <c r="S16" s="260" t="s">
        <v>540</v>
      </c>
      <c r="T16" s="267" t="s">
        <v>541</v>
      </c>
    </row>
    <row r="17" spans="1:21" customFormat="1" ht="22.9" customHeight="1" thickBot="1" x14ac:dyDescent="0.3">
      <c r="A17" s="252" t="s">
        <v>54</v>
      </c>
      <c r="B17" s="94">
        <v>0.08</v>
      </c>
      <c r="C17" s="94">
        <v>0.08</v>
      </c>
      <c r="D17" s="130">
        <v>0.08</v>
      </c>
      <c r="E17" s="129">
        <v>6.5359566821275444E-2</v>
      </c>
      <c r="F17" s="130">
        <v>0.08</v>
      </c>
      <c r="G17" s="130">
        <v>0.08</v>
      </c>
      <c r="H17" s="94">
        <v>0.08</v>
      </c>
      <c r="I17" s="94">
        <v>0.08</v>
      </c>
      <c r="J17" s="129">
        <v>6.5359566821275444E-2</v>
      </c>
      <c r="K17" s="129">
        <v>6.5359566821275444E-2</v>
      </c>
      <c r="L17" s="249">
        <v>33.850000000000009</v>
      </c>
      <c r="M17" s="180" t="str">
        <f t="shared" si="0"/>
        <v>Phase 4</v>
      </c>
      <c r="N17" s="9"/>
      <c r="O17" s="113" t="s">
        <v>654</v>
      </c>
      <c r="P17" s="262" t="s">
        <v>547</v>
      </c>
      <c r="Q17" s="263" t="s">
        <v>548</v>
      </c>
      <c r="R17" s="264" t="s">
        <v>549</v>
      </c>
      <c r="S17" s="265" t="s">
        <v>550</v>
      </c>
      <c r="T17" s="268" t="s">
        <v>551</v>
      </c>
      <c r="U17" s="5"/>
    </row>
    <row r="18" spans="1:21" s="5" customFormat="1" ht="53.45" customHeight="1" x14ac:dyDescent="0.25">
      <c r="A18" s="252" t="s">
        <v>55</v>
      </c>
      <c r="B18" s="94">
        <v>0.18</v>
      </c>
      <c r="C18" s="94">
        <v>0.18</v>
      </c>
      <c r="D18" s="130">
        <v>0.18</v>
      </c>
      <c r="E18" s="129">
        <v>0.183</v>
      </c>
      <c r="F18" s="130">
        <v>0.18</v>
      </c>
      <c r="G18" s="130">
        <v>0.18</v>
      </c>
      <c r="H18" s="94">
        <v>0.18</v>
      </c>
      <c r="I18" s="94">
        <v>0.18</v>
      </c>
      <c r="J18" s="129">
        <v>0.183</v>
      </c>
      <c r="K18" s="129">
        <v>0.183</v>
      </c>
      <c r="L18" s="249">
        <v>18.899999999999999</v>
      </c>
      <c r="M18" s="180" t="str">
        <f t="shared" si="0"/>
        <v>Phase 3</v>
      </c>
      <c r="N18" s="9"/>
      <c r="O18" s="177" t="s">
        <v>655</v>
      </c>
      <c r="P18" s="186" t="s">
        <v>673</v>
      </c>
      <c r="Q18" s="187" t="s">
        <v>674</v>
      </c>
      <c r="R18" s="178" t="s">
        <v>672</v>
      </c>
      <c r="S18" s="178" t="s">
        <v>702</v>
      </c>
      <c r="T18" s="187" t="s">
        <v>703</v>
      </c>
      <c r="U18" s="126"/>
    </row>
    <row r="19" spans="1:21" s="126" customFormat="1" ht="47.45" customHeight="1" x14ac:dyDescent="0.25">
      <c r="A19" s="252" t="s">
        <v>56</v>
      </c>
      <c r="B19" s="94">
        <v>0.12</v>
      </c>
      <c r="C19" s="94">
        <v>0.12</v>
      </c>
      <c r="D19" s="130">
        <v>0.12</v>
      </c>
      <c r="E19" s="129">
        <v>7.4334919140947586E-2</v>
      </c>
      <c r="F19" s="130">
        <v>0.12</v>
      </c>
      <c r="G19" s="130">
        <v>0.12</v>
      </c>
      <c r="H19" s="94">
        <v>0.12</v>
      </c>
      <c r="I19" s="94">
        <v>0.12</v>
      </c>
      <c r="J19" s="129">
        <v>7.4334919140947586E-2</v>
      </c>
      <c r="K19" s="129">
        <v>7.4334919140947586E-2</v>
      </c>
      <c r="L19" s="249">
        <v>17.529999999999998</v>
      </c>
      <c r="M19" s="180" t="str">
        <f t="shared" si="0"/>
        <v>Phase 3</v>
      </c>
      <c r="N19" s="9"/>
      <c r="O19" s="125"/>
      <c r="P19" s="125"/>
      <c r="Q19" s="125"/>
      <c r="R19" s="125"/>
      <c r="S19" s="125"/>
      <c r="T19" s="125"/>
      <c r="U19" s="125"/>
    </row>
    <row r="20" spans="1:21" s="125" customFormat="1" ht="15.75" x14ac:dyDescent="0.25">
      <c r="A20" s="252" t="s">
        <v>57</v>
      </c>
      <c r="B20" s="94">
        <v>0.14000000000000001</v>
      </c>
      <c r="C20" s="94">
        <v>0.14000000000000001</v>
      </c>
      <c r="D20" s="130">
        <v>0.14000000000000001</v>
      </c>
      <c r="E20" s="129">
        <v>0.14000000000000001</v>
      </c>
      <c r="F20" s="130">
        <v>0.14000000000000001</v>
      </c>
      <c r="G20" s="130">
        <v>0.14000000000000001</v>
      </c>
      <c r="H20" s="94">
        <v>0.14000000000000001</v>
      </c>
      <c r="I20" s="94">
        <v>0.14000000000000001</v>
      </c>
      <c r="J20" s="129">
        <v>0.14000000000000001</v>
      </c>
      <c r="K20" s="129">
        <v>0.14000000000000001</v>
      </c>
      <c r="L20" s="249">
        <v>20.7</v>
      </c>
      <c r="M20" s="180" t="str">
        <f t="shared" si="0"/>
        <v>Phase 3</v>
      </c>
      <c r="N20" s="9"/>
      <c r="O20" s="9"/>
      <c r="P20" s="9"/>
      <c r="Q20" s="9"/>
      <c r="R20" s="9"/>
      <c r="S20" s="9"/>
      <c r="T20" s="9"/>
      <c r="U20" s="9"/>
    </row>
    <row r="21" spans="1:21" s="9" customFormat="1" ht="15.75" x14ac:dyDescent="0.25">
      <c r="A21" s="252" t="s">
        <v>58</v>
      </c>
      <c r="B21" s="94">
        <v>0.14000000000000001</v>
      </c>
      <c r="C21" s="94">
        <v>0.14000000000000001</v>
      </c>
      <c r="D21" s="130">
        <v>0.14000000000000001</v>
      </c>
      <c r="E21" s="129">
        <v>0.159</v>
      </c>
      <c r="F21" s="130">
        <v>0.14000000000000001</v>
      </c>
      <c r="G21" s="130">
        <v>0.14000000000000001</v>
      </c>
      <c r="H21" s="94">
        <v>0.14000000000000001</v>
      </c>
      <c r="I21" s="94">
        <v>0.14000000000000001</v>
      </c>
      <c r="J21" s="129">
        <v>0.159</v>
      </c>
      <c r="K21" s="129">
        <v>0.159</v>
      </c>
      <c r="L21" s="249">
        <v>18.899999999999999</v>
      </c>
      <c r="M21" s="180" t="str">
        <f t="shared" si="0"/>
        <v>Phase 3</v>
      </c>
    </row>
    <row r="22" spans="1:21" s="9" customFormat="1" ht="15.75" x14ac:dyDescent="0.25">
      <c r="A22" s="252" t="s">
        <v>59</v>
      </c>
      <c r="B22" s="94">
        <v>0.02</v>
      </c>
      <c r="C22" s="94">
        <v>0.02</v>
      </c>
      <c r="D22" s="130">
        <v>0.02</v>
      </c>
      <c r="E22" s="129">
        <v>7.5266845671774496E-2</v>
      </c>
      <c r="F22" s="130">
        <v>0.02</v>
      </c>
      <c r="G22" s="130">
        <v>0.02</v>
      </c>
      <c r="H22" s="94">
        <v>0.02</v>
      </c>
      <c r="I22" s="94">
        <v>0.02</v>
      </c>
      <c r="J22" s="129">
        <v>7.5266845671774496E-2</v>
      </c>
      <c r="K22" s="129">
        <v>7.5266845671774496E-2</v>
      </c>
      <c r="L22" s="249">
        <v>32.970000000000006</v>
      </c>
      <c r="M22" s="180" t="str">
        <f t="shared" si="0"/>
        <v>Phase 4</v>
      </c>
    </row>
    <row r="23" spans="1:21" s="9" customFormat="1" ht="15.75" x14ac:dyDescent="0.25">
      <c r="A23" s="252" t="s">
        <v>60</v>
      </c>
      <c r="B23" s="94">
        <v>0.16</v>
      </c>
      <c r="C23" s="94">
        <v>0.16</v>
      </c>
      <c r="D23" s="130">
        <v>0.16</v>
      </c>
      <c r="E23" s="129">
        <v>0.16800000000000001</v>
      </c>
      <c r="F23" s="130">
        <v>0.16</v>
      </c>
      <c r="G23" s="130">
        <v>0.16</v>
      </c>
      <c r="H23" s="94">
        <v>0.16</v>
      </c>
      <c r="I23" s="94">
        <v>0.16</v>
      </c>
      <c r="J23" s="129">
        <v>0.16800000000000001</v>
      </c>
      <c r="K23" s="129">
        <v>0.16800000000000001</v>
      </c>
      <c r="L23" s="249">
        <v>18.899999999999999</v>
      </c>
      <c r="M23" s="180" t="str">
        <f t="shared" si="0"/>
        <v>Phase 3</v>
      </c>
    </row>
    <row r="24" spans="1:21" s="9" customFormat="1" ht="15.75" x14ac:dyDescent="0.25">
      <c r="A24" s="252" t="s">
        <v>61</v>
      </c>
      <c r="B24" s="94">
        <v>0.12</v>
      </c>
      <c r="C24" s="94">
        <v>0.12</v>
      </c>
      <c r="D24" s="130">
        <v>0.12</v>
      </c>
      <c r="E24" s="129">
        <v>6.750103599861669E-2</v>
      </c>
      <c r="F24" s="130">
        <v>0.12</v>
      </c>
      <c r="G24" s="130">
        <v>0.12</v>
      </c>
      <c r="H24" s="94">
        <v>0.12</v>
      </c>
      <c r="I24" s="94">
        <v>0.12</v>
      </c>
      <c r="J24" s="129">
        <v>6.750103599861669E-2</v>
      </c>
      <c r="K24" s="129">
        <v>6.750103599861669E-2</v>
      </c>
      <c r="L24" s="249">
        <v>17.529999999999998</v>
      </c>
      <c r="M24" s="180" t="str">
        <f t="shared" si="0"/>
        <v>Phase 3</v>
      </c>
    </row>
    <row r="25" spans="1:21" s="9" customFormat="1" ht="15.75" x14ac:dyDescent="0.25">
      <c r="A25" s="252" t="s">
        <v>62</v>
      </c>
      <c r="B25" s="94">
        <v>0.09</v>
      </c>
      <c r="C25" s="94">
        <v>0.09</v>
      </c>
      <c r="D25" s="130">
        <v>0.09</v>
      </c>
      <c r="E25" s="129">
        <v>8.8000000000000009E-2</v>
      </c>
      <c r="F25" s="130">
        <v>0.09</v>
      </c>
      <c r="G25" s="130">
        <v>0.09</v>
      </c>
      <c r="H25" s="94">
        <v>0.09</v>
      </c>
      <c r="I25" s="94">
        <v>0.09</v>
      </c>
      <c r="J25" s="129">
        <v>8.8000000000000009E-2</v>
      </c>
      <c r="K25" s="129">
        <v>8.8000000000000009E-2</v>
      </c>
      <c r="L25" s="249">
        <v>33.850000000000009</v>
      </c>
      <c r="M25" s="180" t="str">
        <f t="shared" si="0"/>
        <v>Phase 4</v>
      </c>
    </row>
    <row r="26" spans="1:21" s="9" customFormat="1" ht="15.75" x14ac:dyDescent="0.25">
      <c r="A26" s="252" t="s">
        <v>63</v>
      </c>
      <c r="B26" s="94">
        <v>0.09</v>
      </c>
      <c r="C26" s="94">
        <v>0.09</v>
      </c>
      <c r="D26" s="130">
        <v>0.09</v>
      </c>
      <c r="E26" s="129">
        <v>9.4444844103495351E-2</v>
      </c>
      <c r="F26" s="130">
        <v>0.09</v>
      </c>
      <c r="G26" s="130">
        <v>0.09</v>
      </c>
      <c r="H26" s="94">
        <v>0.09</v>
      </c>
      <c r="I26" s="94">
        <v>0.09</v>
      </c>
      <c r="J26" s="129">
        <v>9.4444844103495351E-2</v>
      </c>
      <c r="K26" s="129">
        <v>9.4444844103495351E-2</v>
      </c>
      <c r="L26" s="249">
        <v>33.850000000000009</v>
      </c>
      <c r="M26" s="180" t="str">
        <f t="shared" si="0"/>
        <v>Phase 4</v>
      </c>
    </row>
    <row r="27" spans="1:21" s="9" customFormat="1" ht="15.75" x14ac:dyDescent="0.25">
      <c r="A27" s="252" t="s">
        <v>64</v>
      </c>
      <c r="B27" s="94">
        <v>0.34</v>
      </c>
      <c r="C27" s="94">
        <v>0.34</v>
      </c>
      <c r="D27" s="130">
        <v>0.34</v>
      </c>
      <c r="E27" s="129">
        <v>0.33299999999999996</v>
      </c>
      <c r="F27" s="130">
        <v>0.34</v>
      </c>
      <c r="G27" s="130">
        <v>0.34</v>
      </c>
      <c r="H27" s="94">
        <v>0.34</v>
      </c>
      <c r="I27" s="94">
        <v>0.34</v>
      </c>
      <c r="J27" s="129">
        <v>0.33299999999999996</v>
      </c>
      <c r="K27" s="129">
        <v>0.33299999999999996</v>
      </c>
      <c r="L27" s="249">
        <v>16.840000000000003</v>
      </c>
      <c r="M27" s="180" t="str">
        <f t="shared" si="0"/>
        <v>Phase 3</v>
      </c>
    </row>
    <row r="28" spans="1:21" s="9" customFormat="1" ht="15.75" x14ac:dyDescent="0.25">
      <c r="A28" s="252" t="s">
        <v>65</v>
      </c>
      <c r="B28" s="94">
        <v>0.12</v>
      </c>
      <c r="C28" s="94">
        <v>0.12</v>
      </c>
      <c r="D28" s="130">
        <v>0.12</v>
      </c>
      <c r="E28" s="129">
        <v>0.126</v>
      </c>
      <c r="F28" s="130">
        <v>0.12</v>
      </c>
      <c r="G28" s="130">
        <v>0.12</v>
      </c>
      <c r="H28" s="94">
        <v>0.12</v>
      </c>
      <c r="I28" s="94">
        <v>0.12</v>
      </c>
      <c r="J28" s="129">
        <v>0.126</v>
      </c>
      <c r="K28" s="129">
        <v>0.126</v>
      </c>
      <c r="L28" s="249">
        <v>20.7</v>
      </c>
      <c r="M28" s="180" t="str">
        <f t="shared" si="0"/>
        <v>Phase 3</v>
      </c>
    </row>
    <row r="29" spans="1:21" s="9" customFormat="1" ht="15.75" x14ac:dyDescent="0.25">
      <c r="A29" s="252" t="s">
        <v>66</v>
      </c>
      <c r="B29" s="94">
        <v>0.11</v>
      </c>
      <c r="C29" s="94">
        <v>0.11</v>
      </c>
      <c r="D29" s="130">
        <v>0.11</v>
      </c>
      <c r="E29" s="129">
        <v>0.105</v>
      </c>
      <c r="F29" s="130">
        <v>0.11</v>
      </c>
      <c r="G29" s="130">
        <v>0.11</v>
      </c>
      <c r="H29" s="94">
        <v>0.11</v>
      </c>
      <c r="I29" s="94">
        <v>0.11</v>
      </c>
      <c r="J29" s="129">
        <v>0.105</v>
      </c>
      <c r="K29" s="129">
        <v>0.105</v>
      </c>
      <c r="L29" s="249">
        <v>20.7</v>
      </c>
      <c r="M29" s="180" t="str">
        <f t="shared" si="0"/>
        <v>Phase 3</v>
      </c>
    </row>
    <row r="30" spans="1:21" s="9" customFormat="1" ht="15.75" x14ac:dyDescent="0.25">
      <c r="A30" s="252" t="s">
        <v>67</v>
      </c>
      <c r="B30" s="94">
        <v>0.17</v>
      </c>
      <c r="C30" s="94">
        <v>0.17</v>
      </c>
      <c r="D30" s="130">
        <v>0.17</v>
      </c>
      <c r="E30" s="129">
        <v>0.17699999999999999</v>
      </c>
      <c r="F30" s="130">
        <v>0.17</v>
      </c>
      <c r="G30" s="130">
        <v>0.17</v>
      </c>
      <c r="H30" s="94">
        <v>0.17</v>
      </c>
      <c r="I30" s="94">
        <v>0.17</v>
      </c>
      <c r="J30" s="129">
        <v>0.17699999999999999</v>
      </c>
      <c r="K30" s="129">
        <v>0.17699999999999999</v>
      </c>
      <c r="L30" s="249">
        <v>18.899999999999999</v>
      </c>
      <c r="M30" s="180" t="str">
        <f t="shared" si="0"/>
        <v>Phase 3</v>
      </c>
    </row>
    <row r="31" spans="1:21" s="9" customFormat="1" ht="15.75" x14ac:dyDescent="0.25">
      <c r="A31" s="252" t="s">
        <v>68</v>
      </c>
      <c r="B31" s="94">
        <v>0.06</v>
      </c>
      <c r="C31" s="94">
        <v>0.06</v>
      </c>
      <c r="D31" s="130">
        <v>0.06</v>
      </c>
      <c r="E31" s="129">
        <v>6.933804782394698E-2</v>
      </c>
      <c r="F31" s="130">
        <v>0.06</v>
      </c>
      <c r="G31" s="130">
        <v>0.06</v>
      </c>
      <c r="H31" s="94">
        <v>0.06</v>
      </c>
      <c r="I31" s="94">
        <v>0.06</v>
      </c>
      <c r="J31" s="129">
        <v>6.933804782394698E-2</v>
      </c>
      <c r="K31" s="129">
        <v>6.933804782394698E-2</v>
      </c>
      <c r="L31" s="249">
        <v>33.850000000000009</v>
      </c>
      <c r="M31" s="180" t="str">
        <f t="shared" si="0"/>
        <v>Phase 4</v>
      </c>
    </row>
    <row r="32" spans="1:21" s="9" customFormat="1" ht="15.75" x14ac:dyDescent="0.25">
      <c r="A32" s="252" t="s">
        <v>69</v>
      </c>
      <c r="B32" s="94">
        <v>7.0000000000000007E-2</v>
      </c>
      <c r="C32" s="94">
        <v>7.0000000000000007E-2</v>
      </c>
      <c r="D32" s="130">
        <v>7.0000000000000007E-2</v>
      </c>
      <c r="E32" s="129">
        <v>7.7899148048748743E-2</v>
      </c>
      <c r="F32" s="130">
        <v>7.0000000000000007E-2</v>
      </c>
      <c r="G32" s="130">
        <v>7.0000000000000007E-2</v>
      </c>
      <c r="H32" s="94">
        <v>7.0000000000000007E-2</v>
      </c>
      <c r="I32" s="94">
        <v>7.0000000000000007E-2</v>
      </c>
      <c r="J32" s="129">
        <v>7.7899148048748743E-2</v>
      </c>
      <c r="K32" s="129">
        <v>7.7899148048748743E-2</v>
      </c>
      <c r="L32" s="249">
        <v>33.850000000000009</v>
      </c>
      <c r="M32" s="180" t="str">
        <f t="shared" si="0"/>
        <v>Phase 4</v>
      </c>
    </row>
    <row r="33" spans="1:13" s="9" customFormat="1" ht="15.75" x14ac:dyDescent="0.25">
      <c r="A33" s="252" t="s">
        <v>70</v>
      </c>
      <c r="B33" s="94">
        <v>0.06</v>
      </c>
      <c r="C33" s="94">
        <v>0.06</v>
      </c>
      <c r="D33" s="130">
        <v>0.06</v>
      </c>
      <c r="E33" s="129">
        <v>6.1585365984931792E-2</v>
      </c>
      <c r="F33" s="130">
        <v>0.06</v>
      </c>
      <c r="G33" s="130">
        <v>0.06</v>
      </c>
      <c r="H33" s="94">
        <v>0.06</v>
      </c>
      <c r="I33" s="94">
        <v>0.06</v>
      </c>
      <c r="J33" s="129">
        <v>6.1585365984931792E-2</v>
      </c>
      <c r="K33" s="129">
        <v>6.1585365984931792E-2</v>
      </c>
      <c r="L33" s="249">
        <v>33.850000000000009</v>
      </c>
      <c r="M33" s="180" t="str">
        <f t="shared" si="0"/>
        <v>Phase 4</v>
      </c>
    </row>
    <row r="34" spans="1:13" s="9" customFormat="1" ht="15" x14ac:dyDescent="0.2">
      <c r="A34" s="252"/>
      <c r="B34" s="94"/>
      <c r="C34" s="94"/>
      <c r="D34" s="94"/>
      <c r="E34" s="95"/>
      <c r="F34" s="94"/>
      <c r="G34" s="94"/>
      <c r="H34" s="94"/>
      <c r="I34" s="94"/>
      <c r="J34" s="95"/>
      <c r="K34" s="95"/>
      <c r="L34" s="106"/>
      <c r="M34" s="180"/>
    </row>
    <row r="35" spans="1:13" s="9" customFormat="1" ht="15" x14ac:dyDescent="0.2">
      <c r="A35" s="252"/>
      <c r="B35" s="94"/>
      <c r="C35" s="94"/>
      <c r="D35" s="94"/>
      <c r="E35" s="95"/>
      <c r="F35" s="94"/>
      <c r="G35" s="94"/>
      <c r="H35" s="94"/>
      <c r="I35" s="94"/>
      <c r="J35" s="95"/>
      <c r="K35" s="95"/>
      <c r="L35" s="106"/>
      <c r="M35" s="180"/>
    </row>
    <row r="36" spans="1:13" s="9" customFormat="1" ht="15" x14ac:dyDescent="0.2">
      <c r="A36" s="252"/>
      <c r="B36" s="94"/>
      <c r="C36" s="94"/>
      <c r="D36" s="94"/>
      <c r="E36" s="95"/>
      <c r="F36" s="94"/>
      <c r="G36" s="94"/>
      <c r="H36" s="94"/>
      <c r="I36" s="94"/>
      <c r="J36" s="95"/>
      <c r="K36" s="95"/>
      <c r="L36" s="106"/>
      <c r="M36" s="180"/>
    </row>
    <row r="37" spans="1:13" s="9" customFormat="1" ht="15" x14ac:dyDescent="0.2">
      <c r="A37" s="252"/>
      <c r="B37" s="94"/>
      <c r="C37" s="94"/>
      <c r="D37" s="94"/>
      <c r="E37" s="95"/>
      <c r="F37" s="94"/>
      <c r="G37" s="94"/>
      <c r="H37" s="94"/>
      <c r="I37" s="94"/>
      <c r="J37" s="95"/>
      <c r="K37" s="95"/>
      <c r="L37" s="106"/>
      <c r="M37" s="180"/>
    </row>
    <row r="38" spans="1:13" s="9" customFormat="1" ht="15" x14ac:dyDescent="0.2">
      <c r="A38" s="252"/>
      <c r="B38" s="94"/>
      <c r="C38" s="94"/>
      <c r="D38" s="94"/>
      <c r="E38" s="95"/>
      <c r="F38" s="94"/>
      <c r="G38" s="94"/>
      <c r="H38" s="94"/>
      <c r="I38" s="94"/>
      <c r="J38" s="95"/>
      <c r="K38" s="95"/>
      <c r="L38" s="106"/>
      <c r="M38" s="180"/>
    </row>
    <row r="39" spans="1:13" s="9" customFormat="1" ht="15" x14ac:dyDescent="0.2">
      <c r="A39" s="252"/>
      <c r="B39" s="94"/>
      <c r="C39" s="94"/>
      <c r="D39" s="94"/>
      <c r="E39" s="95"/>
      <c r="F39" s="94"/>
      <c r="G39" s="94"/>
      <c r="H39" s="94"/>
      <c r="I39" s="94"/>
      <c r="J39" s="95"/>
      <c r="K39" s="95"/>
      <c r="L39" s="106"/>
      <c r="M39" s="180"/>
    </row>
    <row r="40" spans="1:13" s="9" customFormat="1" ht="15" x14ac:dyDescent="0.2">
      <c r="A40" s="252"/>
      <c r="B40" s="94"/>
      <c r="C40" s="94"/>
      <c r="D40" s="94"/>
      <c r="E40" s="95"/>
      <c r="F40" s="94"/>
      <c r="G40" s="94"/>
      <c r="H40" s="94"/>
      <c r="I40" s="94"/>
      <c r="J40" s="95"/>
      <c r="K40" s="95"/>
      <c r="L40" s="106"/>
      <c r="M40" s="180"/>
    </row>
    <row r="41" spans="1:13" s="9" customFormat="1" ht="15" x14ac:dyDescent="0.2">
      <c r="A41" s="252"/>
      <c r="B41" s="94"/>
      <c r="C41" s="93"/>
      <c r="D41" s="94"/>
      <c r="E41" s="95"/>
      <c r="F41" s="93"/>
      <c r="G41" s="93"/>
      <c r="H41" s="94"/>
      <c r="I41" s="94"/>
      <c r="J41" s="95"/>
      <c r="K41" s="95"/>
      <c r="L41" s="106"/>
      <c r="M41" s="180"/>
    </row>
    <row r="42" spans="1:13" s="9" customFormat="1" ht="15" x14ac:dyDescent="0.2">
      <c r="A42" s="252"/>
      <c r="B42" s="94"/>
      <c r="C42" s="94"/>
      <c r="D42" s="94"/>
      <c r="E42" s="95"/>
      <c r="F42" s="94"/>
      <c r="G42" s="94"/>
      <c r="H42" s="94"/>
      <c r="I42" s="94"/>
      <c r="J42" s="95"/>
      <c r="K42" s="95"/>
      <c r="L42" s="106"/>
      <c r="M42" s="180"/>
    </row>
    <row r="43" spans="1:13" s="9" customFormat="1" ht="15" x14ac:dyDescent="0.2">
      <c r="A43" s="252"/>
      <c r="B43" s="94"/>
      <c r="C43" s="93"/>
      <c r="D43" s="94"/>
      <c r="E43" s="95"/>
      <c r="F43" s="93"/>
      <c r="G43" s="93"/>
      <c r="H43" s="94"/>
      <c r="I43" s="94"/>
      <c r="J43" s="95"/>
      <c r="K43" s="95"/>
      <c r="L43" s="106"/>
      <c r="M43" s="180"/>
    </row>
    <row r="44" spans="1:13" s="9" customFormat="1" x14ac:dyDescent="0.2"/>
    <row r="45" spans="1:13" s="9" customFormat="1" x14ac:dyDescent="0.2"/>
    <row r="46" spans="1:13" s="9" customFormat="1" x14ac:dyDescent="0.2"/>
    <row r="47" spans="1:13" s="9" customFormat="1" x14ac:dyDescent="0.2"/>
    <row r="48" spans="1:13" s="9" customFormat="1" x14ac:dyDescent="0.2"/>
    <row r="49" spans="1:21" s="9" customFormat="1" x14ac:dyDescent="0.2"/>
    <row r="50" spans="1:21" s="9" customFormat="1" x14ac:dyDescent="0.2"/>
    <row r="51" spans="1:21" s="9" customFormat="1" x14ac:dyDescent="0.2"/>
    <row r="52" spans="1:21" s="9" customFormat="1" x14ac:dyDescent="0.2"/>
    <row r="53" spans="1:21" s="9" customFormat="1" x14ac:dyDescent="0.2"/>
    <row r="54" spans="1:21" s="9" customFormat="1" x14ac:dyDescent="0.2"/>
    <row r="55" spans="1:21" s="9" customFormat="1" x14ac:dyDescent="0.2"/>
    <row r="56" spans="1:21" s="9" customFormat="1" x14ac:dyDescent="0.2"/>
    <row r="57" spans="1:21" s="9" customFormat="1" x14ac:dyDescent="0.2">
      <c r="O57" s="1"/>
      <c r="P57" s="1"/>
      <c r="Q57" s="1"/>
      <c r="R57" s="1"/>
      <c r="S57" s="1"/>
      <c r="T57" s="1"/>
      <c r="U57" s="1"/>
    </row>
    <row r="58" spans="1:21" x14ac:dyDescent="0.2">
      <c r="A58" s="2"/>
    </row>
    <row r="59" spans="1:21" x14ac:dyDescent="0.2">
      <c r="D59" s="1"/>
      <c r="E59" s="1"/>
    </row>
    <row r="60" spans="1:21" x14ac:dyDescent="0.2">
      <c r="D60" s="1"/>
      <c r="E60" s="1"/>
    </row>
    <row r="61" spans="1:21" ht="24" customHeight="1" x14ac:dyDescent="0.2">
      <c r="D61" s="1"/>
      <c r="E61" s="1"/>
    </row>
    <row r="62" spans="1:21" ht="22.9" customHeight="1" x14ac:dyDescent="0.2">
      <c r="D62" s="1"/>
      <c r="E62" s="1"/>
    </row>
    <row r="63" spans="1:21" ht="22.9" customHeight="1" x14ac:dyDescent="0.2">
      <c r="D63" s="1"/>
      <c r="E63" s="1"/>
    </row>
    <row r="64" spans="1:21" ht="21" customHeight="1" x14ac:dyDescent="0.2">
      <c r="D64" s="1"/>
      <c r="E64" s="1"/>
    </row>
    <row r="65" spans="4:5" ht="18.600000000000001" customHeight="1" x14ac:dyDescent="0.2">
      <c r="D65" s="1"/>
      <c r="E65" s="1"/>
    </row>
    <row r="66" spans="4:5" ht="18" customHeight="1" x14ac:dyDescent="0.2">
      <c r="D66" s="1"/>
      <c r="E66" s="1"/>
    </row>
    <row r="67" spans="4:5" ht="18" customHeight="1" x14ac:dyDescent="0.2">
      <c r="D67" s="1"/>
      <c r="E67" s="1"/>
    </row>
    <row r="68" spans="4:5" ht="15.6" customHeight="1" x14ac:dyDescent="0.2">
      <c r="D68" s="1"/>
      <c r="E68" s="1"/>
    </row>
    <row r="69" spans="4:5" ht="29.45" customHeight="1" x14ac:dyDescent="0.2">
      <c r="D69" s="1"/>
      <c r="E69" s="1"/>
    </row>
    <row r="70" spans="4:5" ht="29.45" customHeight="1" x14ac:dyDescent="0.2">
      <c r="D70" s="1"/>
      <c r="E70" s="1"/>
    </row>
    <row r="71" spans="4:5" ht="17.45" customHeight="1" x14ac:dyDescent="0.2">
      <c r="D71" s="1"/>
      <c r="E71" s="1"/>
    </row>
    <row r="72" spans="4:5" ht="18" customHeight="1" x14ac:dyDescent="0.2">
      <c r="D72" s="1"/>
      <c r="E72" s="1"/>
    </row>
    <row r="73" spans="4:5" ht="27.6" customHeight="1" x14ac:dyDescent="0.2">
      <c r="D73" s="1"/>
      <c r="E73" s="1"/>
    </row>
    <row r="74" spans="4:5" ht="27.6" customHeight="1" x14ac:dyDescent="0.2">
      <c r="D74" s="1"/>
      <c r="E74" s="1"/>
    </row>
    <row r="75" spans="4:5" ht="17.45" customHeight="1" x14ac:dyDescent="0.2">
      <c r="D75" s="1"/>
      <c r="E75" s="1"/>
    </row>
    <row r="76" spans="4:5" ht="17.45" customHeight="1" x14ac:dyDescent="0.2">
      <c r="D76" s="1"/>
      <c r="E76" s="1"/>
    </row>
    <row r="77" spans="4:5" ht="18.600000000000001" customHeight="1" x14ac:dyDescent="0.2">
      <c r="D77" s="1"/>
      <c r="E77" s="1"/>
    </row>
    <row r="78" spans="4:5" ht="16.149999999999999" customHeight="1" x14ac:dyDescent="0.2">
      <c r="D78" s="1"/>
      <c r="E78" s="1"/>
    </row>
    <row r="79" spans="4:5" ht="29.45" customHeight="1" x14ac:dyDescent="0.2">
      <c r="D79" s="1"/>
      <c r="E79" s="1"/>
    </row>
    <row r="80" spans="4:5" ht="27.6" customHeight="1" x14ac:dyDescent="0.2">
      <c r="D80" s="1"/>
      <c r="E80" s="1"/>
    </row>
    <row r="81" spans="4:5" ht="27.6" customHeight="1" x14ac:dyDescent="0.2">
      <c r="D81" s="1"/>
      <c r="E81" s="1"/>
    </row>
    <row r="82" spans="4:5" x14ac:dyDescent="0.2">
      <c r="D82" s="1"/>
      <c r="E82" s="1"/>
    </row>
    <row r="83" spans="4:5" x14ac:dyDescent="0.2">
      <c r="D83" s="1"/>
      <c r="E83" s="1"/>
    </row>
    <row r="84" spans="4:5" x14ac:dyDescent="0.2">
      <c r="D84" s="1"/>
      <c r="E84" s="1"/>
    </row>
    <row r="85" spans="4:5" x14ac:dyDescent="0.2">
      <c r="D85" s="1"/>
      <c r="E85" s="1"/>
    </row>
    <row r="86" spans="4:5" x14ac:dyDescent="0.2">
      <c r="D86" s="1"/>
      <c r="E86" s="1"/>
    </row>
    <row r="87" spans="4:5" x14ac:dyDescent="0.2">
      <c r="D87" s="1"/>
      <c r="E87" s="1"/>
    </row>
    <row r="88" spans="4:5" x14ac:dyDescent="0.2">
      <c r="D88" s="1"/>
      <c r="E88" s="1"/>
    </row>
    <row r="89" spans="4:5" x14ac:dyDescent="0.2">
      <c r="D89" s="1"/>
      <c r="E89" s="1"/>
    </row>
    <row r="90" spans="4:5" x14ac:dyDescent="0.2">
      <c r="D90" s="1"/>
      <c r="E90" s="1"/>
    </row>
    <row r="91" spans="4:5" x14ac:dyDescent="0.2">
      <c r="D91" s="1"/>
      <c r="E91" s="1"/>
    </row>
    <row r="92" spans="4:5" x14ac:dyDescent="0.2">
      <c r="D92" s="1"/>
      <c r="E92" s="1"/>
    </row>
    <row r="93" spans="4:5" x14ac:dyDescent="0.2">
      <c r="D93" s="1"/>
      <c r="E93" s="1"/>
    </row>
    <row r="94" spans="4:5" x14ac:dyDescent="0.2">
      <c r="D94" s="1"/>
      <c r="E94" s="1"/>
    </row>
    <row r="95" spans="4:5" x14ac:dyDescent="0.2">
      <c r="D95" s="1"/>
      <c r="E95" s="1"/>
    </row>
    <row r="96" spans="4:5" x14ac:dyDescent="0.2">
      <c r="D96" s="1"/>
      <c r="E96" s="1"/>
    </row>
    <row r="97" spans="4:5" x14ac:dyDescent="0.2">
      <c r="D97" s="1"/>
      <c r="E97" s="1"/>
    </row>
    <row r="98" spans="4:5" x14ac:dyDescent="0.2">
      <c r="D98" s="1"/>
      <c r="E98" s="1"/>
    </row>
    <row r="99" spans="4:5" x14ac:dyDescent="0.2">
      <c r="D99" s="1"/>
      <c r="E99" s="1"/>
    </row>
    <row r="100" spans="4:5" x14ac:dyDescent="0.2">
      <c r="D100" s="1"/>
      <c r="E100" s="1"/>
    </row>
    <row r="101" spans="4:5" x14ac:dyDescent="0.2">
      <c r="D101" s="1"/>
      <c r="E101" s="1"/>
    </row>
    <row r="102" spans="4:5" x14ac:dyDescent="0.2">
      <c r="D102" s="1"/>
      <c r="E102" s="1"/>
    </row>
  </sheetData>
  <mergeCells count="8">
    <mergeCell ref="C1:F1"/>
    <mergeCell ref="S12:T12"/>
    <mergeCell ref="U12:U13"/>
    <mergeCell ref="U4:U8"/>
    <mergeCell ref="S6:T6"/>
    <mergeCell ref="S8:T8"/>
    <mergeCell ref="S9:T9"/>
    <mergeCell ref="U9:U11"/>
  </mergeCells>
  <conditionalFormatting sqref="D4:D43">
    <cfRule type="containsBlanks" dxfId="108" priority="69">
      <formula>LEN(TRIM(D4))=0</formula>
    </cfRule>
    <cfRule type="cellIs" dxfId="107" priority="70" operator="greaterThanOrEqual">
      <formula>30%</formula>
    </cfRule>
    <cfRule type="cellIs" dxfId="106" priority="71" operator="between">
      <formula>20%</formula>
      <formula>30%</formula>
    </cfRule>
    <cfRule type="cellIs" dxfId="105" priority="72" operator="between">
      <formula>10%</formula>
      <formula>20%</formula>
    </cfRule>
    <cfRule type="cellIs" dxfId="104" priority="73" operator="lessThan">
      <formula>10%</formula>
    </cfRule>
  </conditionalFormatting>
  <conditionalFormatting sqref="E4:E43">
    <cfRule type="containsBlanks" dxfId="103" priority="74">
      <formula>LEN(TRIM(E4))=0</formula>
    </cfRule>
    <cfRule type="cellIs" dxfId="102" priority="75" operator="greaterThanOrEqual">
      <formula>15%</formula>
    </cfRule>
    <cfRule type="cellIs" dxfId="101" priority="76" operator="between">
      <formula>10%</formula>
      <formula>15%</formula>
    </cfRule>
    <cfRule type="cellIs" dxfId="100" priority="77" operator="between">
      <formula>5%</formula>
      <formula>10%</formula>
    </cfRule>
    <cfRule type="cellIs" dxfId="99" priority="78" operator="between">
      <formula>2.5%</formula>
      <formula>5%</formula>
    </cfRule>
    <cfRule type="cellIs" dxfId="98" priority="79" operator="lessThan">
      <formula>2.5%</formula>
    </cfRule>
  </conditionalFormatting>
  <conditionalFormatting sqref="G4:G43">
    <cfRule type="containsBlanks" dxfId="97" priority="64">
      <formula>LEN(TRIM(G4))=0</formula>
    </cfRule>
    <cfRule type="cellIs" dxfId="96" priority="65" operator="greaterThanOrEqual">
      <formula>40%</formula>
    </cfRule>
    <cfRule type="cellIs" dxfId="95" priority="66" operator="between">
      <formula>20%</formula>
      <formula>40%</formula>
    </cfRule>
    <cfRule type="cellIs" dxfId="94" priority="67" operator="between">
      <formula>5%</formula>
      <formula>20%</formula>
    </cfRule>
    <cfRule type="cellIs" dxfId="93" priority="68" operator="lessThan">
      <formula>5%</formula>
    </cfRule>
  </conditionalFormatting>
  <conditionalFormatting sqref="B4:B43">
    <cfRule type="containsBlanks" dxfId="92" priority="58">
      <formula>LEN(TRIM(B4))=0</formula>
    </cfRule>
    <cfRule type="cellIs" dxfId="91" priority="59" operator="lessThan">
      <formula>11%</formula>
    </cfRule>
    <cfRule type="cellIs" dxfId="90" priority="60" operator="greaterThanOrEqual">
      <formula>70%</formula>
    </cfRule>
    <cfRule type="cellIs" dxfId="89" priority="61" operator="between">
      <formula>50%</formula>
      <formula>70%</formula>
    </cfRule>
    <cfRule type="cellIs" dxfId="88" priority="62" operator="between">
      <formula>30%</formula>
      <formula>50%</formula>
    </cfRule>
    <cfRule type="cellIs" dxfId="87" priority="63" operator="between">
      <formula>11%</formula>
      <formula>30%</formula>
    </cfRule>
  </conditionalFormatting>
  <conditionalFormatting sqref="H4:H43">
    <cfRule type="containsBlanks" dxfId="86" priority="52">
      <formula>LEN(TRIM(H4))=0</formula>
    </cfRule>
    <cfRule type="cellIs" dxfId="85" priority="53" operator="greaterThanOrEqual">
      <formula>60%</formula>
    </cfRule>
    <cfRule type="cellIs" dxfId="84" priority="54" operator="between">
      <formula>40%</formula>
      <formula>60%</formula>
    </cfRule>
    <cfRule type="cellIs" dxfId="83" priority="55" operator="between">
      <formula>20%</formula>
      <formula>40%</formula>
    </cfRule>
    <cfRule type="cellIs" dxfId="82" priority="56" operator="between">
      <formula>10%</formula>
      <formula>20%</formula>
    </cfRule>
    <cfRule type="cellIs" dxfId="81" priority="57" operator="lessThan">
      <formula>10%</formula>
    </cfRule>
  </conditionalFormatting>
  <conditionalFormatting sqref="I4:I43">
    <cfRule type="containsBlanks" dxfId="80" priority="46">
      <formula>LEN(TRIM(I4))=0</formula>
    </cfRule>
    <cfRule type="cellIs" dxfId="79" priority="47" operator="greaterThanOrEqual">
      <formula>60%</formula>
    </cfRule>
    <cfRule type="cellIs" dxfId="78" priority="48" operator="between">
      <formula>40%</formula>
      <formula>60%</formula>
    </cfRule>
    <cfRule type="cellIs" dxfId="77" priority="49" operator="between">
      <formula>20%</formula>
      <formula>40%</formula>
    </cfRule>
    <cfRule type="cellIs" dxfId="76" priority="50" operator="between">
      <formula>10%</formula>
      <formula>20%</formula>
    </cfRule>
    <cfRule type="cellIs" dxfId="75" priority="51" operator="lessThan">
      <formula>10%</formula>
    </cfRule>
  </conditionalFormatting>
  <conditionalFormatting sqref="C4:C43">
    <cfRule type="containsBlanks" dxfId="74" priority="40">
      <formula>LEN(TRIM(C4))=0</formula>
    </cfRule>
    <cfRule type="cellIs" dxfId="73" priority="41" operator="greaterThanOrEqual">
      <formula>70%</formula>
    </cfRule>
    <cfRule type="cellIs" dxfId="72" priority="42" operator="between">
      <formula>40%</formula>
      <formula>70%</formula>
    </cfRule>
    <cfRule type="cellIs" dxfId="71" priority="43" operator="between">
      <formula>20%</formula>
      <formula>40%</formula>
    </cfRule>
    <cfRule type="cellIs" dxfId="70" priority="44" operator="between">
      <formula>10%</formula>
      <formula>20%</formula>
    </cfRule>
    <cfRule type="cellIs" dxfId="69" priority="45" operator="lessThan">
      <formula>10%</formula>
    </cfRule>
  </conditionalFormatting>
  <conditionalFormatting sqref="C11">
    <cfRule type="containsBlanks" dxfId="68" priority="34">
      <formula>LEN(TRIM(C11))=0</formula>
    </cfRule>
    <cfRule type="cellIs" dxfId="67" priority="35" operator="greaterThanOrEqual">
      <formula>70%</formula>
    </cfRule>
    <cfRule type="cellIs" dxfId="66" priority="36" operator="between">
      <formula>40%</formula>
      <formula>70%</formula>
    </cfRule>
    <cfRule type="cellIs" dxfId="65" priority="37" operator="between">
      <formula>20%</formula>
      <formula>40%</formula>
    </cfRule>
    <cfRule type="cellIs" dxfId="64" priority="38" operator="between">
      <formula>10%</formula>
      <formula>20%</formula>
    </cfRule>
    <cfRule type="cellIs" dxfId="63" priority="39" operator="lessThan">
      <formula>10%</formula>
    </cfRule>
  </conditionalFormatting>
  <conditionalFormatting sqref="C9">
    <cfRule type="containsBlanks" dxfId="62" priority="22">
      <formula>LEN(TRIM(C9))=0</formula>
    </cfRule>
    <cfRule type="cellIs" dxfId="61" priority="23" operator="greaterThanOrEqual">
      <formula>70%</formula>
    </cfRule>
    <cfRule type="cellIs" dxfId="60" priority="24" operator="between">
      <formula>40%</formula>
      <formula>70%</formula>
    </cfRule>
    <cfRule type="cellIs" dxfId="59" priority="25" operator="between">
      <formula>20%</formula>
      <formula>40%</formula>
    </cfRule>
    <cfRule type="cellIs" dxfId="58" priority="26" operator="between">
      <formula>10%</formula>
      <formula>20%</formula>
    </cfRule>
    <cfRule type="cellIs" dxfId="57" priority="27" operator="lessThan">
      <formula>10%</formula>
    </cfRule>
  </conditionalFormatting>
  <conditionalFormatting sqref="F4:F43">
    <cfRule type="containsBlanks" dxfId="56" priority="17">
      <formula>LEN(TRIM(F4))=0</formula>
    </cfRule>
    <cfRule type="cellIs" dxfId="55" priority="18" operator="greaterThanOrEqual">
      <formula>40%</formula>
    </cfRule>
    <cfRule type="cellIs" dxfId="54" priority="19" operator="between">
      <formula>20%</formula>
      <formula>40%</formula>
    </cfRule>
    <cfRule type="cellIs" dxfId="53" priority="20" operator="between">
      <formula>5%</formula>
      <formula>20%</formula>
    </cfRule>
    <cfRule type="cellIs" dxfId="52" priority="21" operator="lessThan">
      <formula>5%</formula>
    </cfRule>
  </conditionalFormatting>
  <conditionalFormatting sqref="K4:K43">
    <cfRule type="containsBlanks" dxfId="51" priority="11">
      <formula>LEN(TRIM(K4))=0</formula>
    </cfRule>
    <cfRule type="cellIs" dxfId="50" priority="12" operator="greaterThanOrEqual">
      <formula>15%</formula>
    </cfRule>
    <cfRule type="cellIs" dxfId="49" priority="13" operator="between">
      <formula>10%</formula>
      <formula>15%</formula>
    </cfRule>
    <cfRule type="cellIs" dxfId="48" priority="14" operator="between">
      <formula>5%</formula>
      <formula>10%</formula>
    </cfRule>
    <cfRule type="cellIs" dxfId="47" priority="15" operator="between">
      <formula>2.5%</formula>
      <formula>5%</formula>
    </cfRule>
    <cfRule type="cellIs" dxfId="46" priority="16" operator="lessThan">
      <formula>2.5%</formula>
    </cfRule>
  </conditionalFormatting>
  <conditionalFormatting sqref="J4:J43">
    <cfRule type="containsBlanks" dxfId="45" priority="1">
      <formula>LEN(TRIM(J4))=0</formula>
    </cfRule>
    <cfRule type="cellIs" dxfId="44" priority="2" operator="greaterThanOrEqual">
      <formula>15%</formula>
    </cfRule>
    <cfRule type="cellIs" dxfId="43" priority="3" operator="between">
      <formula>10%</formula>
      <formula>15%</formula>
    </cfRule>
    <cfRule type="cellIs" dxfId="42" priority="4" operator="between">
      <formula>5%</formula>
      <formula>10%</formula>
    </cfRule>
    <cfRule type="cellIs" dxfId="41" priority="5" operator="lessThan">
      <formula>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alculateScore">
                <anchor moveWithCells="1" sizeWithCells="1">
                  <from>
                    <xdr:col>11</xdr:col>
                    <xdr:colOff>57150</xdr:colOff>
                    <xdr:row>2</xdr:row>
                    <xdr:rowOff>57150</xdr:rowOff>
                  </from>
                  <to>
                    <xdr:col>11</xdr:col>
                    <xdr:colOff>1123950</xdr:colOff>
                    <xdr:row>2</xdr:row>
                    <xdr:rowOff>552450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1:AG70"/>
  <sheetViews>
    <sheetView workbookViewId="0">
      <selection sqref="A1:E1"/>
    </sheetView>
    <sheetView workbookViewId="1">
      <selection sqref="A1:E1"/>
    </sheetView>
  </sheetViews>
  <sheetFormatPr defaultColWidth="7.125" defaultRowHeight="12.75" x14ac:dyDescent="0.2"/>
  <cols>
    <col min="1" max="1" width="24.75" style="1" customWidth="1"/>
    <col min="2" max="2" width="17.75" style="1" customWidth="1"/>
    <col min="3" max="3" width="14.25" style="1" customWidth="1"/>
    <col min="4" max="4" width="19.75" style="1" customWidth="1"/>
    <col min="5" max="5" width="18.125" style="1" customWidth="1"/>
    <col min="6" max="6" width="19.75" style="1" customWidth="1"/>
    <col min="7" max="7" width="23.125" style="1" customWidth="1"/>
    <col min="8" max="8" width="19.75" style="1" customWidth="1"/>
    <col min="9" max="9" width="18.25" style="1" customWidth="1"/>
    <col min="10" max="10" width="26.75" style="1" customWidth="1"/>
    <col min="11" max="11" width="18.75" style="1" customWidth="1"/>
    <col min="12" max="12" width="27.75" style="1" customWidth="1"/>
    <col min="13" max="13" width="23.5" style="1" customWidth="1"/>
    <col min="14" max="14" width="25.125" style="1" customWidth="1"/>
    <col min="15" max="15" width="19.25" style="1" customWidth="1"/>
    <col min="16" max="16" width="15.125" style="1" customWidth="1"/>
    <col min="17" max="17" width="21.125" style="1" customWidth="1"/>
    <col min="18" max="18" width="19.25" style="1" customWidth="1"/>
    <col min="19" max="19" width="15.125" style="1" customWidth="1"/>
    <col min="20" max="20" width="21.125" style="1" customWidth="1"/>
    <col min="21" max="21" width="17.25" style="1" customWidth="1"/>
    <col min="22" max="22" width="14.75" style="1" customWidth="1"/>
    <col min="23" max="23" width="21.25" style="1" customWidth="1"/>
    <col min="24" max="24" width="17.375" style="1" customWidth="1"/>
    <col min="25" max="25" width="34" style="1" customWidth="1"/>
    <col min="26" max="26" width="25" style="1" customWidth="1"/>
    <col min="27" max="27" width="29.25" style="1" customWidth="1"/>
    <col min="28" max="28" width="21.125" style="1" customWidth="1"/>
    <col min="29" max="29" width="18" style="1" customWidth="1"/>
    <col min="30" max="30" width="18.75" style="1" customWidth="1"/>
    <col min="31" max="31" width="17.75" style="1" customWidth="1"/>
    <col min="32" max="32" width="19.125" style="1" customWidth="1"/>
    <col min="33" max="33" width="17.5" style="1" customWidth="1"/>
    <col min="34" max="16384" width="7.125" style="1"/>
  </cols>
  <sheetData>
    <row r="1" spans="1:33" ht="21.6" customHeight="1" x14ac:dyDescent="0.2">
      <c r="A1" s="469" t="s">
        <v>657</v>
      </c>
      <c r="B1" s="469"/>
      <c r="C1" s="469"/>
      <c r="D1" s="469"/>
      <c r="E1" s="470"/>
      <c r="F1" s="167" t="s">
        <v>583</v>
      </c>
      <c r="G1" s="168" t="s">
        <v>538</v>
      </c>
      <c r="H1" s="169" t="s">
        <v>539</v>
      </c>
      <c r="I1" s="170" t="s">
        <v>540</v>
      </c>
      <c r="J1" s="171" t="s">
        <v>541</v>
      </c>
      <c r="K1" s="507" t="s">
        <v>601</v>
      </c>
    </row>
    <row r="2" spans="1:33" ht="27" customHeight="1" thickBot="1" x14ac:dyDescent="0.25">
      <c r="D2" s="490" t="s">
        <v>602</v>
      </c>
      <c r="E2" s="491"/>
      <c r="F2" s="172" t="s">
        <v>547</v>
      </c>
      <c r="G2" s="173" t="s">
        <v>548</v>
      </c>
      <c r="H2" s="174" t="s">
        <v>549</v>
      </c>
      <c r="I2" s="175" t="s">
        <v>550</v>
      </c>
      <c r="J2" s="176" t="s">
        <v>551</v>
      </c>
      <c r="K2" s="508"/>
    </row>
    <row r="3" spans="1:33" ht="17.45" customHeight="1" thickBot="1" x14ac:dyDescent="0.25">
      <c r="D3" s="509" t="s">
        <v>658</v>
      </c>
      <c r="E3" s="510"/>
      <c r="F3" s="127" t="s">
        <v>600</v>
      </c>
      <c r="G3" s="181" t="s">
        <v>599</v>
      </c>
      <c r="H3" s="182" t="s">
        <v>598</v>
      </c>
      <c r="I3" s="511" t="s">
        <v>659</v>
      </c>
      <c r="J3" s="512"/>
      <c r="K3" s="183"/>
    </row>
    <row r="4" spans="1:33" ht="22.9" customHeight="1" thickBot="1" x14ac:dyDescent="0.3">
      <c r="B4"/>
    </row>
    <row r="5" spans="1:33" ht="22.9" customHeight="1" thickBot="1" x14ac:dyDescent="0.25">
      <c r="B5" s="513" t="s">
        <v>580</v>
      </c>
      <c r="C5" s="514"/>
      <c r="D5" s="499" t="s">
        <v>579</v>
      </c>
      <c r="E5" s="500"/>
      <c r="F5" s="500"/>
      <c r="G5" s="500"/>
      <c r="H5" s="501"/>
      <c r="I5" s="492" t="s">
        <v>578</v>
      </c>
      <c r="J5" s="493"/>
      <c r="K5" s="493"/>
      <c r="L5" s="494"/>
      <c r="M5" s="495" t="s">
        <v>577</v>
      </c>
      <c r="N5" s="506"/>
      <c r="O5" s="506"/>
      <c r="P5" s="506"/>
      <c r="Q5" s="506"/>
      <c r="R5" s="506"/>
      <c r="S5" s="506"/>
      <c r="T5" s="506"/>
      <c r="U5" s="506"/>
      <c r="V5" s="506"/>
      <c r="W5" s="506"/>
      <c r="X5" s="506"/>
      <c r="Y5" s="506"/>
      <c r="Z5" s="506"/>
      <c r="AA5" s="506"/>
      <c r="AB5" s="506"/>
      <c r="AC5" s="506"/>
      <c r="AD5" s="506"/>
      <c r="AE5" s="506"/>
      <c r="AF5" s="506"/>
      <c r="AG5" s="506"/>
    </row>
    <row r="6" spans="1:33" s="5" customFormat="1" ht="53.45" customHeight="1" thickBot="1" x14ac:dyDescent="0.3">
      <c r="A6" s="121" t="s">
        <v>647</v>
      </c>
      <c r="B6" s="208" t="s">
        <v>925</v>
      </c>
      <c r="C6" s="209" t="s">
        <v>926</v>
      </c>
      <c r="D6" s="291" t="s">
        <v>750</v>
      </c>
      <c r="E6" s="291" t="s">
        <v>642</v>
      </c>
      <c r="F6" s="291" t="s">
        <v>643</v>
      </c>
      <c r="G6" s="291" t="s">
        <v>644</v>
      </c>
      <c r="H6" s="291" t="s">
        <v>645</v>
      </c>
      <c r="I6" s="292" t="s">
        <v>604</v>
      </c>
      <c r="J6" s="293" t="s">
        <v>610</v>
      </c>
      <c r="K6" s="293" t="s">
        <v>617</v>
      </c>
      <c r="L6" s="294" t="s">
        <v>623</v>
      </c>
      <c r="M6" s="213" t="s">
        <v>819</v>
      </c>
      <c r="N6" s="213" t="s">
        <v>630</v>
      </c>
      <c r="O6" s="213" t="s">
        <v>854</v>
      </c>
      <c r="P6" s="213" t="s">
        <v>855</v>
      </c>
      <c r="Q6" s="213" t="s">
        <v>856</v>
      </c>
      <c r="R6" s="213" t="s">
        <v>857</v>
      </c>
      <c r="S6" s="213" t="s">
        <v>858</v>
      </c>
      <c r="T6" s="213" t="s">
        <v>859</v>
      </c>
      <c r="U6" s="213" t="s">
        <v>812</v>
      </c>
      <c r="V6" s="213" t="s">
        <v>813</v>
      </c>
      <c r="W6" s="213" t="s">
        <v>814</v>
      </c>
      <c r="X6" s="213" t="s">
        <v>815</v>
      </c>
      <c r="Y6" s="213" t="s">
        <v>801</v>
      </c>
      <c r="Z6" s="213" t="s">
        <v>820</v>
      </c>
      <c r="AA6" s="213" t="s">
        <v>636</v>
      </c>
      <c r="AB6" s="213" t="s">
        <v>808</v>
      </c>
      <c r="AC6" s="213" t="s">
        <v>829</v>
      </c>
      <c r="AD6" s="213" t="s">
        <v>806</v>
      </c>
      <c r="AE6" s="213" t="s">
        <v>828</v>
      </c>
      <c r="AF6" s="213" t="s">
        <v>817</v>
      </c>
      <c r="AG6" s="213" t="s">
        <v>818</v>
      </c>
    </row>
    <row r="7" spans="1:33" s="126" customFormat="1" ht="47.45" customHeight="1" x14ac:dyDescent="0.25">
      <c r="A7" s="73" t="s">
        <v>651</v>
      </c>
      <c r="B7" s="216" t="s">
        <v>664</v>
      </c>
      <c r="C7" s="217" t="s">
        <v>664</v>
      </c>
      <c r="D7" s="214" t="s">
        <v>677</v>
      </c>
      <c r="E7" s="214" t="s">
        <v>677</v>
      </c>
      <c r="F7" s="214" t="s">
        <v>677</v>
      </c>
      <c r="G7" s="214" t="s">
        <v>677</v>
      </c>
      <c r="H7" s="214" t="s">
        <v>677</v>
      </c>
      <c r="I7" s="216" t="s">
        <v>677</v>
      </c>
      <c r="J7" s="206" t="s">
        <v>677</v>
      </c>
      <c r="K7" s="206" t="s">
        <v>677</v>
      </c>
      <c r="L7" s="217" t="s">
        <v>677</v>
      </c>
      <c r="M7" s="206" t="s">
        <v>677</v>
      </c>
      <c r="N7" s="206" t="s">
        <v>677</v>
      </c>
      <c r="O7" s="206" t="s">
        <v>677</v>
      </c>
      <c r="P7" s="206" t="s">
        <v>677</v>
      </c>
      <c r="Q7" s="206" t="s">
        <v>677</v>
      </c>
      <c r="R7" s="206" t="s">
        <v>677</v>
      </c>
      <c r="S7" s="206" t="s">
        <v>677</v>
      </c>
      <c r="T7" s="206" t="s">
        <v>677</v>
      </c>
      <c r="U7" s="206" t="s">
        <v>677</v>
      </c>
      <c r="V7" s="206" t="s">
        <v>677</v>
      </c>
      <c r="W7" s="206" t="s">
        <v>677</v>
      </c>
      <c r="X7" s="206" t="s">
        <v>677</v>
      </c>
      <c r="Y7" s="206" t="s">
        <v>677</v>
      </c>
      <c r="Z7" s="206" t="s">
        <v>677</v>
      </c>
      <c r="AA7" s="206" t="s">
        <v>677</v>
      </c>
      <c r="AB7" s="206" t="s">
        <v>677</v>
      </c>
      <c r="AC7" s="206" t="s">
        <v>677</v>
      </c>
      <c r="AD7" s="206" t="s">
        <v>677</v>
      </c>
      <c r="AE7" s="206" t="s">
        <v>677</v>
      </c>
      <c r="AF7" s="206" t="s">
        <v>677</v>
      </c>
      <c r="AG7" s="206" t="s">
        <v>677</v>
      </c>
    </row>
    <row r="8" spans="1:33" s="125" customFormat="1" ht="15" x14ac:dyDescent="0.2">
      <c r="A8" s="105" t="s">
        <v>41</v>
      </c>
      <c r="B8" s="224">
        <v>2</v>
      </c>
      <c r="C8" s="225">
        <v>2</v>
      </c>
      <c r="D8" s="204">
        <v>1</v>
      </c>
      <c r="E8" s="204">
        <v>1</v>
      </c>
      <c r="F8" s="204">
        <v>1</v>
      </c>
      <c r="G8" s="204">
        <v>1</v>
      </c>
      <c r="H8" s="204">
        <v>1</v>
      </c>
      <c r="I8" s="218">
        <v>1</v>
      </c>
      <c r="J8" s="219">
        <v>1</v>
      </c>
      <c r="K8" s="219">
        <v>1</v>
      </c>
      <c r="L8" s="220">
        <v>1</v>
      </c>
      <c r="M8" s="204">
        <v>1</v>
      </c>
      <c r="N8" s="204">
        <v>1</v>
      </c>
      <c r="O8" s="204">
        <v>1</v>
      </c>
      <c r="P8" s="204">
        <v>1</v>
      </c>
      <c r="Q8" s="204">
        <v>1</v>
      </c>
      <c r="R8" s="204">
        <v>1</v>
      </c>
      <c r="S8" s="204">
        <v>1</v>
      </c>
      <c r="T8" s="204">
        <v>1</v>
      </c>
      <c r="U8" s="204">
        <v>1</v>
      </c>
      <c r="V8" s="204">
        <v>1</v>
      </c>
      <c r="W8" s="204">
        <v>1</v>
      </c>
      <c r="X8" s="204">
        <v>1</v>
      </c>
      <c r="Y8" s="204">
        <v>1</v>
      </c>
      <c r="Z8" s="204">
        <v>1</v>
      </c>
      <c r="AA8" s="204">
        <v>1</v>
      </c>
      <c r="AB8" s="204">
        <v>1</v>
      </c>
      <c r="AC8" s="204">
        <v>1</v>
      </c>
      <c r="AD8" s="204">
        <v>1</v>
      </c>
      <c r="AE8" s="204">
        <v>1</v>
      </c>
      <c r="AF8" s="204">
        <v>1</v>
      </c>
      <c r="AG8" s="204">
        <v>1</v>
      </c>
    </row>
    <row r="9" spans="1:33" s="9" customFormat="1" ht="15" x14ac:dyDescent="0.2">
      <c r="A9" s="106" t="s">
        <v>42</v>
      </c>
      <c r="B9" s="224">
        <v>1</v>
      </c>
      <c r="C9" s="225">
        <v>1</v>
      </c>
      <c r="D9" s="205">
        <v>2</v>
      </c>
      <c r="E9" s="205">
        <v>2</v>
      </c>
      <c r="F9" s="205">
        <v>2</v>
      </c>
      <c r="G9" s="205">
        <v>2</v>
      </c>
      <c r="H9" s="205">
        <v>2</v>
      </c>
      <c r="I9" s="221">
        <v>2</v>
      </c>
      <c r="J9" s="222">
        <v>2</v>
      </c>
      <c r="K9" s="222">
        <v>2</v>
      </c>
      <c r="L9" s="223">
        <v>2</v>
      </c>
      <c r="M9" s="205">
        <v>2</v>
      </c>
      <c r="N9" s="205">
        <v>2</v>
      </c>
      <c r="O9" s="205">
        <v>2</v>
      </c>
      <c r="P9" s="205">
        <v>2</v>
      </c>
      <c r="Q9" s="205">
        <v>2</v>
      </c>
      <c r="R9" s="205">
        <v>2</v>
      </c>
      <c r="S9" s="205">
        <v>2</v>
      </c>
      <c r="T9" s="205">
        <v>2</v>
      </c>
      <c r="U9" s="205">
        <v>2</v>
      </c>
      <c r="V9" s="205">
        <v>2</v>
      </c>
      <c r="W9" s="205">
        <v>2</v>
      </c>
      <c r="X9" s="205">
        <v>2</v>
      </c>
      <c r="Y9" s="205">
        <v>2</v>
      </c>
      <c r="Z9" s="205">
        <v>2</v>
      </c>
      <c r="AA9" s="205">
        <v>2</v>
      </c>
      <c r="AB9" s="205">
        <v>2</v>
      </c>
      <c r="AC9" s="205">
        <v>2</v>
      </c>
      <c r="AD9" s="205">
        <v>2</v>
      </c>
      <c r="AE9" s="205">
        <v>2</v>
      </c>
      <c r="AF9" s="205">
        <v>2</v>
      </c>
      <c r="AG9" s="205">
        <v>2</v>
      </c>
    </row>
    <row r="10" spans="1:33" s="9" customFormat="1" ht="15" x14ac:dyDescent="0.2">
      <c r="A10" s="106" t="s">
        <v>43</v>
      </c>
      <c r="B10" s="224">
        <v>1</v>
      </c>
      <c r="C10" s="225">
        <v>1</v>
      </c>
      <c r="D10" s="205">
        <v>3</v>
      </c>
      <c r="E10" s="205">
        <v>3</v>
      </c>
      <c r="F10" s="205">
        <v>3</v>
      </c>
      <c r="G10" s="205">
        <v>3</v>
      </c>
      <c r="H10" s="205">
        <v>3</v>
      </c>
      <c r="I10" s="221">
        <v>3</v>
      </c>
      <c r="J10" s="222">
        <v>3</v>
      </c>
      <c r="K10" s="222">
        <v>3</v>
      </c>
      <c r="L10" s="223">
        <v>3</v>
      </c>
      <c r="M10" s="205">
        <v>3</v>
      </c>
      <c r="N10" s="205">
        <v>3</v>
      </c>
      <c r="O10" s="205">
        <v>3</v>
      </c>
      <c r="P10" s="205">
        <v>3</v>
      </c>
      <c r="Q10" s="205">
        <v>3</v>
      </c>
      <c r="R10" s="205">
        <v>3</v>
      </c>
      <c r="S10" s="205">
        <v>3</v>
      </c>
      <c r="T10" s="205">
        <v>3</v>
      </c>
      <c r="U10" s="205">
        <v>3</v>
      </c>
      <c r="V10" s="205">
        <v>3</v>
      </c>
      <c r="W10" s="205">
        <v>3</v>
      </c>
      <c r="X10" s="205">
        <v>3</v>
      </c>
      <c r="Y10" s="205">
        <v>3</v>
      </c>
      <c r="Z10" s="205">
        <v>3</v>
      </c>
      <c r="AA10" s="205">
        <v>3</v>
      </c>
      <c r="AB10" s="205">
        <v>3</v>
      </c>
      <c r="AC10" s="205">
        <v>3</v>
      </c>
      <c r="AD10" s="205">
        <v>3</v>
      </c>
      <c r="AE10" s="205">
        <v>3</v>
      </c>
      <c r="AF10" s="205">
        <v>3</v>
      </c>
      <c r="AG10" s="205">
        <v>3</v>
      </c>
    </row>
    <row r="11" spans="1:33" s="9" customFormat="1" ht="15" x14ac:dyDescent="0.2">
      <c r="A11" s="106" t="s">
        <v>44</v>
      </c>
      <c r="B11" s="224">
        <v>1</v>
      </c>
      <c r="C11" s="225">
        <v>1</v>
      </c>
      <c r="D11" s="205">
        <v>4</v>
      </c>
      <c r="E11" s="205">
        <v>4</v>
      </c>
      <c r="F11" s="205">
        <v>4</v>
      </c>
      <c r="G11" s="205">
        <v>4</v>
      </c>
      <c r="H11" s="205">
        <v>4</v>
      </c>
      <c r="I11" s="221">
        <v>4</v>
      </c>
      <c r="J11" s="222">
        <v>4</v>
      </c>
      <c r="K11" s="222">
        <v>4</v>
      </c>
      <c r="L11" s="223">
        <v>4</v>
      </c>
      <c r="M11" s="205">
        <v>4</v>
      </c>
      <c r="N11" s="205">
        <v>4</v>
      </c>
      <c r="O11" s="205">
        <v>4</v>
      </c>
      <c r="P11" s="205">
        <v>4</v>
      </c>
      <c r="Q11" s="205">
        <v>4</v>
      </c>
      <c r="R11" s="205">
        <v>4</v>
      </c>
      <c r="S11" s="205">
        <v>4</v>
      </c>
      <c r="T11" s="205">
        <v>4</v>
      </c>
      <c r="U11" s="205">
        <v>4</v>
      </c>
      <c r="V11" s="205">
        <v>4</v>
      </c>
      <c r="W11" s="205">
        <v>4</v>
      </c>
      <c r="X11" s="205">
        <v>4</v>
      </c>
      <c r="Y11" s="205">
        <v>4</v>
      </c>
      <c r="Z11" s="205">
        <v>4</v>
      </c>
      <c r="AA11" s="205">
        <v>4</v>
      </c>
      <c r="AB11" s="205">
        <v>4</v>
      </c>
      <c r="AC11" s="205">
        <v>4</v>
      </c>
      <c r="AD11" s="205">
        <v>4</v>
      </c>
      <c r="AE11" s="205">
        <v>4</v>
      </c>
      <c r="AF11" s="205">
        <v>4</v>
      </c>
      <c r="AG11" s="205">
        <v>4</v>
      </c>
    </row>
    <row r="12" spans="1:33" s="9" customFormat="1" ht="15" x14ac:dyDescent="0.2">
      <c r="A12" s="106" t="s">
        <v>45</v>
      </c>
      <c r="B12" s="224">
        <v>2</v>
      </c>
      <c r="C12" s="225">
        <v>2</v>
      </c>
      <c r="D12" s="205">
        <v>5</v>
      </c>
      <c r="E12" s="205">
        <v>5</v>
      </c>
      <c r="F12" s="205">
        <v>5</v>
      </c>
      <c r="G12" s="205">
        <v>5</v>
      </c>
      <c r="H12" s="205">
        <v>5</v>
      </c>
      <c r="I12" s="221">
        <v>5</v>
      </c>
      <c r="J12" s="222">
        <v>5</v>
      </c>
      <c r="K12" s="222">
        <v>5</v>
      </c>
      <c r="L12" s="223">
        <v>5</v>
      </c>
      <c r="M12" s="205">
        <v>5</v>
      </c>
      <c r="N12" s="205">
        <v>5</v>
      </c>
      <c r="O12" s="205">
        <v>5</v>
      </c>
      <c r="P12" s="205">
        <v>5</v>
      </c>
      <c r="Q12" s="205">
        <v>5</v>
      </c>
      <c r="R12" s="205">
        <v>5</v>
      </c>
      <c r="S12" s="205">
        <v>5</v>
      </c>
      <c r="T12" s="205">
        <v>5</v>
      </c>
      <c r="U12" s="205">
        <v>5</v>
      </c>
      <c r="V12" s="205">
        <v>5</v>
      </c>
      <c r="W12" s="205">
        <v>5</v>
      </c>
      <c r="X12" s="205">
        <v>5</v>
      </c>
      <c r="Y12" s="205">
        <v>5</v>
      </c>
      <c r="Z12" s="205">
        <v>5</v>
      </c>
      <c r="AA12" s="205">
        <v>5</v>
      </c>
      <c r="AB12" s="205">
        <v>5</v>
      </c>
      <c r="AC12" s="205">
        <v>5</v>
      </c>
      <c r="AD12" s="205">
        <v>5</v>
      </c>
      <c r="AE12" s="205">
        <v>5</v>
      </c>
      <c r="AF12" s="205">
        <v>5</v>
      </c>
      <c r="AG12" s="205">
        <v>5</v>
      </c>
    </row>
    <row r="13" spans="1:33" s="9" customFormat="1" ht="15" x14ac:dyDescent="0.2">
      <c r="A13" s="106" t="s">
        <v>46</v>
      </c>
      <c r="B13" s="224">
        <v>2</v>
      </c>
      <c r="C13" s="225">
        <v>2</v>
      </c>
      <c r="D13" s="204">
        <v>1</v>
      </c>
      <c r="E13" s="204">
        <v>1</v>
      </c>
      <c r="F13" s="204">
        <v>1</v>
      </c>
      <c r="G13" s="204">
        <v>1</v>
      </c>
      <c r="H13" s="204">
        <v>1</v>
      </c>
      <c r="I13" s="218">
        <v>1</v>
      </c>
      <c r="J13" s="219">
        <v>1</v>
      </c>
      <c r="K13" s="219">
        <v>1</v>
      </c>
      <c r="L13" s="220">
        <v>1</v>
      </c>
      <c r="M13" s="204">
        <v>1</v>
      </c>
      <c r="N13" s="204">
        <v>1</v>
      </c>
      <c r="O13" s="204">
        <v>1</v>
      </c>
      <c r="P13" s="204">
        <v>1</v>
      </c>
      <c r="Q13" s="204">
        <v>1</v>
      </c>
      <c r="R13" s="204">
        <v>1</v>
      </c>
      <c r="S13" s="204">
        <v>1</v>
      </c>
      <c r="T13" s="204">
        <v>1</v>
      </c>
      <c r="U13" s="204">
        <v>1</v>
      </c>
      <c r="V13" s="204">
        <v>1</v>
      </c>
      <c r="W13" s="204">
        <v>1</v>
      </c>
      <c r="X13" s="204">
        <v>1</v>
      </c>
      <c r="Y13" s="204">
        <v>1</v>
      </c>
      <c r="Z13" s="204">
        <v>1</v>
      </c>
      <c r="AA13" s="204">
        <v>1</v>
      </c>
      <c r="AB13" s="204">
        <v>1</v>
      </c>
      <c r="AC13" s="204">
        <v>1</v>
      </c>
      <c r="AD13" s="204">
        <v>1</v>
      </c>
      <c r="AE13" s="204">
        <v>1</v>
      </c>
      <c r="AF13" s="204">
        <v>1</v>
      </c>
      <c r="AG13" s="204">
        <v>1</v>
      </c>
    </row>
    <row r="14" spans="1:33" s="9" customFormat="1" ht="15" x14ac:dyDescent="0.2">
      <c r="A14" s="106" t="s">
        <v>47</v>
      </c>
      <c r="B14" s="224">
        <v>2</v>
      </c>
      <c r="C14" s="225">
        <v>2</v>
      </c>
      <c r="D14" s="205">
        <v>2</v>
      </c>
      <c r="E14" s="205">
        <v>2</v>
      </c>
      <c r="F14" s="205">
        <v>2</v>
      </c>
      <c r="G14" s="205">
        <v>2</v>
      </c>
      <c r="H14" s="205">
        <v>2</v>
      </c>
      <c r="I14" s="221">
        <v>2</v>
      </c>
      <c r="J14" s="222">
        <v>2</v>
      </c>
      <c r="K14" s="222">
        <v>2</v>
      </c>
      <c r="L14" s="223">
        <v>2</v>
      </c>
      <c r="M14" s="205">
        <v>2</v>
      </c>
      <c r="N14" s="205">
        <v>2</v>
      </c>
      <c r="O14" s="205">
        <v>2</v>
      </c>
      <c r="P14" s="205">
        <v>2</v>
      </c>
      <c r="Q14" s="205">
        <v>2</v>
      </c>
      <c r="R14" s="205">
        <v>2</v>
      </c>
      <c r="S14" s="205">
        <v>2</v>
      </c>
      <c r="T14" s="205">
        <v>2</v>
      </c>
      <c r="U14" s="205">
        <v>2</v>
      </c>
      <c r="V14" s="205">
        <v>2</v>
      </c>
      <c r="W14" s="205">
        <v>2</v>
      </c>
      <c r="X14" s="205">
        <v>2</v>
      </c>
      <c r="Y14" s="205">
        <v>2</v>
      </c>
      <c r="Z14" s="205">
        <v>2</v>
      </c>
      <c r="AA14" s="205">
        <v>2</v>
      </c>
      <c r="AB14" s="205">
        <v>2</v>
      </c>
      <c r="AC14" s="205">
        <v>2</v>
      </c>
      <c r="AD14" s="205">
        <v>2</v>
      </c>
      <c r="AE14" s="205">
        <v>2</v>
      </c>
      <c r="AF14" s="205">
        <v>2</v>
      </c>
      <c r="AG14" s="205">
        <v>2</v>
      </c>
    </row>
    <row r="15" spans="1:33" s="9" customFormat="1" ht="15" x14ac:dyDescent="0.2">
      <c r="A15" s="106" t="s">
        <v>48</v>
      </c>
      <c r="B15" s="224">
        <v>2</v>
      </c>
      <c r="C15" s="225">
        <v>2</v>
      </c>
      <c r="D15" s="205">
        <v>3</v>
      </c>
      <c r="E15" s="205">
        <v>3</v>
      </c>
      <c r="F15" s="205">
        <v>3</v>
      </c>
      <c r="G15" s="205">
        <v>3</v>
      </c>
      <c r="H15" s="205">
        <v>3</v>
      </c>
      <c r="I15" s="221">
        <v>3</v>
      </c>
      <c r="J15" s="222">
        <v>3</v>
      </c>
      <c r="K15" s="222">
        <v>3</v>
      </c>
      <c r="L15" s="223">
        <v>3</v>
      </c>
      <c r="M15" s="205">
        <v>3</v>
      </c>
      <c r="N15" s="205">
        <v>3</v>
      </c>
      <c r="O15" s="205">
        <v>3</v>
      </c>
      <c r="P15" s="205">
        <v>3</v>
      </c>
      <c r="Q15" s="205">
        <v>3</v>
      </c>
      <c r="R15" s="205">
        <v>3</v>
      </c>
      <c r="S15" s="205">
        <v>3</v>
      </c>
      <c r="T15" s="205">
        <v>3</v>
      </c>
      <c r="U15" s="205">
        <v>3</v>
      </c>
      <c r="V15" s="205">
        <v>3</v>
      </c>
      <c r="W15" s="205">
        <v>3</v>
      </c>
      <c r="X15" s="205">
        <v>3</v>
      </c>
      <c r="Y15" s="205">
        <v>3</v>
      </c>
      <c r="Z15" s="205">
        <v>3</v>
      </c>
      <c r="AA15" s="205">
        <v>3</v>
      </c>
      <c r="AB15" s="205">
        <v>3</v>
      </c>
      <c r="AC15" s="205">
        <v>3</v>
      </c>
      <c r="AD15" s="205">
        <v>3</v>
      </c>
      <c r="AE15" s="205">
        <v>3</v>
      </c>
      <c r="AF15" s="205">
        <v>3</v>
      </c>
      <c r="AG15" s="205">
        <v>3</v>
      </c>
    </row>
    <row r="16" spans="1:33" s="9" customFormat="1" ht="15" x14ac:dyDescent="0.2">
      <c r="A16" s="106" t="s">
        <v>49</v>
      </c>
      <c r="B16" s="224">
        <v>2</v>
      </c>
      <c r="C16" s="225">
        <v>2</v>
      </c>
      <c r="D16" s="205">
        <v>4</v>
      </c>
      <c r="E16" s="205">
        <v>4</v>
      </c>
      <c r="F16" s="205">
        <v>4</v>
      </c>
      <c r="G16" s="205">
        <v>4</v>
      </c>
      <c r="H16" s="205">
        <v>4</v>
      </c>
      <c r="I16" s="221">
        <v>4</v>
      </c>
      <c r="J16" s="222">
        <v>4</v>
      </c>
      <c r="K16" s="222">
        <v>4</v>
      </c>
      <c r="L16" s="223">
        <v>4</v>
      </c>
      <c r="M16" s="205">
        <v>4</v>
      </c>
      <c r="N16" s="205">
        <v>4</v>
      </c>
      <c r="O16" s="205">
        <v>4</v>
      </c>
      <c r="P16" s="205">
        <v>4</v>
      </c>
      <c r="Q16" s="205">
        <v>4</v>
      </c>
      <c r="R16" s="205">
        <v>4</v>
      </c>
      <c r="S16" s="205">
        <v>4</v>
      </c>
      <c r="T16" s="205">
        <v>4</v>
      </c>
      <c r="U16" s="205">
        <v>4</v>
      </c>
      <c r="V16" s="205">
        <v>4</v>
      </c>
      <c r="W16" s="205">
        <v>4</v>
      </c>
      <c r="X16" s="205">
        <v>4</v>
      </c>
      <c r="Y16" s="205">
        <v>4</v>
      </c>
      <c r="Z16" s="205">
        <v>4</v>
      </c>
      <c r="AA16" s="205">
        <v>4</v>
      </c>
      <c r="AB16" s="205">
        <v>4</v>
      </c>
      <c r="AC16" s="205">
        <v>4</v>
      </c>
      <c r="AD16" s="205">
        <v>4</v>
      </c>
      <c r="AE16" s="205">
        <v>4</v>
      </c>
      <c r="AF16" s="205">
        <v>4</v>
      </c>
      <c r="AG16" s="205">
        <v>4</v>
      </c>
    </row>
    <row r="17" spans="1:33" s="9" customFormat="1" ht="15" x14ac:dyDescent="0.2">
      <c r="A17" s="106" t="s">
        <v>50</v>
      </c>
      <c r="B17" s="224">
        <v>2</v>
      </c>
      <c r="C17" s="225">
        <v>2</v>
      </c>
      <c r="D17" s="205">
        <v>5</v>
      </c>
      <c r="E17" s="205">
        <v>5</v>
      </c>
      <c r="F17" s="205">
        <v>5</v>
      </c>
      <c r="G17" s="205">
        <v>5</v>
      </c>
      <c r="H17" s="205">
        <v>5</v>
      </c>
      <c r="I17" s="221">
        <v>5</v>
      </c>
      <c r="J17" s="222">
        <v>5</v>
      </c>
      <c r="K17" s="222">
        <v>5</v>
      </c>
      <c r="L17" s="223">
        <v>5</v>
      </c>
      <c r="M17" s="205">
        <v>5</v>
      </c>
      <c r="N17" s="205">
        <v>5</v>
      </c>
      <c r="O17" s="205">
        <v>5</v>
      </c>
      <c r="P17" s="205">
        <v>5</v>
      </c>
      <c r="Q17" s="205">
        <v>5</v>
      </c>
      <c r="R17" s="205">
        <v>5</v>
      </c>
      <c r="S17" s="205">
        <v>5</v>
      </c>
      <c r="T17" s="205">
        <v>5</v>
      </c>
      <c r="U17" s="205">
        <v>5</v>
      </c>
      <c r="V17" s="205">
        <v>5</v>
      </c>
      <c r="W17" s="205">
        <v>5</v>
      </c>
      <c r="X17" s="205">
        <v>5</v>
      </c>
      <c r="Y17" s="205">
        <v>5</v>
      </c>
      <c r="Z17" s="205">
        <v>5</v>
      </c>
      <c r="AA17" s="205">
        <v>5</v>
      </c>
      <c r="AB17" s="205">
        <v>5</v>
      </c>
      <c r="AC17" s="205">
        <v>5</v>
      </c>
      <c r="AD17" s="205">
        <v>5</v>
      </c>
      <c r="AE17" s="205">
        <v>5</v>
      </c>
      <c r="AF17" s="205">
        <v>5</v>
      </c>
      <c r="AG17" s="205">
        <v>5</v>
      </c>
    </row>
    <row r="18" spans="1:33" s="9" customFormat="1" ht="15" x14ac:dyDescent="0.2">
      <c r="A18" s="106" t="s">
        <v>51</v>
      </c>
      <c r="B18" s="224">
        <v>2</v>
      </c>
      <c r="C18" s="225">
        <v>2</v>
      </c>
      <c r="D18" s="204">
        <v>1</v>
      </c>
      <c r="E18" s="204">
        <v>1</v>
      </c>
      <c r="F18" s="204">
        <v>1</v>
      </c>
      <c r="G18" s="204">
        <v>1</v>
      </c>
      <c r="H18" s="204">
        <v>1</v>
      </c>
      <c r="I18" s="218">
        <v>1</v>
      </c>
      <c r="J18" s="219">
        <v>1</v>
      </c>
      <c r="K18" s="219">
        <v>1</v>
      </c>
      <c r="L18" s="220">
        <v>1</v>
      </c>
      <c r="M18" s="204">
        <v>1</v>
      </c>
      <c r="N18" s="204">
        <v>1</v>
      </c>
      <c r="O18" s="204">
        <v>1</v>
      </c>
      <c r="P18" s="204">
        <v>1</v>
      </c>
      <c r="Q18" s="204">
        <v>1</v>
      </c>
      <c r="R18" s="204">
        <v>1</v>
      </c>
      <c r="S18" s="204">
        <v>1</v>
      </c>
      <c r="T18" s="204">
        <v>1</v>
      </c>
      <c r="U18" s="204">
        <v>1</v>
      </c>
      <c r="V18" s="204">
        <v>1</v>
      </c>
      <c r="W18" s="204">
        <v>1</v>
      </c>
      <c r="X18" s="204">
        <v>1</v>
      </c>
      <c r="Y18" s="204">
        <v>1</v>
      </c>
      <c r="Z18" s="204">
        <v>1</v>
      </c>
      <c r="AA18" s="204">
        <v>1</v>
      </c>
      <c r="AB18" s="204">
        <v>1</v>
      </c>
      <c r="AC18" s="204">
        <v>1</v>
      </c>
      <c r="AD18" s="204">
        <v>1</v>
      </c>
      <c r="AE18" s="204">
        <v>1</v>
      </c>
      <c r="AF18" s="204">
        <v>1</v>
      </c>
      <c r="AG18" s="204">
        <v>1</v>
      </c>
    </row>
    <row r="19" spans="1:33" s="9" customFormat="1" ht="15" x14ac:dyDescent="0.2">
      <c r="A19" s="106" t="s">
        <v>52</v>
      </c>
      <c r="B19" s="224">
        <v>1</v>
      </c>
      <c r="C19" s="225">
        <v>1</v>
      </c>
      <c r="D19" s="205">
        <v>2</v>
      </c>
      <c r="E19" s="205">
        <v>2</v>
      </c>
      <c r="F19" s="205">
        <v>2</v>
      </c>
      <c r="G19" s="205">
        <v>2</v>
      </c>
      <c r="H19" s="205">
        <v>2</v>
      </c>
      <c r="I19" s="221">
        <v>2</v>
      </c>
      <c r="J19" s="222">
        <v>2</v>
      </c>
      <c r="K19" s="222">
        <v>2</v>
      </c>
      <c r="L19" s="223">
        <v>2</v>
      </c>
      <c r="M19" s="205">
        <v>2</v>
      </c>
      <c r="N19" s="205">
        <v>2</v>
      </c>
      <c r="O19" s="205">
        <v>2</v>
      </c>
      <c r="P19" s="205">
        <v>2</v>
      </c>
      <c r="Q19" s="205">
        <v>2</v>
      </c>
      <c r="R19" s="205">
        <v>2</v>
      </c>
      <c r="S19" s="205">
        <v>2</v>
      </c>
      <c r="T19" s="205">
        <v>2</v>
      </c>
      <c r="U19" s="205">
        <v>2</v>
      </c>
      <c r="V19" s="205">
        <v>2</v>
      </c>
      <c r="W19" s="205">
        <v>2</v>
      </c>
      <c r="X19" s="205">
        <v>2</v>
      </c>
      <c r="Y19" s="205">
        <v>2</v>
      </c>
      <c r="Z19" s="205">
        <v>2</v>
      </c>
      <c r="AA19" s="205">
        <v>2</v>
      </c>
      <c r="AB19" s="205">
        <v>2</v>
      </c>
      <c r="AC19" s="205">
        <v>2</v>
      </c>
      <c r="AD19" s="205">
        <v>2</v>
      </c>
      <c r="AE19" s="205">
        <v>2</v>
      </c>
      <c r="AF19" s="205">
        <v>2</v>
      </c>
      <c r="AG19" s="205">
        <v>2</v>
      </c>
    </row>
    <row r="20" spans="1:33" s="9" customFormat="1" ht="15" x14ac:dyDescent="0.2">
      <c r="A20" s="106" t="s">
        <v>53</v>
      </c>
      <c r="B20" s="224">
        <v>0.5</v>
      </c>
      <c r="C20" s="225">
        <v>0.5</v>
      </c>
      <c r="D20" s="205">
        <v>3</v>
      </c>
      <c r="E20" s="205">
        <v>3</v>
      </c>
      <c r="F20" s="205">
        <v>3</v>
      </c>
      <c r="G20" s="205">
        <v>3</v>
      </c>
      <c r="H20" s="205">
        <v>3</v>
      </c>
      <c r="I20" s="221">
        <v>3</v>
      </c>
      <c r="J20" s="222">
        <v>3</v>
      </c>
      <c r="K20" s="222">
        <v>3</v>
      </c>
      <c r="L20" s="223">
        <v>3</v>
      </c>
      <c r="M20" s="205">
        <v>3</v>
      </c>
      <c r="N20" s="205">
        <v>3</v>
      </c>
      <c r="O20" s="205">
        <v>3</v>
      </c>
      <c r="P20" s="205">
        <v>3</v>
      </c>
      <c r="Q20" s="205">
        <v>3</v>
      </c>
      <c r="R20" s="205">
        <v>3</v>
      </c>
      <c r="S20" s="205">
        <v>3</v>
      </c>
      <c r="T20" s="205">
        <v>3</v>
      </c>
      <c r="U20" s="205">
        <v>3</v>
      </c>
      <c r="V20" s="205">
        <v>3</v>
      </c>
      <c r="W20" s="205">
        <v>3</v>
      </c>
      <c r="X20" s="205">
        <v>3</v>
      </c>
      <c r="Y20" s="205">
        <v>3</v>
      </c>
      <c r="Z20" s="205">
        <v>3</v>
      </c>
      <c r="AA20" s="205">
        <v>3</v>
      </c>
      <c r="AB20" s="205">
        <v>3</v>
      </c>
      <c r="AC20" s="205">
        <v>3</v>
      </c>
      <c r="AD20" s="205">
        <v>3</v>
      </c>
      <c r="AE20" s="205">
        <v>3</v>
      </c>
      <c r="AF20" s="205">
        <v>3</v>
      </c>
      <c r="AG20" s="205">
        <v>3</v>
      </c>
    </row>
    <row r="21" spans="1:33" s="9" customFormat="1" ht="15" x14ac:dyDescent="0.2">
      <c r="A21" s="106" t="s">
        <v>54</v>
      </c>
      <c r="B21" s="224">
        <v>0.4</v>
      </c>
      <c r="C21" s="225">
        <v>0.5</v>
      </c>
      <c r="D21" s="205">
        <v>4</v>
      </c>
      <c r="E21" s="205">
        <v>4</v>
      </c>
      <c r="F21" s="205">
        <v>4</v>
      </c>
      <c r="G21" s="205">
        <v>4</v>
      </c>
      <c r="H21" s="205">
        <v>4</v>
      </c>
      <c r="I21" s="221">
        <v>4</v>
      </c>
      <c r="J21" s="222">
        <v>4</v>
      </c>
      <c r="K21" s="222">
        <v>4</v>
      </c>
      <c r="L21" s="223">
        <v>4</v>
      </c>
      <c r="M21" s="205">
        <v>4</v>
      </c>
      <c r="N21" s="205">
        <v>4</v>
      </c>
      <c r="O21" s="205">
        <v>4</v>
      </c>
      <c r="P21" s="205">
        <v>4</v>
      </c>
      <c r="Q21" s="205">
        <v>4</v>
      </c>
      <c r="R21" s="205">
        <v>4</v>
      </c>
      <c r="S21" s="205">
        <v>4</v>
      </c>
      <c r="T21" s="205">
        <v>4</v>
      </c>
      <c r="U21" s="205">
        <v>4</v>
      </c>
      <c r="V21" s="205">
        <v>4</v>
      </c>
      <c r="W21" s="205">
        <v>4</v>
      </c>
      <c r="X21" s="205">
        <v>4</v>
      </c>
      <c r="Y21" s="205">
        <v>4</v>
      </c>
      <c r="Z21" s="205">
        <v>4</v>
      </c>
      <c r="AA21" s="205">
        <v>4</v>
      </c>
      <c r="AB21" s="205">
        <v>4</v>
      </c>
      <c r="AC21" s="205">
        <v>4</v>
      </c>
      <c r="AD21" s="205">
        <v>4</v>
      </c>
      <c r="AE21" s="205">
        <v>4</v>
      </c>
      <c r="AF21" s="205">
        <v>4</v>
      </c>
      <c r="AG21" s="205">
        <v>4</v>
      </c>
    </row>
    <row r="22" spans="1:33" s="9" customFormat="1" ht="15" x14ac:dyDescent="0.2">
      <c r="A22" s="106" t="s">
        <v>55</v>
      </c>
      <c r="B22" s="224">
        <v>0.4</v>
      </c>
      <c r="C22" s="225">
        <v>0.5</v>
      </c>
      <c r="D22" s="205">
        <v>5</v>
      </c>
      <c r="E22" s="205">
        <v>5</v>
      </c>
      <c r="F22" s="205">
        <v>5</v>
      </c>
      <c r="G22" s="205">
        <v>5</v>
      </c>
      <c r="H22" s="205">
        <v>5</v>
      </c>
      <c r="I22" s="221">
        <v>5</v>
      </c>
      <c r="J22" s="222">
        <v>5</v>
      </c>
      <c r="K22" s="222">
        <v>5</v>
      </c>
      <c r="L22" s="223">
        <v>5</v>
      </c>
      <c r="M22" s="205">
        <v>5</v>
      </c>
      <c r="N22" s="205">
        <v>5</v>
      </c>
      <c r="O22" s="205">
        <v>5</v>
      </c>
      <c r="P22" s="205">
        <v>5</v>
      </c>
      <c r="Q22" s="205">
        <v>5</v>
      </c>
      <c r="R22" s="205">
        <v>5</v>
      </c>
      <c r="S22" s="205">
        <v>5</v>
      </c>
      <c r="T22" s="205">
        <v>5</v>
      </c>
      <c r="U22" s="205">
        <v>5</v>
      </c>
      <c r="V22" s="205">
        <v>5</v>
      </c>
      <c r="W22" s="205">
        <v>5</v>
      </c>
      <c r="X22" s="205">
        <v>5</v>
      </c>
      <c r="Y22" s="205">
        <v>5</v>
      </c>
      <c r="Z22" s="205">
        <v>5</v>
      </c>
      <c r="AA22" s="205">
        <v>5</v>
      </c>
      <c r="AB22" s="205">
        <v>5</v>
      </c>
      <c r="AC22" s="205">
        <v>5</v>
      </c>
      <c r="AD22" s="205">
        <v>5</v>
      </c>
      <c r="AE22" s="205">
        <v>5</v>
      </c>
      <c r="AF22" s="205">
        <v>5</v>
      </c>
      <c r="AG22" s="205">
        <v>5</v>
      </c>
    </row>
    <row r="23" spans="1:33" s="9" customFormat="1" ht="15" x14ac:dyDescent="0.2">
      <c r="A23" s="106" t="s">
        <v>56</v>
      </c>
      <c r="B23" s="224">
        <v>0.4</v>
      </c>
      <c r="C23" s="225">
        <v>0.5</v>
      </c>
      <c r="D23" s="204">
        <v>1</v>
      </c>
      <c r="E23" s="204">
        <v>1</v>
      </c>
      <c r="F23" s="204">
        <v>1</v>
      </c>
      <c r="G23" s="204">
        <v>1</v>
      </c>
      <c r="H23" s="204">
        <v>1</v>
      </c>
      <c r="I23" s="218">
        <v>1</v>
      </c>
      <c r="J23" s="219">
        <v>1</v>
      </c>
      <c r="K23" s="219">
        <v>1</v>
      </c>
      <c r="L23" s="220">
        <v>1</v>
      </c>
      <c r="M23" s="204">
        <v>1</v>
      </c>
      <c r="N23" s="204">
        <v>1</v>
      </c>
      <c r="O23" s="204">
        <v>1</v>
      </c>
      <c r="P23" s="204">
        <v>1</v>
      </c>
      <c r="Q23" s="204">
        <v>1</v>
      </c>
      <c r="R23" s="204">
        <v>1</v>
      </c>
      <c r="S23" s="204">
        <v>1</v>
      </c>
      <c r="T23" s="204">
        <v>1</v>
      </c>
      <c r="U23" s="204">
        <v>1</v>
      </c>
      <c r="V23" s="204">
        <v>1</v>
      </c>
      <c r="W23" s="204">
        <v>1</v>
      </c>
      <c r="X23" s="204">
        <v>1</v>
      </c>
      <c r="Y23" s="204">
        <v>1</v>
      </c>
      <c r="Z23" s="204">
        <v>1</v>
      </c>
      <c r="AA23" s="204">
        <v>1</v>
      </c>
      <c r="AB23" s="204">
        <v>1</v>
      </c>
      <c r="AC23" s="204">
        <v>1</v>
      </c>
      <c r="AD23" s="204">
        <v>1</v>
      </c>
      <c r="AE23" s="204">
        <v>1</v>
      </c>
      <c r="AF23" s="204">
        <v>1</v>
      </c>
      <c r="AG23" s="204">
        <v>1</v>
      </c>
    </row>
    <row r="24" spans="1:33" s="9" customFormat="1" ht="15" x14ac:dyDescent="0.2">
      <c r="A24" s="106" t="s">
        <v>57</v>
      </c>
      <c r="B24" s="224">
        <v>0.4</v>
      </c>
      <c r="C24" s="225">
        <v>0.5</v>
      </c>
      <c r="D24" s="205">
        <v>2</v>
      </c>
      <c r="E24" s="205">
        <v>2</v>
      </c>
      <c r="F24" s="205">
        <v>2</v>
      </c>
      <c r="G24" s="205">
        <v>2</v>
      </c>
      <c r="H24" s="205">
        <v>2</v>
      </c>
      <c r="I24" s="221">
        <v>2</v>
      </c>
      <c r="J24" s="222">
        <v>2</v>
      </c>
      <c r="K24" s="222">
        <v>2</v>
      </c>
      <c r="L24" s="223">
        <v>2</v>
      </c>
      <c r="M24" s="205">
        <v>2</v>
      </c>
      <c r="N24" s="205">
        <v>2</v>
      </c>
      <c r="O24" s="205">
        <v>2</v>
      </c>
      <c r="P24" s="205">
        <v>2</v>
      </c>
      <c r="Q24" s="205">
        <v>2</v>
      </c>
      <c r="R24" s="205">
        <v>2</v>
      </c>
      <c r="S24" s="205">
        <v>2</v>
      </c>
      <c r="T24" s="205">
        <v>2</v>
      </c>
      <c r="U24" s="205">
        <v>2</v>
      </c>
      <c r="V24" s="205">
        <v>2</v>
      </c>
      <c r="W24" s="205">
        <v>2</v>
      </c>
      <c r="X24" s="205">
        <v>2</v>
      </c>
      <c r="Y24" s="205">
        <v>2</v>
      </c>
      <c r="Z24" s="205">
        <v>2</v>
      </c>
      <c r="AA24" s="205">
        <v>2</v>
      </c>
      <c r="AB24" s="205">
        <v>2</v>
      </c>
      <c r="AC24" s="205">
        <v>2</v>
      </c>
      <c r="AD24" s="205">
        <v>2</v>
      </c>
      <c r="AE24" s="205">
        <v>2</v>
      </c>
      <c r="AF24" s="205">
        <v>2</v>
      </c>
      <c r="AG24" s="205">
        <v>2</v>
      </c>
    </row>
    <row r="25" spans="1:33" s="9" customFormat="1" ht="15" x14ac:dyDescent="0.2">
      <c r="A25" s="106" t="s">
        <v>58</v>
      </c>
      <c r="B25" s="224">
        <v>0.4</v>
      </c>
      <c r="C25" s="225">
        <v>0.5</v>
      </c>
      <c r="D25" s="205">
        <v>3</v>
      </c>
      <c r="E25" s="205">
        <v>3</v>
      </c>
      <c r="F25" s="205">
        <v>3</v>
      </c>
      <c r="G25" s="205">
        <v>3</v>
      </c>
      <c r="H25" s="205">
        <v>3</v>
      </c>
      <c r="I25" s="221">
        <v>3</v>
      </c>
      <c r="J25" s="222">
        <v>3</v>
      </c>
      <c r="K25" s="222">
        <v>3</v>
      </c>
      <c r="L25" s="223">
        <v>3</v>
      </c>
      <c r="M25" s="205">
        <v>3</v>
      </c>
      <c r="N25" s="205">
        <v>3</v>
      </c>
      <c r="O25" s="205">
        <v>3</v>
      </c>
      <c r="P25" s="205">
        <v>3</v>
      </c>
      <c r="Q25" s="205">
        <v>3</v>
      </c>
      <c r="R25" s="205">
        <v>3</v>
      </c>
      <c r="S25" s="205">
        <v>3</v>
      </c>
      <c r="T25" s="205">
        <v>3</v>
      </c>
      <c r="U25" s="205">
        <v>3</v>
      </c>
      <c r="V25" s="205">
        <v>3</v>
      </c>
      <c r="W25" s="205">
        <v>3</v>
      </c>
      <c r="X25" s="205">
        <v>3</v>
      </c>
      <c r="Y25" s="205">
        <v>3</v>
      </c>
      <c r="Z25" s="205">
        <v>3</v>
      </c>
      <c r="AA25" s="205">
        <v>3</v>
      </c>
      <c r="AB25" s="205">
        <v>3</v>
      </c>
      <c r="AC25" s="205">
        <v>3</v>
      </c>
      <c r="AD25" s="205">
        <v>3</v>
      </c>
      <c r="AE25" s="205">
        <v>3</v>
      </c>
      <c r="AF25" s="205">
        <v>3</v>
      </c>
      <c r="AG25" s="205">
        <v>3</v>
      </c>
    </row>
    <row r="26" spans="1:33" s="9" customFormat="1" ht="15" x14ac:dyDescent="0.2">
      <c r="A26" s="106" t="s">
        <v>59</v>
      </c>
      <c r="B26" s="224">
        <v>0.4</v>
      </c>
      <c r="C26" s="225">
        <v>0.5</v>
      </c>
      <c r="D26" s="205">
        <v>4</v>
      </c>
      <c r="E26" s="205">
        <v>4</v>
      </c>
      <c r="F26" s="205">
        <v>4</v>
      </c>
      <c r="G26" s="205">
        <v>4</v>
      </c>
      <c r="H26" s="205">
        <v>4</v>
      </c>
      <c r="I26" s="221">
        <v>4</v>
      </c>
      <c r="J26" s="222">
        <v>4</v>
      </c>
      <c r="K26" s="222">
        <v>4</v>
      </c>
      <c r="L26" s="223">
        <v>4</v>
      </c>
      <c r="M26" s="205">
        <v>4</v>
      </c>
      <c r="N26" s="205">
        <v>4</v>
      </c>
      <c r="O26" s="205">
        <v>4</v>
      </c>
      <c r="P26" s="205">
        <v>4</v>
      </c>
      <c r="Q26" s="205">
        <v>4</v>
      </c>
      <c r="R26" s="205">
        <v>4</v>
      </c>
      <c r="S26" s="205">
        <v>4</v>
      </c>
      <c r="T26" s="205">
        <v>4</v>
      </c>
      <c r="U26" s="205">
        <v>4</v>
      </c>
      <c r="V26" s="205">
        <v>4</v>
      </c>
      <c r="W26" s="205">
        <v>4</v>
      </c>
      <c r="X26" s="205">
        <v>4</v>
      </c>
      <c r="Y26" s="205">
        <v>4</v>
      </c>
      <c r="Z26" s="205">
        <v>4</v>
      </c>
      <c r="AA26" s="205">
        <v>4</v>
      </c>
      <c r="AB26" s="205">
        <v>4</v>
      </c>
      <c r="AC26" s="205">
        <v>4</v>
      </c>
      <c r="AD26" s="205">
        <v>4</v>
      </c>
      <c r="AE26" s="205">
        <v>4</v>
      </c>
      <c r="AF26" s="205">
        <v>4</v>
      </c>
      <c r="AG26" s="205">
        <v>4</v>
      </c>
    </row>
    <row r="27" spans="1:33" s="9" customFormat="1" ht="15" x14ac:dyDescent="0.2">
      <c r="A27" s="106" t="s">
        <v>60</v>
      </c>
      <c r="B27" s="224">
        <v>0.4</v>
      </c>
      <c r="C27" s="225">
        <v>0.5</v>
      </c>
      <c r="D27" s="205">
        <v>5</v>
      </c>
      <c r="E27" s="205">
        <v>5</v>
      </c>
      <c r="F27" s="205">
        <v>5</v>
      </c>
      <c r="G27" s="205">
        <v>5</v>
      </c>
      <c r="H27" s="205">
        <v>5</v>
      </c>
      <c r="I27" s="221">
        <v>5</v>
      </c>
      <c r="J27" s="222">
        <v>5</v>
      </c>
      <c r="K27" s="222">
        <v>5</v>
      </c>
      <c r="L27" s="223">
        <v>5</v>
      </c>
      <c r="M27" s="205">
        <v>5</v>
      </c>
      <c r="N27" s="205">
        <v>5</v>
      </c>
      <c r="O27" s="205">
        <v>5</v>
      </c>
      <c r="P27" s="205">
        <v>5</v>
      </c>
      <c r="Q27" s="205">
        <v>5</v>
      </c>
      <c r="R27" s="205">
        <v>5</v>
      </c>
      <c r="S27" s="205">
        <v>5</v>
      </c>
      <c r="T27" s="205">
        <v>5</v>
      </c>
      <c r="U27" s="205">
        <v>5</v>
      </c>
      <c r="V27" s="205">
        <v>5</v>
      </c>
      <c r="W27" s="205">
        <v>5</v>
      </c>
      <c r="X27" s="205">
        <v>5</v>
      </c>
      <c r="Y27" s="205">
        <v>5</v>
      </c>
      <c r="Z27" s="205">
        <v>5</v>
      </c>
      <c r="AA27" s="205">
        <v>5</v>
      </c>
      <c r="AB27" s="205">
        <v>5</v>
      </c>
      <c r="AC27" s="205">
        <v>5</v>
      </c>
      <c r="AD27" s="205">
        <v>5</v>
      </c>
      <c r="AE27" s="205">
        <v>5</v>
      </c>
      <c r="AF27" s="205">
        <v>5</v>
      </c>
      <c r="AG27" s="205">
        <v>5</v>
      </c>
    </row>
    <row r="28" spans="1:33" s="9" customFormat="1" ht="15" x14ac:dyDescent="0.2">
      <c r="A28" s="106" t="s">
        <v>61</v>
      </c>
      <c r="B28" s="224">
        <v>0.4</v>
      </c>
      <c r="C28" s="225">
        <v>0.5</v>
      </c>
      <c r="D28" s="204">
        <v>1</v>
      </c>
      <c r="E28" s="204">
        <v>1</v>
      </c>
      <c r="F28" s="204">
        <v>1</v>
      </c>
      <c r="G28" s="204">
        <v>1</v>
      </c>
      <c r="H28" s="204">
        <v>1</v>
      </c>
      <c r="I28" s="218">
        <v>1</v>
      </c>
      <c r="J28" s="219">
        <v>1</v>
      </c>
      <c r="K28" s="219">
        <v>1</v>
      </c>
      <c r="L28" s="220">
        <v>1</v>
      </c>
      <c r="M28" s="204">
        <v>1</v>
      </c>
      <c r="N28" s="204">
        <v>1</v>
      </c>
      <c r="O28" s="204">
        <v>1</v>
      </c>
      <c r="P28" s="204">
        <v>1</v>
      </c>
      <c r="Q28" s="204">
        <v>1</v>
      </c>
      <c r="R28" s="204">
        <v>1</v>
      </c>
      <c r="S28" s="204">
        <v>1</v>
      </c>
      <c r="T28" s="204">
        <v>1</v>
      </c>
      <c r="U28" s="204">
        <v>1</v>
      </c>
      <c r="V28" s="204">
        <v>1</v>
      </c>
      <c r="W28" s="204">
        <v>1</v>
      </c>
      <c r="X28" s="204">
        <v>1</v>
      </c>
      <c r="Y28" s="204">
        <v>1</v>
      </c>
      <c r="Z28" s="204">
        <v>1</v>
      </c>
      <c r="AA28" s="204">
        <v>1</v>
      </c>
      <c r="AB28" s="204">
        <v>1</v>
      </c>
      <c r="AC28" s="204">
        <v>1</v>
      </c>
      <c r="AD28" s="204">
        <v>1</v>
      </c>
      <c r="AE28" s="204">
        <v>1</v>
      </c>
      <c r="AF28" s="204">
        <v>1</v>
      </c>
      <c r="AG28" s="204">
        <v>1</v>
      </c>
    </row>
    <row r="29" spans="1:33" s="9" customFormat="1" ht="15" x14ac:dyDescent="0.2">
      <c r="A29" s="106" t="s">
        <v>62</v>
      </c>
      <c r="B29" s="224">
        <v>0.4</v>
      </c>
      <c r="C29" s="225">
        <v>0.5</v>
      </c>
      <c r="D29" s="205">
        <v>2</v>
      </c>
      <c r="E29" s="205">
        <v>2</v>
      </c>
      <c r="F29" s="205">
        <v>2</v>
      </c>
      <c r="G29" s="205">
        <v>2</v>
      </c>
      <c r="H29" s="205">
        <v>2</v>
      </c>
      <c r="I29" s="221">
        <v>2</v>
      </c>
      <c r="J29" s="222">
        <v>2</v>
      </c>
      <c r="K29" s="222">
        <v>2</v>
      </c>
      <c r="L29" s="223">
        <v>2</v>
      </c>
      <c r="M29" s="205">
        <v>2</v>
      </c>
      <c r="N29" s="205">
        <v>2</v>
      </c>
      <c r="O29" s="205">
        <v>2</v>
      </c>
      <c r="P29" s="205">
        <v>2</v>
      </c>
      <c r="Q29" s="205">
        <v>2</v>
      </c>
      <c r="R29" s="205">
        <v>2</v>
      </c>
      <c r="S29" s="205">
        <v>2</v>
      </c>
      <c r="T29" s="205">
        <v>2</v>
      </c>
      <c r="U29" s="205">
        <v>2</v>
      </c>
      <c r="V29" s="205">
        <v>2</v>
      </c>
      <c r="W29" s="205">
        <v>2</v>
      </c>
      <c r="X29" s="205">
        <v>2</v>
      </c>
      <c r="Y29" s="205">
        <v>2</v>
      </c>
      <c r="Z29" s="205">
        <v>2</v>
      </c>
      <c r="AA29" s="205">
        <v>2</v>
      </c>
      <c r="AB29" s="205">
        <v>2</v>
      </c>
      <c r="AC29" s="205">
        <v>2</v>
      </c>
      <c r="AD29" s="205">
        <v>2</v>
      </c>
      <c r="AE29" s="205">
        <v>2</v>
      </c>
      <c r="AF29" s="205">
        <v>2</v>
      </c>
      <c r="AG29" s="205">
        <v>2</v>
      </c>
    </row>
    <row r="30" spans="1:33" s="9" customFormat="1" ht="15" x14ac:dyDescent="0.2">
      <c r="A30" s="106" t="s">
        <v>63</v>
      </c>
      <c r="B30" s="224">
        <v>0.4</v>
      </c>
      <c r="C30" s="225">
        <v>0.5</v>
      </c>
      <c r="D30" s="205">
        <v>3</v>
      </c>
      <c r="E30" s="205">
        <v>3</v>
      </c>
      <c r="F30" s="205">
        <v>3</v>
      </c>
      <c r="G30" s="205">
        <v>3</v>
      </c>
      <c r="H30" s="205">
        <v>3</v>
      </c>
      <c r="I30" s="221">
        <v>3</v>
      </c>
      <c r="J30" s="222">
        <v>3</v>
      </c>
      <c r="K30" s="222">
        <v>3</v>
      </c>
      <c r="L30" s="223">
        <v>3</v>
      </c>
      <c r="M30" s="205">
        <v>3</v>
      </c>
      <c r="N30" s="205">
        <v>3</v>
      </c>
      <c r="O30" s="205">
        <v>3</v>
      </c>
      <c r="P30" s="205">
        <v>3</v>
      </c>
      <c r="Q30" s="205">
        <v>3</v>
      </c>
      <c r="R30" s="205">
        <v>3</v>
      </c>
      <c r="S30" s="205">
        <v>3</v>
      </c>
      <c r="T30" s="205">
        <v>3</v>
      </c>
      <c r="U30" s="205">
        <v>3</v>
      </c>
      <c r="V30" s="205">
        <v>3</v>
      </c>
      <c r="W30" s="205">
        <v>3</v>
      </c>
      <c r="X30" s="205">
        <v>3</v>
      </c>
      <c r="Y30" s="205">
        <v>3</v>
      </c>
      <c r="Z30" s="205">
        <v>3</v>
      </c>
      <c r="AA30" s="205">
        <v>3</v>
      </c>
      <c r="AB30" s="205">
        <v>3</v>
      </c>
      <c r="AC30" s="205">
        <v>3</v>
      </c>
      <c r="AD30" s="205">
        <v>3</v>
      </c>
      <c r="AE30" s="205">
        <v>3</v>
      </c>
      <c r="AF30" s="205">
        <v>3</v>
      </c>
      <c r="AG30" s="205">
        <v>3</v>
      </c>
    </row>
    <row r="31" spans="1:33" s="9" customFormat="1" ht="15" x14ac:dyDescent="0.2">
      <c r="A31" s="106" t="s">
        <v>64</v>
      </c>
      <c r="B31" s="224">
        <v>0.4</v>
      </c>
      <c r="C31" s="225">
        <v>0.5</v>
      </c>
      <c r="D31" s="205">
        <v>4</v>
      </c>
      <c r="E31" s="205">
        <v>4</v>
      </c>
      <c r="F31" s="205">
        <v>4</v>
      </c>
      <c r="G31" s="205">
        <v>4</v>
      </c>
      <c r="H31" s="205">
        <v>4</v>
      </c>
      <c r="I31" s="221">
        <v>4</v>
      </c>
      <c r="J31" s="222">
        <v>4</v>
      </c>
      <c r="K31" s="222">
        <v>4</v>
      </c>
      <c r="L31" s="223">
        <v>4</v>
      </c>
      <c r="M31" s="205">
        <v>4</v>
      </c>
      <c r="N31" s="205">
        <v>4</v>
      </c>
      <c r="O31" s="205">
        <v>4</v>
      </c>
      <c r="P31" s="205">
        <v>4</v>
      </c>
      <c r="Q31" s="205">
        <v>4</v>
      </c>
      <c r="R31" s="205">
        <v>4</v>
      </c>
      <c r="S31" s="205">
        <v>4</v>
      </c>
      <c r="T31" s="205">
        <v>4</v>
      </c>
      <c r="U31" s="205">
        <v>4</v>
      </c>
      <c r="V31" s="205">
        <v>4</v>
      </c>
      <c r="W31" s="205">
        <v>4</v>
      </c>
      <c r="X31" s="205">
        <v>4</v>
      </c>
      <c r="Y31" s="205">
        <v>4</v>
      </c>
      <c r="Z31" s="205">
        <v>4</v>
      </c>
      <c r="AA31" s="205">
        <v>4</v>
      </c>
      <c r="AB31" s="205">
        <v>4</v>
      </c>
      <c r="AC31" s="205">
        <v>4</v>
      </c>
      <c r="AD31" s="205">
        <v>4</v>
      </c>
      <c r="AE31" s="205">
        <v>4</v>
      </c>
      <c r="AF31" s="205">
        <v>4</v>
      </c>
      <c r="AG31" s="205">
        <v>4</v>
      </c>
    </row>
    <row r="32" spans="1:33" s="9" customFormat="1" ht="15" x14ac:dyDescent="0.2">
      <c r="A32" s="106" t="s">
        <v>65</v>
      </c>
      <c r="B32" s="224">
        <v>0.4</v>
      </c>
      <c r="C32" s="225">
        <v>0.5</v>
      </c>
      <c r="D32" s="205">
        <v>5</v>
      </c>
      <c r="E32" s="205">
        <v>5</v>
      </c>
      <c r="F32" s="205">
        <v>5</v>
      </c>
      <c r="G32" s="205">
        <v>5</v>
      </c>
      <c r="H32" s="205">
        <v>5</v>
      </c>
      <c r="I32" s="221">
        <v>5</v>
      </c>
      <c r="J32" s="222">
        <v>5</v>
      </c>
      <c r="K32" s="222">
        <v>5</v>
      </c>
      <c r="L32" s="223">
        <v>5</v>
      </c>
      <c r="M32" s="205">
        <v>5</v>
      </c>
      <c r="N32" s="205">
        <v>5</v>
      </c>
      <c r="O32" s="205">
        <v>5</v>
      </c>
      <c r="P32" s="205">
        <v>5</v>
      </c>
      <c r="Q32" s="205">
        <v>5</v>
      </c>
      <c r="R32" s="205">
        <v>5</v>
      </c>
      <c r="S32" s="205">
        <v>5</v>
      </c>
      <c r="T32" s="205">
        <v>5</v>
      </c>
      <c r="U32" s="205">
        <v>5</v>
      </c>
      <c r="V32" s="205">
        <v>5</v>
      </c>
      <c r="W32" s="205">
        <v>5</v>
      </c>
      <c r="X32" s="205">
        <v>5</v>
      </c>
      <c r="Y32" s="205">
        <v>5</v>
      </c>
      <c r="Z32" s="205">
        <v>5</v>
      </c>
      <c r="AA32" s="205">
        <v>5</v>
      </c>
      <c r="AB32" s="205">
        <v>5</v>
      </c>
      <c r="AC32" s="205">
        <v>5</v>
      </c>
      <c r="AD32" s="205">
        <v>5</v>
      </c>
      <c r="AE32" s="205">
        <v>5</v>
      </c>
      <c r="AF32" s="205">
        <v>5</v>
      </c>
      <c r="AG32" s="205">
        <v>5</v>
      </c>
    </row>
    <row r="33" spans="1:33" s="9" customFormat="1" ht="15" x14ac:dyDescent="0.2">
      <c r="A33" s="106" t="s">
        <v>66</v>
      </c>
      <c r="B33" s="224">
        <v>0.4</v>
      </c>
      <c r="C33" s="225">
        <v>0.5</v>
      </c>
      <c r="D33" s="204">
        <v>1</v>
      </c>
      <c r="E33" s="204">
        <v>1</v>
      </c>
      <c r="F33" s="204">
        <v>1</v>
      </c>
      <c r="G33" s="204">
        <v>1</v>
      </c>
      <c r="H33" s="204">
        <v>1</v>
      </c>
      <c r="I33" s="218">
        <v>1</v>
      </c>
      <c r="J33" s="219">
        <v>1</v>
      </c>
      <c r="K33" s="219">
        <v>1</v>
      </c>
      <c r="L33" s="220">
        <v>1</v>
      </c>
      <c r="M33" s="204">
        <v>1</v>
      </c>
      <c r="N33" s="204">
        <v>1</v>
      </c>
      <c r="O33" s="204">
        <v>1</v>
      </c>
      <c r="P33" s="204">
        <v>1</v>
      </c>
      <c r="Q33" s="204">
        <v>1</v>
      </c>
      <c r="R33" s="204">
        <v>1</v>
      </c>
      <c r="S33" s="204">
        <v>1</v>
      </c>
      <c r="T33" s="204">
        <v>1</v>
      </c>
      <c r="U33" s="204">
        <v>1</v>
      </c>
      <c r="V33" s="204">
        <v>1</v>
      </c>
      <c r="W33" s="204">
        <v>1</v>
      </c>
      <c r="X33" s="204">
        <v>1</v>
      </c>
      <c r="Y33" s="204">
        <v>1</v>
      </c>
      <c r="Z33" s="204">
        <v>1</v>
      </c>
      <c r="AA33" s="204">
        <v>1</v>
      </c>
      <c r="AB33" s="204">
        <v>1</v>
      </c>
      <c r="AC33" s="204">
        <v>1</v>
      </c>
      <c r="AD33" s="204">
        <v>1</v>
      </c>
      <c r="AE33" s="204">
        <v>1</v>
      </c>
      <c r="AF33" s="204">
        <v>1</v>
      </c>
      <c r="AG33" s="204">
        <v>1</v>
      </c>
    </row>
    <row r="34" spans="1:33" s="9" customFormat="1" ht="15" x14ac:dyDescent="0.2">
      <c r="A34" s="106" t="s">
        <v>67</v>
      </c>
      <c r="B34" s="224">
        <v>0.4</v>
      </c>
      <c r="C34" s="225">
        <v>0.5</v>
      </c>
      <c r="D34" s="205">
        <v>2</v>
      </c>
      <c r="E34" s="205">
        <v>2</v>
      </c>
      <c r="F34" s="205">
        <v>2</v>
      </c>
      <c r="G34" s="205">
        <v>2</v>
      </c>
      <c r="H34" s="205">
        <v>2</v>
      </c>
      <c r="I34" s="221">
        <v>2</v>
      </c>
      <c r="J34" s="222">
        <v>2</v>
      </c>
      <c r="K34" s="222">
        <v>2</v>
      </c>
      <c r="L34" s="223">
        <v>2</v>
      </c>
      <c r="M34" s="205">
        <v>2</v>
      </c>
      <c r="N34" s="205">
        <v>2</v>
      </c>
      <c r="O34" s="205">
        <v>2</v>
      </c>
      <c r="P34" s="205">
        <v>2</v>
      </c>
      <c r="Q34" s="205">
        <v>2</v>
      </c>
      <c r="R34" s="205">
        <v>2</v>
      </c>
      <c r="S34" s="205">
        <v>2</v>
      </c>
      <c r="T34" s="205">
        <v>2</v>
      </c>
      <c r="U34" s="205">
        <v>2</v>
      </c>
      <c r="V34" s="205">
        <v>2</v>
      </c>
      <c r="W34" s="205">
        <v>2</v>
      </c>
      <c r="X34" s="205">
        <v>2</v>
      </c>
      <c r="Y34" s="205">
        <v>2</v>
      </c>
      <c r="Z34" s="205">
        <v>2</v>
      </c>
      <c r="AA34" s="205">
        <v>2</v>
      </c>
      <c r="AB34" s="205">
        <v>2</v>
      </c>
      <c r="AC34" s="205">
        <v>2</v>
      </c>
      <c r="AD34" s="205">
        <v>2</v>
      </c>
      <c r="AE34" s="205">
        <v>2</v>
      </c>
      <c r="AF34" s="205">
        <v>2</v>
      </c>
      <c r="AG34" s="205">
        <v>2</v>
      </c>
    </row>
    <row r="35" spans="1:33" s="9" customFormat="1" ht="15" x14ac:dyDescent="0.2">
      <c r="A35" s="106" t="s">
        <v>68</v>
      </c>
      <c r="B35" s="224">
        <v>0.4</v>
      </c>
      <c r="C35" s="225">
        <v>0.5</v>
      </c>
      <c r="D35" s="205">
        <v>3</v>
      </c>
      <c r="E35" s="205">
        <v>3</v>
      </c>
      <c r="F35" s="205">
        <v>3</v>
      </c>
      <c r="G35" s="205">
        <v>3</v>
      </c>
      <c r="H35" s="205">
        <v>3</v>
      </c>
      <c r="I35" s="221">
        <v>3</v>
      </c>
      <c r="J35" s="222">
        <v>3</v>
      </c>
      <c r="K35" s="222">
        <v>3</v>
      </c>
      <c r="L35" s="223">
        <v>3</v>
      </c>
      <c r="M35" s="205">
        <v>3</v>
      </c>
      <c r="N35" s="205">
        <v>3</v>
      </c>
      <c r="O35" s="205">
        <v>3</v>
      </c>
      <c r="P35" s="205">
        <v>3</v>
      </c>
      <c r="Q35" s="205">
        <v>3</v>
      </c>
      <c r="R35" s="205">
        <v>3</v>
      </c>
      <c r="S35" s="205">
        <v>3</v>
      </c>
      <c r="T35" s="205">
        <v>3</v>
      </c>
      <c r="U35" s="205">
        <v>3</v>
      </c>
      <c r="V35" s="205">
        <v>3</v>
      </c>
      <c r="W35" s="205">
        <v>3</v>
      </c>
      <c r="X35" s="205">
        <v>3</v>
      </c>
      <c r="Y35" s="205">
        <v>3</v>
      </c>
      <c r="Z35" s="205">
        <v>3</v>
      </c>
      <c r="AA35" s="205">
        <v>3</v>
      </c>
      <c r="AB35" s="205">
        <v>3</v>
      </c>
      <c r="AC35" s="205">
        <v>3</v>
      </c>
      <c r="AD35" s="205">
        <v>3</v>
      </c>
      <c r="AE35" s="205">
        <v>3</v>
      </c>
      <c r="AF35" s="205">
        <v>3</v>
      </c>
      <c r="AG35" s="205">
        <v>3</v>
      </c>
    </row>
    <row r="36" spans="1:33" s="9" customFormat="1" ht="15" x14ac:dyDescent="0.2">
      <c r="A36" s="106" t="s">
        <v>69</v>
      </c>
      <c r="B36" s="224">
        <v>0.4</v>
      </c>
      <c r="C36" s="225">
        <v>0.5</v>
      </c>
      <c r="D36" s="205">
        <v>4</v>
      </c>
      <c r="E36" s="205">
        <v>4</v>
      </c>
      <c r="F36" s="205">
        <v>4</v>
      </c>
      <c r="G36" s="205">
        <v>4</v>
      </c>
      <c r="H36" s="205">
        <v>4</v>
      </c>
      <c r="I36" s="221">
        <v>4</v>
      </c>
      <c r="J36" s="222">
        <v>4</v>
      </c>
      <c r="K36" s="222">
        <v>4</v>
      </c>
      <c r="L36" s="223">
        <v>4</v>
      </c>
      <c r="M36" s="205">
        <v>4</v>
      </c>
      <c r="N36" s="205">
        <v>4</v>
      </c>
      <c r="O36" s="205">
        <v>4</v>
      </c>
      <c r="P36" s="205">
        <v>4</v>
      </c>
      <c r="Q36" s="205">
        <v>4</v>
      </c>
      <c r="R36" s="205">
        <v>4</v>
      </c>
      <c r="S36" s="205">
        <v>4</v>
      </c>
      <c r="T36" s="205">
        <v>4</v>
      </c>
      <c r="U36" s="205">
        <v>4</v>
      </c>
      <c r="V36" s="205">
        <v>4</v>
      </c>
      <c r="W36" s="205">
        <v>4</v>
      </c>
      <c r="X36" s="205">
        <v>4</v>
      </c>
      <c r="Y36" s="205">
        <v>4</v>
      </c>
      <c r="Z36" s="205">
        <v>4</v>
      </c>
      <c r="AA36" s="205">
        <v>4</v>
      </c>
      <c r="AB36" s="205">
        <v>4</v>
      </c>
      <c r="AC36" s="205">
        <v>4</v>
      </c>
      <c r="AD36" s="205">
        <v>4</v>
      </c>
      <c r="AE36" s="205">
        <v>4</v>
      </c>
      <c r="AF36" s="205">
        <v>4</v>
      </c>
      <c r="AG36" s="205">
        <v>4</v>
      </c>
    </row>
    <row r="37" spans="1:33" s="9" customFormat="1" ht="15" x14ac:dyDescent="0.2">
      <c r="A37" s="106" t="s">
        <v>70</v>
      </c>
      <c r="B37" s="224">
        <v>0.4</v>
      </c>
      <c r="C37" s="225">
        <v>0.5</v>
      </c>
      <c r="D37" s="205">
        <v>5</v>
      </c>
      <c r="E37" s="205">
        <v>5</v>
      </c>
      <c r="F37" s="205">
        <v>5</v>
      </c>
      <c r="G37" s="205">
        <v>5</v>
      </c>
      <c r="H37" s="205">
        <v>5</v>
      </c>
      <c r="I37" s="221">
        <v>5</v>
      </c>
      <c r="J37" s="222">
        <v>5</v>
      </c>
      <c r="K37" s="222">
        <v>5</v>
      </c>
      <c r="L37" s="223">
        <v>5</v>
      </c>
      <c r="M37" s="205">
        <v>5</v>
      </c>
      <c r="N37" s="205">
        <v>5</v>
      </c>
      <c r="O37" s="205">
        <v>5</v>
      </c>
      <c r="P37" s="205">
        <v>5</v>
      </c>
      <c r="Q37" s="205">
        <v>5</v>
      </c>
      <c r="R37" s="205">
        <v>5</v>
      </c>
      <c r="S37" s="205">
        <v>5</v>
      </c>
      <c r="T37" s="205">
        <v>5</v>
      </c>
      <c r="U37" s="205">
        <v>5</v>
      </c>
      <c r="V37" s="205">
        <v>5</v>
      </c>
      <c r="W37" s="205">
        <v>5</v>
      </c>
      <c r="X37" s="205">
        <v>5</v>
      </c>
      <c r="Y37" s="205">
        <v>5</v>
      </c>
      <c r="Z37" s="205">
        <v>5</v>
      </c>
      <c r="AA37" s="205">
        <v>5</v>
      </c>
      <c r="AB37" s="205">
        <v>5</v>
      </c>
      <c r="AC37" s="205">
        <v>5</v>
      </c>
      <c r="AD37" s="205">
        <v>5</v>
      </c>
      <c r="AE37" s="205">
        <v>5</v>
      </c>
      <c r="AF37" s="205">
        <v>5</v>
      </c>
      <c r="AG37" s="205">
        <v>5</v>
      </c>
    </row>
    <row r="38" spans="1:33" s="9" customFormat="1" ht="15" x14ac:dyDescent="0.2">
      <c r="A38" s="106"/>
      <c r="B38" s="224"/>
      <c r="C38" s="225"/>
      <c r="D38" s="215"/>
      <c r="E38" s="215"/>
      <c r="F38" s="215"/>
      <c r="G38" s="215"/>
      <c r="H38" s="215"/>
      <c r="I38" s="224"/>
      <c r="J38" s="184"/>
      <c r="K38" s="184"/>
      <c r="L38" s="225"/>
      <c r="M38" s="184"/>
      <c r="N38" s="184"/>
      <c r="O38" s="184"/>
      <c r="P38" s="184"/>
      <c r="Q38" s="184"/>
      <c r="R38" s="184"/>
      <c r="S38" s="184"/>
      <c r="T38" s="184"/>
      <c r="U38" s="184"/>
      <c r="V38" s="184"/>
      <c r="W38" s="184"/>
      <c r="X38" s="184"/>
      <c r="Y38" s="184"/>
      <c r="Z38" s="184"/>
      <c r="AA38" s="184"/>
      <c r="AB38" s="184"/>
      <c r="AC38" s="184"/>
      <c r="AD38" s="184"/>
      <c r="AE38" s="184"/>
      <c r="AF38" s="184"/>
      <c r="AG38" s="184"/>
    </row>
    <row r="39" spans="1:33" s="9" customFormat="1" ht="15" x14ac:dyDescent="0.2">
      <c r="A39" s="106"/>
      <c r="B39" s="224"/>
      <c r="C39" s="225"/>
      <c r="D39" s="215"/>
      <c r="E39" s="215"/>
      <c r="F39" s="215"/>
      <c r="G39" s="215"/>
      <c r="H39" s="215"/>
      <c r="I39" s="224"/>
      <c r="J39" s="184"/>
      <c r="K39" s="184"/>
      <c r="L39" s="225"/>
      <c r="M39" s="184"/>
      <c r="N39" s="184"/>
      <c r="O39" s="184"/>
      <c r="P39" s="184"/>
      <c r="Q39" s="184"/>
      <c r="R39" s="184"/>
      <c r="S39" s="184"/>
      <c r="T39" s="184"/>
      <c r="U39" s="184"/>
      <c r="V39" s="184"/>
      <c r="W39" s="184"/>
      <c r="X39" s="184"/>
      <c r="Y39" s="184"/>
      <c r="Z39" s="184"/>
      <c r="AA39" s="184"/>
      <c r="AB39" s="184"/>
      <c r="AC39" s="184"/>
      <c r="AD39" s="184"/>
      <c r="AE39" s="184"/>
      <c r="AF39" s="184"/>
      <c r="AG39" s="184"/>
    </row>
    <row r="40" spans="1:33" s="9" customFormat="1" ht="15" x14ac:dyDescent="0.2">
      <c r="A40" s="106"/>
      <c r="B40" s="224"/>
      <c r="C40" s="225"/>
      <c r="D40" s="215"/>
      <c r="E40" s="215"/>
      <c r="F40" s="215"/>
      <c r="G40" s="215"/>
      <c r="H40" s="215"/>
      <c r="I40" s="224"/>
      <c r="J40" s="184"/>
      <c r="K40" s="184"/>
      <c r="L40" s="225"/>
      <c r="M40" s="184"/>
      <c r="N40" s="184"/>
      <c r="O40" s="184"/>
      <c r="P40" s="184"/>
      <c r="Q40" s="184"/>
      <c r="R40" s="184"/>
      <c r="S40" s="184"/>
      <c r="T40" s="184"/>
      <c r="U40" s="184"/>
      <c r="V40" s="184"/>
      <c r="W40" s="184"/>
      <c r="X40" s="184"/>
      <c r="Y40" s="184"/>
      <c r="Z40" s="184"/>
      <c r="AA40" s="184"/>
      <c r="AB40" s="184"/>
      <c r="AC40" s="184"/>
      <c r="AD40" s="184"/>
      <c r="AE40" s="184"/>
      <c r="AF40" s="184"/>
      <c r="AG40" s="184"/>
    </row>
    <row r="41" spans="1:33" s="9" customFormat="1" ht="15" x14ac:dyDescent="0.2">
      <c r="A41" s="106"/>
      <c r="B41" s="224"/>
      <c r="C41" s="225"/>
      <c r="D41" s="215"/>
      <c r="E41" s="215"/>
      <c r="F41" s="215"/>
      <c r="G41" s="215"/>
      <c r="H41" s="215"/>
      <c r="I41" s="224"/>
      <c r="J41" s="184"/>
      <c r="K41" s="184"/>
      <c r="L41" s="225"/>
      <c r="M41" s="184"/>
      <c r="N41" s="184"/>
      <c r="O41" s="184"/>
      <c r="P41" s="184"/>
      <c r="Q41" s="184"/>
      <c r="R41" s="184"/>
      <c r="S41" s="184"/>
      <c r="T41" s="184"/>
      <c r="U41" s="184"/>
      <c r="V41" s="184"/>
      <c r="W41" s="184"/>
      <c r="X41" s="184"/>
      <c r="Y41" s="184"/>
      <c r="Z41" s="184"/>
      <c r="AA41" s="184"/>
      <c r="AB41" s="184"/>
      <c r="AC41" s="184"/>
      <c r="AD41" s="184"/>
      <c r="AE41" s="184"/>
      <c r="AF41" s="184"/>
      <c r="AG41" s="184"/>
    </row>
    <row r="42" spans="1:33" s="9" customFormat="1" ht="15" x14ac:dyDescent="0.2">
      <c r="A42" s="106"/>
      <c r="B42" s="224"/>
      <c r="C42" s="225"/>
      <c r="D42" s="215"/>
      <c r="E42" s="215"/>
      <c r="F42" s="215"/>
      <c r="G42" s="215"/>
      <c r="H42" s="215"/>
      <c r="I42" s="224"/>
      <c r="J42" s="184"/>
      <c r="K42" s="184"/>
      <c r="L42" s="225"/>
      <c r="M42" s="184"/>
      <c r="N42" s="184"/>
      <c r="O42" s="184"/>
      <c r="P42" s="184"/>
      <c r="Q42" s="184"/>
      <c r="R42" s="184"/>
      <c r="S42" s="184"/>
      <c r="T42" s="184"/>
      <c r="U42" s="184"/>
      <c r="V42" s="184"/>
      <c r="W42" s="184"/>
      <c r="X42" s="184"/>
      <c r="Y42" s="184"/>
      <c r="Z42" s="184"/>
      <c r="AA42" s="184"/>
      <c r="AB42" s="184"/>
      <c r="AC42" s="184"/>
      <c r="AD42" s="184"/>
      <c r="AE42" s="184"/>
      <c r="AF42" s="184"/>
      <c r="AG42" s="184"/>
    </row>
    <row r="43" spans="1:33" s="9" customFormat="1" ht="15" x14ac:dyDescent="0.2">
      <c r="A43" s="106"/>
      <c r="B43" s="224"/>
      <c r="C43" s="225"/>
      <c r="D43" s="215"/>
      <c r="E43" s="215"/>
      <c r="F43" s="215"/>
      <c r="G43" s="215"/>
      <c r="H43" s="215"/>
      <c r="I43" s="224"/>
      <c r="J43" s="184"/>
      <c r="K43" s="184"/>
      <c r="L43" s="225"/>
      <c r="M43" s="184"/>
      <c r="N43" s="184"/>
      <c r="O43" s="184"/>
      <c r="P43" s="184"/>
      <c r="Q43" s="184"/>
      <c r="R43" s="184"/>
      <c r="S43" s="184"/>
      <c r="T43" s="184"/>
      <c r="U43" s="184"/>
      <c r="V43" s="184"/>
      <c r="W43" s="184"/>
      <c r="X43" s="184"/>
      <c r="Y43" s="184"/>
      <c r="Z43" s="184"/>
      <c r="AA43" s="184"/>
      <c r="AB43" s="184"/>
      <c r="AC43" s="184"/>
      <c r="AD43" s="184"/>
      <c r="AE43" s="184"/>
      <c r="AF43" s="184"/>
      <c r="AG43" s="184"/>
    </row>
    <row r="44" spans="1:33" s="9" customFormat="1" ht="15" x14ac:dyDescent="0.2">
      <c r="A44" s="106"/>
      <c r="B44" s="224"/>
      <c r="C44" s="225"/>
      <c r="D44" s="215"/>
      <c r="E44" s="215"/>
      <c r="F44" s="215"/>
      <c r="G44" s="215"/>
      <c r="H44" s="215"/>
      <c r="I44" s="224"/>
      <c r="J44" s="184"/>
      <c r="K44" s="184"/>
      <c r="L44" s="225"/>
      <c r="M44" s="184"/>
      <c r="N44" s="184"/>
      <c r="O44" s="184"/>
      <c r="P44" s="184"/>
      <c r="Q44" s="184"/>
      <c r="R44" s="184"/>
      <c r="S44" s="184"/>
      <c r="T44" s="184"/>
      <c r="U44" s="184"/>
      <c r="V44" s="184"/>
      <c r="W44" s="184"/>
      <c r="X44" s="184"/>
      <c r="Y44" s="184"/>
      <c r="Z44" s="184"/>
      <c r="AA44" s="184"/>
      <c r="AB44" s="184"/>
      <c r="AC44" s="184"/>
      <c r="AD44" s="184"/>
      <c r="AE44" s="184"/>
      <c r="AF44" s="184"/>
      <c r="AG44" s="184"/>
    </row>
    <row r="45" spans="1:33" s="9" customFormat="1" ht="15.75" thickBot="1" x14ac:dyDescent="0.25">
      <c r="A45" s="106"/>
      <c r="B45" s="226"/>
      <c r="C45" s="228"/>
      <c r="D45" s="215"/>
      <c r="E45" s="215"/>
      <c r="F45" s="215"/>
      <c r="G45" s="215"/>
      <c r="H45" s="215"/>
      <c r="I45" s="226"/>
      <c r="J45" s="227"/>
      <c r="K45" s="227"/>
      <c r="L45" s="228"/>
      <c r="M45" s="184"/>
      <c r="N45" s="184"/>
      <c r="O45" s="184"/>
      <c r="P45" s="184"/>
      <c r="Q45" s="184"/>
      <c r="R45" s="184"/>
      <c r="S45" s="184"/>
      <c r="T45" s="184"/>
      <c r="U45" s="184"/>
      <c r="V45" s="184"/>
      <c r="W45" s="184"/>
      <c r="X45" s="184"/>
      <c r="Y45" s="184"/>
      <c r="Z45" s="184"/>
      <c r="AA45" s="184"/>
      <c r="AB45" s="184"/>
      <c r="AC45" s="184"/>
      <c r="AD45" s="184"/>
      <c r="AE45" s="184"/>
      <c r="AF45" s="184"/>
      <c r="AG45" s="184"/>
    </row>
    <row r="46" spans="1:33" x14ac:dyDescent="0.2">
      <c r="A46" s="2"/>
    </row>
    <row r="48" spans="1:33" ht="13.5" thickBot="1" x14ac:dyDescent="0.25"/>
    <row r="49" spans="31:31" ht="21" customHeight="1" thickBot="1" x14ac:dyDescent="0.25">
      <c r="AE49" s="165" t="s">
        <v>809</v>
      </c>
    </row>
    <row r="50" spans="31:31" ht="18.600000000000001" customHeight="1" thickBot="1" x14ac:dyDescent="0.25">
      <c r="AE50" s="165" t="s">
        <v>810</v>
      </c>
    </row>
    <row r="51" spans="31:31" ht="18" customHeight="1" thickBot="1" x14ac:dyDescent="0.25">
      <c r="AE51" s="165" t="s">
        <v>811</v>
      </c>
    </row>
    <row r="52" spans="31:31" ht="18" customHeight="1" thickBot="1" x14ac:dyDescent="0.25">
      <c r="AE52" s="165" t="s">
        <v>812</v>
      </c>
    </row>
    <row r="53" spans="31:31" ht="15.6" customHeight="1" thickBot="1" x14ac:dyDescent="0.25">
      <c r="AE53" s="165" t="s">
        <v>813</v>
      </c>
    </row>
    <row r="54" spans="31:31" ht="29.45" customHeight="1" thickBot="1" x14ac:dyDescent="0.25">
      <c r="AE54" s="165" t="s">
        <v>814</v>
      </c>
    </row>
    <row r="55" spans="31:31" ht="29.45" customHeight="1" thickBot="1" x14ac:dyDescent="0.25">
      <c r="AE55" s="165" t="s">
        <v>815</v>
      </c>
    </row>
    <row r="56" spans="31:31" ht="17.45" customHeight="1" thickBot="1" x14ac:dyDescent="0.25">
      <c r="AE56" s="165" t="s">
        <v>801</v>
      </c>
    </row>
    <row r="57" spans="31:31" ht="18" customHeight="1" thickBot="1" x14ac:dyDescent="0.25">
      <c r="AE57" s="165" t="s">
        <v>634</v>
      </c>
    </row>
    <row r="58" spans="31:31" ht="27.6" customHeight="1" thickBot="1" x14ac:dyDescent="0.25">
      <c r="AE58" s="165" t="s">
        <v>803</v>
      </c>
    </row>
    <row r="59" spans="31:31" ht="27.6" customHeight="1" thickBot="1" x14ac:dyDescent="0.25">
      <c r="AE59" s="165" t="s">
        <v>636</v>
      </c>
    </row>
    <row r="60" spans="31:31" ht="17.45" customHeight="1" thickBot="1" x14ac:dyDescent="0.25">
      <c r="AE60" s="165" t="s">
        <v>808</v>
      </c>
    </row>
    <row r="61" spans="31:31" ht="17.45" customHeight="1" thickBot="1" x14ac:dyDescent="0.25">
      <c r="AE61" s="165" t="s">
        <v>805</v>
      </c>
    </row>
    <row r="62" spans="31:31" ht="18.600000000000001" customHeight="1" thickBot="1" x14ac:dyDescent="0.25">
      <c r="AE62" s="165" t="s">
        <v>806</v>
      </c>
    </row>
    <row r="63" spans="31:31" ht="16.149999999999999" customHeight="1" thickBot="1" x14ac:dyDescent="0.25">
      <c r="AE63" s="165" t="s">
        <v>799</v>
      </c>
    </row>
    <row r="64" spans="31:31" ht="29.45" customHeight="1" thickBot="1" x14ac:dyDescent="0.25">
      <c r="AE64" s="165" t="s">
        <v>800</v>
      </c>
    </row>
    <row r="65" spans="31:31" ht="27.6" customHeight="1" thickBot="1" x14ac:dyDescent="0.25">
      <c r="AE65" s="165" t="s">
        <v>807</v>
      </c>
    </row>
    <row r="66" spans="31:31" ht="27.6" customHeight="1" thickBot="1" x14ac:dyDescent="0.25">
      <c r="AE66" s="202" t="s">
        <v>798</v>
      </c>
    </row>
    <row r="67" spans="31:31" ht="30.75" thickBot="1" x14ac:dyDescent="0.25">
      <c r="AE67" s="202" t="s">
        <v>642</v>
      </c>
    </row>
    <row r="68" spans="31:31" ht="30.75" thickBot="1" x14ac:dyDescent="0.25">
      <c r="AE68" s="202" t="s">
        <v>643</v>
      </c>
    </row>
    <row r="69" spans="31:31" ht="30.75" thickBot="1" x14ac:dyDescent="0.25">
      <c r="AE69" s="202" t="s">
        <v>644</v>
      </c>
    </row>
    <row r="70" spans="31:31" ht="30.75" thickBot="1" x14ac:dyDescent="0.25">
      <c r="AE70" s="202" t="s">
        <v>645</v>
      </c>
    </row>
  </sheetData>
  <mergeCells count="9">
    <mergeCell ref="I5:L5"/>
    <mergeCell ref="M5:AG5"/>
    <mergeCell ref="A1:E1"/>
    <mergeCell ref="K1:K2"/>
    <mergeCell ref="D3:E3"/>
    <mergeCell ref="I3:J3"/>
    <mergeCell ref="B5:C5"/>
    <mergeCell ref="D5:H5"/>
    <mergeCell ref="D2:E2"/>
  </mergeCells>
  <conditionalFormatting sqref="C8:C45 D38:N45 Y38:AC45">
    <cfRule type="containsBlanks" dxfId="40" priority="102">
      <formula>LEN(TRIM(C8))=0</formula>
    </cfRule>
    <cfRule type="cellIs" dxfId="39" priority="103" operator="greaterThanOrEqual">
      <formula>2</formula>
    </cfRule>
    <cfRule type="cellIs" dxfId="38" priority="104" operator="between">
      <formula>1</formula>
      <formula>1.9</formula>
    </cfRule>
    <cfRule type="cellIs" dxfId="37" priority="105" operator="lessThan">
      <formula>1</formula>
    </cfRule>
  </conditionalFormatting>
  <conditionalFormatting sqref="B8:B45">
    <cfRule type="containsBlanks" dxfId="36" priority="98">
      <formula>LEN(TRIM(B8))=0</formula>
    </cfRule>
    <cfRule type="cellIs" dxfId="35" priority="99" operator="greaterThanOrEqual">
      <formula>1</formula>
    </cfRule>
    <cfRule type="cellIs" dxfId="34" priority="100" operator="between">
      <formula>0.5</formula>
      <formula>0.9</formula>
    </cfRule>
    <cfRule type="cellIs" dxfId="33" priority="101" operator="lessThan">
      <formula>0.5</formula>
    </cfRule>
  </conditionalFormatting>
  <conditionalFormatting sqref="D8:D37 I8:I37 D46:N147 M8:N37 Y8:AG37 Y46:AC147">
    <cfRule type="cellIs" dxfId="32" priority="96" operator="equal">
      <formula>2</formula>
    </cfRule>
    <cfRule type="cellIs" dxfId="31" priority="97" operator="equal">
      <formula>1</formula>
    </cfRule>
  </conditionalFormatting>
  <conditionalFormatting sqref="D8:D37 I8:I37 M8:N37 Y8:AG37">
    <cfRule type="cellIs" dxfId="30" priority="95" operator="equal">
      <formula>3</formula>
    </cfRule>
  </conditionalFormatting>
  <conditionalFormatting sqref="I8:I37 M8:N37 Y8:AG37">
    <cfRule type="cellIs" dxfId="29" priority="94" operator="greaterThanOrEqual">
      <formula>4</formula>
    </cfRule>
  </conditionalFormatting>
  <conditionalFormatting sqref="D8:D37">
    <cfRule type="cellIs" dxfId="28" priority="93" operator="greaterThanOrEqual">
      <formula>4</formula>
    </cfRule>
  </conditionalFormatting>
  <conditionalFormatting sqref="J8:L37">
    <cfRule type="cellIs" dxfId="27" priority="91" operator="equal">
      <formula>2</formula>
    </cfRule>
    <cfRule type="cellIs" dxfId="26" priority="92" operator="equal">
      <formula>1</formula>
    </cfRule>
  </conditionalFormatting>
  <conditionalFormatting sqref="J8:L37">
    <cfRule type="cellIs" dxfId="25" priority="90" operator="equal">
      <formula>3</formula>
    </cfRule>
  </conditionalFormatting>
  <conditionalFormatting sqref="J8:L37">
    <cfRule type="cellIs" dxfId="24" priority="89" operator="greaterThanOrEqual">
      <formula>4</formula>
    </cfRule>
  </conditionalFormatting>
  <conditionalFormatting sqref="AD38:AG45">
    <cfRule type="containsBlanks" dxfId="23" priority="25">
      <formula>LEN(TRIM(AD38))=0</formula>
    </cfRule>
    <cfRule type="cellIs" dxfId="22" priority="26" operator="greaterThanOrEqual">
      <formula>2</formula>
    </cfRule>
    <cfRule type="cellIs" dxfId="21" priority="27" operator="between">
      <formula>1</formula>
      <formula>1.9</formula>
    </cfRule>
    <cfRule type="cellIs" dxfId="20" priority="28" operator="lessThan">
      <formula>1</formula>
    </cfRule>
  </conditionalFormatting>
  <conditionalFormatting sqref="E8:H37">
    <cfRule type="cellIs" dxfId="19" priority="19" operator="equal">
      <formula>2</formula>
    </cfRule>
    <cfRule type="cellIs" dxfId="18" priority="20" operator="equal">
      <formula>1</formula>
    </cfRule>
  </conditionalFormatting>
  <conditionalFormatting sqref="E8:H37">
    <cfRule type="cellIs" dxfId="17" priority="18" operator="equal">
      <formula>3</formula>
    </cfRule>
  </conditionalFormatting>
  <conditionalFormatting sqref="E8:H37">
    <cfRule type="cellIs" dxfId="16" priority="17" operator="greaterThanOrEqual">
      <formula>4</formula>
    </cfRule>
  </conditionalFormatting>
  <conditionalFormatting sqref="O38:Q45 U38:X45">
    <cfRule type="containsBlanks" dxfId="15" priority="13">
      <formula>LEN(TRIM(O38))=0</formula>
    </cfRule>
    <cfRule type="cellIs" dxfId="14" priority="14" operator="greaterThanOrEqual">
      <formula>2</formula>
    </cfRule>
    <cfRule type="cellIs" dxfId="13" priority="15" operator="between">
      <formula>1</formula>
      <formula>1.9</formula>
    </cfRule>
    <cfRule type="cellIs" dxfId="12" priority="16" operator="lessThan">
      <formula>1</formula>
    </cfRule>
  </conditionalFormatting>
  <conditionalFormatting sqref="O46:Q147 O8:Q37 U8:X37 U46:X147">
    <cfRule type="cellIs" dxfId="11" priority="11" operator="equal">
      <formula>2</formula>
    </cfRule>
    <cfRule type="cellIs" dxfId="10" priority="12" operator="equal">
      <formula>1</formula>
    </cfRule>
  </conditionalFormatting>
  <conditionalFormatting sqref="O8:Q37 U8:X37">
    <cfRule type="cellIs" dxfId="9" priority="10" operator="equal">
      <formula>3</formula>
    </cfRule>
  </conditionalFormatting>
  <conditionalFormatting sqref="O8:Q37 U8:X37">
    <cfRule type="cellIs" dxfId="8" priority="9" operator="greaterThanOrEqual">
      <formula>4</formula>
    </cfRule>
  </conditionalFormatting>
  <conditionalFormatting sqref="R38:T45">
    <cfRule type="containsBlanks" dxfId="7" priority="5">
      <formula>LEN(TRIM(R38))=0</formula>
    </cfRule>
    <cfRule type="cellIs" dxfId="6" priority="6" operator="greaterThanOrEqual">
      <formula>2</formula>
    </cfRule>
    <cfRule type="cellIs" dxfId="5" priority="7" operator="between">
      <formula>1</formula>
      <formula>1.9</formula>
    </cfRule>
    <cfRule type="cellIs" dxfId="4" priority="8" operator="lessThan">
      <formula>1</formula>
    </cfRule>
  </conditionalFormatting>
  <conditionalFormatting sqref="R46:T147 R8:T37">
    <cfRule type="cellIs" dxfId="3" priority="3" operator="equal">
      <formula>2</formula>
    </cfRule>
    <cfRule type="cellIs" dxfId="2" priority="4" operator="equal">
      <formula>1</formula>
    </cfRule>
  </conditionalFormatting>
  <conditionalFormatting sqref="R8:T37">
    <cfRule type="cellIs" dxfId="1" priority="2" operator="equal">
      <formula>3</formula>
    </cfRule>
  </conditionalFormatting>
  <conditionalFormatting sqref="R8:T37">
    <cfRule type="cellIs" dxfId="0" priority="1" operator="greaterThanOrEqual">
      <formula>4</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8" tint="0.39997558519241921"/>
  </sheetPr>
  <dimension ref="A1:AM54"/>
  <sheetViews>
    <sheetView topLeftCell="K1" workbookViewId="0">
      <selection activeCell="B14" sqref="B14"/>
    </sheetView>
    <sheetView topLeftCell="M1" workbookViewId="1">
      <selection activeCell="Q5" sqref="Q5"/>
    </sheetView>
  </sheetViews>
  <sheetFormatPr defaultColWidth="7.125" defaultRowHeight="15.75" x14ac:dyDescent="0.25"/>
  <cols>
    <col min="1" max="1" width="25.125" style="112" customWidth="1"/>
    <col min="2" max="2" width="67.75" style="2" customWidth="1"/>
    <col min="3" max="3" width="11.125" style="2" customWidth="1"/>
    <col min="4" max="4" width="7.625" customWidth="1"/>
    <col min="5" max="5" width="23.875" style="1" customWidth="1"/>
    <col min="6" max="6" width="13.75" style="2" customWidth="1"/>
    <col min="7" max="7" width="16.875" style="2" customWidth="1"/>
    <col min="8" max="8" width="19.5" style="2" customWidth="1"/>
    <col min="9" max="9" width="19.375" style="2" customWidth="1"/>
    <col min="10" max="10" width="17" style="2" customWidth="1"/>
    <col min="11" max="11" width="19.5" style="2" customWidth="1"/>
    <col min="12" max="12" width="19.375" style="2" customWidth="1"/>
    <col min="13" max="13" width="18" style="3" customWidth="1"/>
    <col min="14" max="14" width="19.5" style="2" customWidth="1"/>
    <col min="15" max="15" width="19.375" style="2" customWidth="1"/>
    <col min="16" max="16" width="16.125" style="3" customWidth="1"/>
    <col min="17" max="17" width="19.5" style="2" customWidth="1"/>
    <col min="18" max="18" width="19.375" style="2" customWidth="1"/>
    <col min="19" max="19" width="19.75" style="3" customWidth="1"/>
    <col min="20" max="20" width="14.875" style="3" customWidth="1"/>
    <col min="21" max="21" width="18.625" style="3" customWidth="1"/>
    <col min="22" max="22" width="18.75" style="3" customWidth="1"/>
    <col min="23" max="23" width="17.625" style="3" customWidth="1"/>
    <col min="24" max="26" width="18.625" style="3" customWidth="1"/>
    <col min="27" max="34" width="7.125" style="3"/>
    <col min="35" max="16384" width="7.125" style="1"/>
  </cols>
  <sheetData>
    <row r="1" spans="1:39" ht="16.5" thickBot="1" x14ac:dyDescent="0.3"/>
    <row r="2" spans="1:39" ht="40.15" customHeight="1" thickBot="1" x14ac:dyDescent="0.3">
      <c r="A2" s="515" t="s">
        <v>585</v>
      </c>
      <c r="B2" s="516"/>
      <c r="E2" s="528"/>
      <c r="F2" s="528"/>
      <c r="G2" s="523" t="s">
        <v>425</v>
      </c>
      <c r="H2" s="524"/>
      <c r="I2" s="524"/>
      <c r="J2" s="524"/>
      <c r="K2" s="524"/>
      <c r="L2" s="524"/>
      <c r="M2" s="524"/>
      <c r="N2" s="524"/>
      <c r="O2" s="524"/>
      <c r="P2" s="524"/>
      <c r="Q2" s="524"/>
      <c r="R2" s="525"/>
      <c r="S2" s="526" t="s">
        <v>727</v>
      </c>
      <c r="T2" s="527"/>
      <c r="U2" s="523" t="s">
        <v>426</v>
      </c>
      <c r="V2" s="524"/>
      <c r="W2" s="525"/>
      <c r="X2" s="523" t="s">
        <v>505</v>
      </c>
      <c r="Y2" s="524"/>
      <c r="Z2" s="525"/>
    </row>
    <row r="3" spans="1:39" ht="40.15" customHeight="1" x14ac:dyDescent="0.25">
      <c r="A3" s="2"/>
      <c r="E3" s="115" t="s">
        <v>516</v>
      </c>
      <c r="F3" s="115" t="s">
        <v>687</v>
      </c>
      <c r="G3" s="115" t="s">
        <v>71</v>
      </c>
      <c r="H3" s="115" t="s">
        <v>864</v>
      </c>
      <c r="I3" s="115" t="s">
        <v>865</v>
      </c>
      <c r="J3" s="115" t="s">
        <v>558</v>
      </c>
      <c r="K3" s="115" t="s">
        <v>869</v>
      </c>
      <c r="L3" s="115" t="s">
        <v>870</v>
      </c>
      <c r="M3" s="115" t="s">
        <v>586</v>
      </c>
      <c r="N3" s="115" t="s">
        <v>871</v>
      </c>
      <c r="O3" s="115" t="s">
        <v>872</v>
      </c>
      <c r="P3" s="115" t="s">
        <v>439</v>
      </c>
      <c r="Q3" s="115" t="s">
        <v>873</v>
      </c>
      <c r="R3" s="115" t="s">
        <v>874</v>
      </c>
      <c r="S3" s="115" t="s">
        <v>440</v>
      </c>
      <c r="T3" s="115" t="s">
        <v>699</v>
      </c>
      <c r="U3" s="115" t="s">
        <v>506</v>
      </c>
      <c r="V3" s="115" t="s">
        <v>866</v>
      </c>
      <c r="W3" s="115" t="s">
        <v>867</v>
      </c>
      <c r="X3" s="115" t="s">
        <v>507</v>
      </c>
      <c r="Y3" s="115" t="s">
        <v>875</v>
      </c>
      <c r="Z3" s="115" t="s">
        <v>876</v>
      </c>
    </row>
    <row r="4" spans="1:39" ht="56.45" customHeight="1" thickBot="1" x14ac:dyDescent="0.3">
      <c r="A4" s="2"/>
      <c r="E4" s="73" t="s">
        <v>517</v>
      </c>
      <c r="F4" s="245" t="s">
        <v>689</v>
      </c>
      <c r="G4" s="245" t="s">
        <v>689</v>
      </c>
      <c r="H4" s="245" t="s">
        <v>868</v>
      </c>
      <c r="I4" s="245" t="s">
        <v>868</v>
      </c>
      <c r="J4" s="245" t="s">
        <v>689</v>
      </c>
      <c r="K4" s="245" t="s">
        <v>868</v>
      </c>
      <c r="L4" s="245" t="s">
        <v>868</v>
      </c>
      <c r="M4" s="245" t="s">
        <v>689</v>
      </c>
      <c r="N4" s="245" t="s">
        <v>868</v>
      </c>
      <c r="O4" s="245" t="s">
        <v>868</v>
      </c>
      <c r="P4" s="245" t="s">
        <v>689</v>
      </c>
      <c r="Q4" s="245" t="s">
        <v>868</v>
      </c>
      <c r="R4" s="245" t="s">
        <v>868</v>
      </c>
      <c r="S4" s="245" t="s">
        <v>689</v>
      </c>
      <c r="T4" s="245" t="s">
        <v>689</v>
      </c>
      <c r="U4" s="245" t="s">
        <v>689</v>
      </c>
      <c r="V4" s="245" t="s">
        <v>868</v>
      </c>
      <c r="W4" s="245" t="s">
        <v>868</v>
      </c>
      <c r="X4" s="245" t="s">
        <v>689</v>
      </c>
      <c r="Y4" s="245" t="s">
        <v>868</v>
      </c>
      <c r="Z4" s="245" t="s">
        <v>868</v>
      </c>
    </row>
    <row r="5" spans="1:39" ht="40.15" customHeight="1" thickBot="1" x14ac:dyDescent="0.3">
      <c r="A5" s="2"/>
      <c r="C5" s="135" t="s">
        <v>421</v>
      </c>
      <c r="E5" s="105" t="s">
        <v>41</v>
      </c>
      <c r="F5" s="246">
        <v>2958374.34</v>
      </c>
      <c r="G5" s="345">
        <v>0.16</v>
      </c>
      <c r="H5" s="345"/>
      <c r="I5" s="345"/>
      <c r="J5" s="346">
        <v>1.7999999999999999E-2</v>
      </c>
      <c r="K5" s="345"/>
      <c r="L5" s="345"/>
      <c r="M5" s="346">
        <v>1.7999999999999999E-2</v>
      </c>
      <c r="N5" s="346"/>
      <c r="O5" s="346"/>
      <c r="P5" s="346">
        <v>5.3999999999999999E-2</v>
      </c>
      <c r="Q5" s="346"/>
      <c r="R5" s="346"/>
      <c r="S5" s="345">
        <v>0.05</v>
      </c>
      <c r="T5" s="346">
        <v>0.03</v>
      </c>
      <c r="U5" s="345">
        <v>0.1</v>
      </c>
      <c r="V5" s="345"/>
      <c r="W5" s="345"/>
      <c r="X5" s="345">
        <v>0.15</v>
      </c>
      <c r="Y5" s="345"/>
      <c r="Z5" s="345"/>
    </row>
    <row r="6" spans="1:39" ht="40.15" customHeight="1" x14ac:dyDescent="0.25">
      <c r="A6" s="520" t="s">
        <v>425</v>
      </c>
      <c r="B6" s="521"/>
      <c r="C6" s="522"/>
      <c r="E6" s="106" t="s">
        <v>42</v>
      </c>
      <c r="F6" s="246">
        <v>1542806.1</v>
      </c>
      <c r="G6" s="345">
        <v>0.15</v>
      </c>
      <c r="H6" s="345"/>
      <c r="I6" s="345"/>
      <c r="J6" s="346">
        <v>1.7999999999999999E-2</v>
      </c>
      <c r="K6" s="345"/>
      <c r="L6" s="345"/>
      <c r="M6" s="346">
        <v>1.7999999999999999E-2</v>
      </c>
      <c r="N6" s="346"/>
      <c r="O6" s="346"/>
      <c r="P6" s="346">
        <v>5.3999999999999999E-2</v>
      </c>
      <c r="Q6" s="346"/>
      <c r="R6" s="346"/>
      <c r="S6" s="345">
        <v>0.05</v>
      </c>
      <c r="T6" s="346">
        <v>0.03</v>
      </c>
      <c r="U6" s="345">
        <v>0.1</v>
      </c>
      <c r="V6" s="345"/>
      <c r="W6" s="345"/>
      <c r="X6" s="345">
        <v>0.15</v>
      </c>
      <c r="Y6" s="345"/>
      <c r="Z6" s="345"/>
    </row>
    <row r="7" spans="1:39" ht="41.45" customHeight="1" x14ac:dyDescent="0.25">
      <c r="A7" s="111" t="s">
        <v>841</v>
      </c>
      <c r="B7" s="343" t="s">
        <v>884</v>
      </c>
      <c r="C7" s="349">
        <v>3.2</v>
      </c>
      <c r="E7" s="106" t="s">
        <v>43</v>
      </c>
      <c r="F7" s="246">
        <v>2836525.14</v>
      </c>
      <c r="G7" s="345">
        <v>0.16</v>
      </c>
      <c r="H7" s="345"/>
      <c r="I7" s="345"/>
      <c r="J7" s="346">
        <v>1.7999999999999999E-2</v>
      </c>
      <c r="K7" s="345"/>
      <c r="L7" s="345"/>
      <c r="M7" s="346">
        <v>1.7999999999999999E-2</v>
      </c>
      <c r="N7" s="346"/>
      <c r="O7" s="346"/>
      <c r="P7" s="346">
        <v>5.3999999999999999E-2</v>
      </c>
      <c r="Q7" s="346"/>
      <c r="R7" s="346"/>
      <c r="S7" s="345">
        <v>0.05</v>
      </c>
      <c r="T7" s="346">
        <v>0.03</v>
      </c>
      <c r="U7" s="345">
        <v>0.1</v>
      </c>
      <c r="V7" s="345"/>
      <c r="W7" s="345"/>
      <c r="X7" s="345">
        <v>0.15</v>
      </c>
      <c r="Y7" s="345"/>
      <c r="Z7" s="345"/>
    </row>
    <row r="8" spans="1:39" ht="39.6" customHeight="1" x14ac:dyDescent="0.25">
      <c r="A8" s="111" t="s">
        <v>842</v>
      </c>
      <c r="B8" s="343" t="s">
        <v>885</v>
      </c>
      <c r="C8" s="349">
        <v>3.2</v>
      </c>
      <c r="E8" s="106" t="s">
        <v>44</v>
      </c>
      <c r="F8" s="246">
        <v>4142095.56</v>
      </c>
      <c r="G8" s="345">
        <v>0.16</v>
      </c>
      <c r="H8" s="345"/>
      <c r="I8" s="345"/>
      <c r="J8" s="346">
        <v>1.7999999999999999E-2</v>
      </c>
      <c r="K8" s="345"/>
      <c r="L8" s="345"/>
      <c r="M8" s="346">
        <v>1.7999999999999999E-2</v>
      </c>
      <c r="N8" s="346"/>
      <c r="O8" s="346"/>
      <c r="P8" s="346">
        <v>5.3999999999999999E-2</v>
      </c>
      <c r="Q8" s="346"/>
      <c r="R8" s="346"/>
      <c r="S8" s="345">
        <v>0.05</v>
      </c>
      <c r="T8" s="346">
        <v>0.03</v>
      </c>
      <c r="U8" s="345">
        <v>0.1</v>
      </c>
      <c r="V8" s="345"/>
      <c r="W8" s="345"/>
      <c r="X8" s="345">
        <v>0.15</v>
      </c>
      <c r="Y8" s="345"/>
      <c r="Z8" s="345"/>
    </row>
    <row r="9" spans="1:39" ht="43.15" customHeight="1" x14ac:dyDescent="0.25">
      <c r="A9" s="111" t="s">
        <v>836</v>
      </c>
      <c r="B9" s="102" t="s">
        <v>878</v>
      </c>
      <c r="C9" s="54">
        <v>0.98199999999999998</v>
      </c>
      <c r="E9" s="106" t="s">
        <v>45</v>
      </c>
      <c r="F9" s="246">
        <v>1391176.98</v>
      </c>
      <c r="G9" s="345">
        <v>0.16</v>
      </c>
      <c r="H9" s="345"/>
      <c r="I9" s="345"/>
      <c r="J9" s="346">
        <v>1.7999999999999999E-2</v>
      </c>
      <c r="K9" s="345"/>
      <c r="L9" s="345"/>
      <c r="M9" s="346">
        <v>1.7999999999999999E-2</v>
      </c>
      <c r="N9" s="346"/>
      <c r="O9" s="346"/>
      <c r="P9" s="346">
        <v>5.3999999999999999E-2</v>
      </c>
      <c r="Q9" s="346"/>
      <c r="R9" s="346"/>
      <c r="S9" s="345">
        <v>0.05</v>
      </c>
      <c r="T9" s="346">
        <v>0.03</v>
      </c>
      <c r="U9" s="345">
        <v>0.1</v>
      </c>
      <c r="V9" s="345"/>
      <c r="W9" s="345"/>
      <c r="X9" s="345">
        <v>0.15</v>
      </c>
      <c r="Y9" s="345"/>
      <c r="Z9" s="345"/>
    </row>
    <row r="10" spans="1:39" ht="54" customHeight="1" x14ac:dyDescent="0.25">
      <c r="A10" s="111" t="s">
        <v>73</v>
      </c>
      <c r="B10" s="102" t="s">
        <v>35</v>
      </c>
      <c r="C10" s="54">
        <v>0.1</v>
      </c>
      <c r="E10" s="106" t="s">
        <v>46</v>
      </c>
      <c r="F10" s="246">
        <v>1432624.68</v>
      </c>
      <c r="G10" s="345">
        <v>0.16</v>
      </c>
      <c r="H10" s="345"/>
      <c r="I10" s="345"/>
      <c r="J10" s="346">
        <v>1.7999999999999999E-2</v>
      </c>
      <c r="K10" s="345"/>
      <c r="L10" s="345"/>
      <c r="M10" s="346">
        <v>1.7999999999999999E-2</v>
      </c>
      <c r="N10" s="346"/>
      <c r="O10" s="346"/>
      <c r="P10" s="346">
        <v>5.3999999999999999E-2</v>
      </c>
      <c r="Q10" s="346"/>
      <c r="R10" s="346"/>
      <c r="S10" s="345">
        <v>0.05</v>
      </c>
      <c r="T10" s="346">
        <v>0.03</v>
      </c>
      <c r="U10" s="345">
        <v>0.1</v>
      </c>
      <c r="V10" s="345"/>
      <c r="W10" s="345"/>
      <c r="X10" s="345">
        <v>0.15</v>
      </c>
      <c r="Y10" s="345"/>
      <c r="Z10" s="345"/>
    </row>
    <row r="11" spans="1:39" ht="61.15" customHeight="1" x14ac:dyDescent="0.25">
      <c r="A11" s="111" t="s">
        <v>72</v>
      </c>
      <c r="B11" s="102" t="s">
        <v>35</v>
      </c>
      <c r="C11" s="54">
        <v>0.9</v>
      </c>
      <c r="E11" s="106" t="s">
        <v>47</v>
      </c>
      <c r="F11" s="246">
        <v>1578877.38</v>
      </c>
      <c r="G11" s="345">
        <v>0.16</v>
      </c>
      <c r="H11" s="345"/>
      <c r="I11" s="345"/>
      <c r="J11" s="346">
        <v>1.7999999999999999E-2</v>
      </c>
      <c r="K11" s="345"/>
      <c r="L11" s="345"/>
      <c r="M11" s="346">
        <v>1.7999999999999999E-2</v>
      </c>
      <c r="N11" s="346"/>
      <c r="O11" s="346"/>
      <c r="P11" s="346">
        <v>5.3999999999999999E-2</v>
      </c>
      <c r="Q11" s="346"/>
      <c r="R11" s="346"/>
      <c r="S11" s="345">
        <v>0.05</v>
      </c>
      <c r="T11" s="346">
        <v>0.03</v>
      </c>
      <c r="U11" s="345">
        <v>0.1</v>
      </c>
      <c r="V11" s="345"/>
      <c r="W11" s="345"/>
      <c r="X11" s="345">
        <v>0.15</v>
      </c>
      <c r="Y11" s="345"/>
      <c r="Z11" s="345"/>
    </row>
    <row r="12" spans="1:39" ht="57" customHeight="1" thickBot="1" x14ac:dyDescent="0.3">
      <c r="A12" s="110" t="s">
        <v>710</v>
      </c>
      <c r="B12" s="102" t="s">
        <v>35</v>
      </c>
      <c r="C12" s="55">
        <v>0.7</v>
      </c>
      <c r="E12" s="106" t="s">
        <v>48</v>
      </c>
      <c r="F12" s="246">
        <v>3106925.1</v>
      </c>
      <c r="G12" s="345">
        <v>0.16</v>
      </c>
      <c r="H12" s="345"/>
      <c r="I12" s="345"/>
      <c r="J12" s="346">
        <v>1.7999999999999999E-2</v>
      </c>
      <c r="K12" s="345"/>
      <c r="L12" s="345"/>
      <c r="M12" s="346">
        <v>1.7999999999999999E-2</v>
      </c>
      <c r="N12" s="346"/>
      <c r="O12" s="346"/>
      <c r="P12" s="346">
        <v>5.3999999999999999E-2</v>
      </c>
      <c r="Q12" s="346"/>
      <c r="R12" s="346"/>
      <c r="S12" s="345">
        <v>0.05</v>
      </c>
      <c r="T12" s="346">
        <v>0.03</v>
      </c>
      <c r="U12" s="345">
        <v>0.1</v>
      </c>
      <c r="V12" s="345"/>
      <c r="W12" s="345"/>
      <c r="X12" s="345">
        <v>0.15</v>
      </c>
      <c r="Y12" s="345"/>
      <c r="Z12" s="345"/>
    </row>
    <row r="13" spans="1:39" s="5" customFormat="1" ht="58.9" customHeight="1" thickBot="1" x14ac:dyDescent="0.3">
      <c r="A13" s="110" t="s">
        <v>502</v>
      </c>
      <c r="B13" s="102" t="s">
        <v>35</v>
      </c>
      <c r="C13" s="55">
        <f>24/(60-24)</f>
        <v>0.66666666666666663</v>
      </c>
      <c r="D13"/>
      <c r="E13" s="106" t="s">
        <v>49</v>
      </c>
      <c r="F13" s="246">
        <v>3823090.56</v>
      </c>
      <c r="G13" s="345">
        <v>0.16</v>
      </c>
      <c r="H13" s="345"/>
      <c r="I13" s="345"/>
      <c r="J13" s="346">
        <v>1.7999999999999999E-2</v>
      </c>
      <c r="K13" s="345"/>
      <c r="L13" s="345"/>
      <c r="M13" s="346">
        <v>1.7999999999999999E-2</v>
      </c>
      <c r="N13" s="346"/>
      <c r="O13" s="346"/>
      <c r="P13" s="346">
        <v>5.3999999999999999E-2</v>
      </c>
      <c r="Q13" s="346"/>
      <c r="R13" s="346"/>
      <c r="S13" s="345">
        <v>0.05</v>
      </c>
      <c r="T13" s="346">
        <v>0.03</v>
      </c>
      <c r="U13" s="345">
        <v>0.1</v>
      </c>
      <c r="V13" s="345"/>
      <c r="W13" s="345"/>
      <c r="X13" s="345">
        <v>0.15</v>
      </c>
      <c r="Y13" s="345"/>
      <c r="Z13" s="345"/>
      <c r="AA13" s="4"/>
      <c r="AB13" s="4"/>
      <c r="AC13" s="4"/>
      <c r="AD13" s="4"/>
      <c r="AE13" s="4"/>
      <c r="AF13" s="4"/>
      <c r="AG13" s="4"/>
      <c r="AH13" s="4"/>
      <c r="AI13" s="4"/>
      <c r="AJ13" s="4"/>
      <c r="AK13" s="4"/>
      <c r="AL13" s="4"/>
      <c r="AM13" s="4"/>
    </row>
    <row r="14" spans="1:39" s="6" customFormat="1" ht="40.15" customHeight="1" thickBot="1" x14ac:dyDescent="0.3">
      <c r="D14"/>
      <c r="E14" s="106" t="s">
        <v>50</v>
      </c>
      <c r="F14" s="246">
        <v>2147058.1800000002</v>
      </c>
      <c r="G14" s="345">
        <v>0.16</v>
      </c>
      <c r="H14" s="345"/>
      <c r="I14" s="345"/>
      <c r="J14" s="346">
        <v>1.7999999999999999E-2</v>
      </c>
      <c r="K14" s="345"/>
      <c r="L14" s="345"/>
      <c r="M14" s="346">
        <v>1.7999999999999999E-2</v>
      </c>
      <c r="N14" s="346"/>
      <c r="O14" s="346"/>
      <c r="P14" s="346">
        <v>5.3999999999999999E-2</v>
      </c>
      <c r="Q14" s="346"/>
      <c r="R14" s="346"/>
      <c r="S14" s="345">
        <v>0.05</v>
      </c>
      <c r="T14" s="346">
        <v>0.03</v>
      </c>
      <c r="U14" s="345">
        <v>0.1</v>
      </c>
      <c r="V14" s="345"/>
      <c r="W14" s="345"/>
      <c r="X14" s="345">
        <v>0.15</v>
      </c>
      <c r="Y14" s="345"/>
      <c r="Z14" s="345"/>
    </row>
    <row r="15" spans="1:39" s="7" customFormat="1" ht="40.15" customHeight="1" thickBot="1" x14ac:dyDescent="0.3">
      <c r="A15" s="6"/>
      <c r="B15" s="6"/>
      <c r="C15" s="135" t="s">
        <v>421</v>
      </c>
      <c r="D15"/>
      <c r="E15" s="106" t="s">
        <v>51</v>
      </c>
      <c r="F15" s="246">
        <v>2877125.2199999997</v>
      </c>
      <c r="G15" s="345">
        <v>0.16</v>
      </c>
      <c r="H15" s="345"/>
      <c r="I15" s="345"/>
      <c r="J15" s="346">
        <v>1.7999999999999999E-2</v>
      </c>
      <c r="K15" s="345"/>
      <c r="L15" s="345"/>
      <c r="M15" s="346">
        <v>1.7999999999999999E-2</v>
      </c>
      <c r="N15" s="346"/>
      <c r="O15" s="346"/>
      <c r="P15" s="346">
        <v>5.3999999999999999E-2</v>
      </c>
      <c r="Q15" s="346"/>
      <c r="R15" s="346"/>
      <c r="S15" s="345">
        <v>0.05</v>
      </c>
      <c r="T15" s="346">
        <v>0.03</v>
      </c>
      <c r="U15" s="345">
        <v>0.1</v>
      </c>
      <c r="V15" s="345"/>
      <c r="W15" s="345"/>
      <c r="X15" s="345">
        <v>0.15</v>
      </c>
      <c r="Y15" s="345"/>
      <c r="Z15" s="345"/>
    </row>
    <row r="16" spans="1:39" s="9" customFormat="1" ht="40.15" customHeight="1" x14ac:dyDescent="0.25">
      <c r="A16" s="517" t="s">
        <v>424</v>
      </c>
      <c r="B16" s="518"/>
      <c r="C16" s="519"/>
      <c r="D16"/>
      <c r="E16" s="106" t="s">
        <v>52</v>
      </c>
      <c r="F16" s="246">
        <v>5900680.6200000001</v>
      </c>
      <c r="G16" s="345">
        <v>0.16</v>
      </c>
      <c r="H16" s="345"/>
      <c r="I16" s="345"/>
      <c r="J16" s="346">
        <v>1.7999999999999999E-2</v>
      </c>
      <c r="K16" s="345"/>
      <c r="L16" s="345"/>
      <c r="M16" s="346">
        <v>1.7999999999999999E-2</v>
      </c>
      <c r="N16" s="346"/>
      <c r="O16" s="346"/>
      <c r="P16" s="346">
        <v>5.3999999999999999E-2</v>
      </c>
      <c r="Q16" s="346"/>
      <c r="R16" s="346"/>
      <c r="S16" s="345">
        <v>0.05</v>
      </c>
      <c r="T16" s="346">
        <v>0.03</v>
      </c>
      <c r="U16" s="345">
        <v>0.1</v>
      </c>
      <c r="V16" s="345"/>
      <c r="W16" s="345"/>
      <c r="X16" s="345">
        <v>0.15</v>
      </c>
      <c r="Y16" s="345"/>
      <c r="Z16" s="345"/>
      <c r="AA16" s="8"/>
      <c r="AB16" s="8"/>
      <c r="AC16" s="8"/>
      <c r="AD16" s="8"/>
      <c r="AE16" s="8"/>
      <c r="AF16" s="8"/>
      <c r="AG16" s="8"/>
      <c r="AH16" s="8"/>
      <c r="AI16" s="8"/>
      <c r="AJ16" s="8"/>
      <c r="AK16" s="8"/>
      <c r="AL16" s="8"/>
      <c r="AM16" s="8"/>
    </row>
    <row r="17" spans="1:39" s="9" customFormat="1" ht="40.15" customHeight="1" x14ac:dyDescent="0.25">
      <c r="A17" s="109" t="s">
        <v>422</v>
      </c>
      <c r="B17" s="103" t="s">
        <v>691</v>
      </c>
      <c r="C17" s="54">
        <v>0.75</v>
      </c>
      <c r="D17"/>
      <c r="E17" s="106" t="s">
        <v>53</v>
      </c>
      <c r="F17" s="246">
        <v>1682694</v>
      </c>
      <c r="G17" s="345">
        <v>0.16</v>
      </c>
      <c r="H17" s="345"/>
      <c r="I17" s="345"/>
      <c r="J17" s="346">
        <v>1.7999999999999999E-2</v>
      </c>
      <c r="K17" s="345"/>
      <c r="L17" s="345"/>
      <c r="M17" s="346">
        <v>1.7999999999999999E-2</v>
      </c>
      <c r="N17" s="346"/>
      <c r="O17" s="346"/>
      <c r="P17" s="346">
        <v>5.3999999999999999E-2</v>
      </c>
      <c r="Q17" s="346"/>
      <c r="R17" s="346"/>
      <c r="S17" s="345">
        <v>0.05</v>
      </c>
      <c r="T17" s="346">
        <v>0.03</v>
      </c>
      <c r="U17" s="345">
        <v>0.1</v>
      </c>
      <c r="V17" s="345"/>
      <c r="W17" s="345"/>
      <c r="X17" s="345">
        <v>0.15</v>
      </c>
      <c r="Y17" s="345"/>
      <c r="Z17" s="345"/>
      <c r="AA17" s="8"/>
      <c r="AB17" s="8"/>
      <c r="AC17" s="8"/>
      <c r="AD17" s="8"/>
      <c r="AE17" s="8"/>
      <c r="AF17" s="8"/>
      <c r="AG17" s="8"/>
      <c r="AH17" s="8"/>
      <c r="AI17" s="8"/>
      <c r="AJ17" s="8"/>
      <c r="AK17" s="8"/>
      <c r="AL17" s="8"/>
      <c r="AM17" s="8"/>
    </row>
    <row r="18" spans="1:39" s="9" customFormat="1" ht="57.6" customHeight="1" thickBot="1" x14ac:dyDescent="0.3">
      <c r="A18" s="110" t="s">
        <v>423</v>
      </c>
      <c r="B18" s="344" t="s">
        <v>35</v>
      </c>
      <c r="C18" s="54">
        <v>1</v>
      </c>
      <c r="D18"/>
      <c r="E18" s="106" t="s">
        <v>54</v>
      </c>
      <c r="F18" s="246">
        <v>13842577.080000002</v>
      </c>
      <c r="G18" s="345">
        <v>0.16</v>
      </c>
      <c r="H18" s="345"/>
      <c r="I18" s="345"/>
      <c r="J18" s="346">
        <v>1.7999999999999999E-2</v>
      </c>
      <c r="K18" s="345"/>
      <c r="L18" s="345"/>
      <c r="M18" s="346">
        <v>1.7999999999999999E-2</v>
      </c>
      <c r="N18" s="346"/>
      <c r="O18" s="346"/>
      <c r="P18" s="346">
        <v>5.3999999999999999E-2</v>
      </c>
      <c r="Q18" s="346"/>
      <c r="R18" s="346"/>
      <c r="S18" s="345">
        <v>0.05</v>
      </c>
      <c r="T18" s="346">
        <v>0.03</v>
      </c>
      <c r="U18" s="345">
        <v>0.1</v>
      </c>
      <c r="V18" s="345"/>
      <c r="W18" s="345"/>
      <c r="X18" s="345">
        <v>0.15</v>
      </c>
      <c r="Y18" s="345"/>
      <c r="Z18" s="345"/>
      <c r="AA18" s="8"/>
      <c r="AB18" s="8"/>
      <c r="AC18" s="8"/>
      <c r="AD18" s="8"/>
      <c r="AE18" s="8"/>
      <c r="AF18" s="8"/>
      <c r="AG18" s="8"/>
      <c r="AH18" s="8"/>
      <c r="AI18" s="8"/>
      <c r="AJ18" s="8"/>
      <c r="AK18" s="8"/>
      <c r="AL18" s="8"/>
      <c r="AM18" s="8"/>
    </row>
    <row r="19" spans="1:39" s="9" customFormat="1" ht="40.15" customHeight="1" x14ac:dyDescent="0.25">
      <c r="D19"/>
      <c r="E19" s="106" t="s">
        <v>55</v>
      </c>
      <c r="F19" s="246">
        <v>3833525.16</v>
      </c>
      <c r="G19" s="345">
        <v>0.16</v>
      </c>
      <c r="H19" s="345"/>
      <c r="I19" s="345"/>
      <c r="J19" s="346">
        <v>1.7999999999999999E-2</v>
      </c>
      <c r="K19" s="345"/>
      <c r="L19" s="345"/>
      <c r="M19" s="346">
        <v>1.7999999999999999E-2</v>
      </c>
      <c r="N19" s="346"/>
      <c r="O19" s="346"/>
      <c r="P19" s="346">
        <v>5.3999999999999999E-2</v>
      </c>
      <c r="Q19" s="346"/>
      <c r="R19" s="346"/>
      <c r="S19" s="345">
        <v>0.05</v>
      </c>
      <c r="T19" s="346">
        <v>0.03</v>
      </c>
      <c r="U19" s="345">
        <v>0.1</v>
      </c>
      <c r="V19" s="345"/>
      <c r="W19" s="345"/>
      <c r="X19" s="345">
        <v>0.15</v>
      </c>
      <c r="Y19" s="345"/>
      <c r="Z19" s="345"/>
      <c r="AA19" s="8"/>
      <c r="AB19" s="8"/>
      <c r="AC19" s="8"/>
      <c r="AD19" s="8"/>
      <c r="AE19" s="8"/>
      <c r="AF19" s="8"/>
      <c r="AG19" s="8"/>
      <c r="AH19" s="8"/>
      <c r="AI19" s="8"/>
      <c r="AJ19" s="8"/>
      <c r="AK19" s="8"/>
      <c r="AL19" s="8"/>
      <c r="AM19" s="8"/>
    </row>
    <row r="20" spans="1:39" s="9" customFormat="1" ht="40.15" customHeight="1" x14ac:dyDescent="0.25">
      <c r="A20" s="112"/>
      <c r="B20" s="2"/>
      <c r="C20" s="2"/>
      <c r="D20"/>
      <c r="E20" s="106" t="s">
        <v>56</v>
      </c>
      <c r="F20" s="246">
        <v>1371629.7000000002</v>
      </c>
      <c r="G20" s="345">
        <v>0.16</v>
      </c>
      <c r="H20" s="345"/>
      <c r="I20" s="345"/>
      <c r="J20" s="346">
        <v>1.7999999999999999E-2</v>
      </c>
      <c r="K20" s="345"/>
      <c r="L20" s="345"/>
      <c r="M20" s="346">
        <v>1.7999999999999999E-2</v>
      </c>
      <c r="N20" s="346"/>
      <c r="O20" s="346"/>
      <c r="P20" s="346">
        <v>5.3999999999999999E-2</v>
      </c>
      <c r="Q20" s="346"/>
      <c r="R20" s="346"/>
      <c r="S20" s="345">
        <v>0.05</v>
      </c>
      <c r="T20" s="346">
        <v>0.03</v>
      </c>
      <c r="U20" s="345">
        <v>0.1</v>
      </c>
      <c r="V20" s="345"/>
      <c r="W20" s="345"/>
      <c r="X20" s="345">
        <v>0.15</v>
      </c>
      <c r="Y20" s="345"/>
      <c r="Z20" s="345"/>
      <c r="AA20" s="8"/>
      <c r="AB20" s="8"/>
      <c r="AC20" s="8"/>
      <c r="AD20" s="8"/>
      <c r="AE20" s="8"/>
      <c r="AF20" s="8"/>
      <c r="AG20" s="8"/>
      <c r="AH20" s="8"/>
      <c r="AI20" s="8"/>
      <c r="AJ20" s="8"/>
      <c r="AK20" s="8"/>
      <c r="AL20" s="8"/>
      <c r="AM20" s="8"/>
    </row>
    <row r="21" spans="1:39" s="9" customFormat="1" ht="40.15" customHeight="1" x14ac:dyDescent="0.25">
      <c r="A21" s="112"/>
      <c r="B21" s="2"/>
      <c r="C21" s="2"/>
      <c r="D21"/>
      <c r="E21" s="106" t="s">
        <v>57</v>
      </c>
      <c r="F21" s="246">
        <v>1787269.5</v>
      </c>
      <c r="G21" s="345">
        <v>0.16</v>
      </c>
      <c r="H21" s="345"/>
      <c r="I21" s="345"/>
      <c r="J21" s="346">
        <v>1.7999999999999999E-2</v>
      </c>
      <c r="K21" s="345"/>
      <c r="L21" s="345"/>
      <c r="M21" s="346">
        <v>1.7999999999999999E-2</v>
      </c>
      <c r="N21" s="346"/>
      <c r="O21" s="346"/>
      <c r="P21" s="346">
        <v>5.3999999999999999E-2</v>
      </c>
      <c r="Q21" s="346"/>
      <c r="R21" s="346"/>
      <c r="S21" s="345">
        <v>0.05</v>
      </c>
      <c r="T21" s="346">
        <v>0.03</v>
      </c>
      <c r="U21" s="345">
        <v>0.1</v>
      </c>
      <c r="V21" s="345"/>
      <c r="W21" s="345"/>
      <c r="X21" s="345">
        <v>0.15</v>
      </c>
      <c r="Y21" s="345"/>
      <c r="Z21" s="345"/>
      <c r="AA21" s="8"/>
      <c r="AB21" s="8"/>
      <c r="AC21" s="8"/>
      <c r="AD21" s="8"/>
      <c r="AE21" s="8"/>
      <c r="AF21" s="8"/>
      <c r="AG21" s="8"/>
      <c r="AH21" s="8"/>
      <c r="AI21" s="8"/>
      <c r="AJ21" s="8"/>
      <c r="AK21" s="8"/>
      <c r="AL21" s="8"/>
      <c r="AM21" s="8"/>
    </row>
    <row r="22" spans="1:39" s="9" customFormat="1" ht="40.15" customHeight="1" x14ac:dyDescent="0.25">
      <c r="A22" s="112"/>
      <c r="B22" s="2"/>
      <c r="C22" s="2"/>
      <c r="D22"/>
      <c r="E22" s="106" t="s">
        <v>58</v>
      </c>
      <c r="F22" s="246">
        <v>1401877.8</v>
      </c>
      <c r="G22" s="345">
        <v>0.16</v>
      </c>
      <c r="H22" s="345"/>
      <c r="I22" s="345"/>
      <c r="J22" s="346">
        <v>1.7999999999999999E-2</v>
      </c>
      <c r="K22" s="345"/>
      <c r="L22" s="345"/>
      <c r="M22" s="346">
        <v>1.7999999999999999E-2</v>
      </c>
      <c r="N22" s="346"/>
      <c r="O22" s="346"/>
      <c r="P22" s="346">
        <v>5.3999999999999999E-2</v>
      </c>
      <c r="Q22" s="346"/>
      <c r="R22" s="346"/>
      <c r="S22" s="345">
        <v>0.05</v>
      </c>
      <c r="T22" s="346">
        <v>0.03</v>
      </c>
      <c r="U22" s="345">
        <v>0.1</v>
      </c>
      <c r="V22" s="345"/>
      <c r="W22" s="345"/>
      <c r="X22" s="345">
        <v>0.15</v>
      </c>
      <c r="Y22" s="345"/>
      <c r="Z22" s="345"/>
      <c r="AA22" s="8"/>
      <c r="AB22" s="8"/>
      <c r="AC22" s="8"/>
      <c r="AD22" s="8"/>
      <c r="AE22" s="8"/>
      <c r="AF22" s="8"/>
      <c r="AG22" s="8"/>
      <c r="AH22" s="8"/>
      <c r="AI22" s="8"/>
      <c r="AJ22" s="8"/>
      <c r="AK22" s="8"/>
      <c r="AL22" s="8"/>
      <c r="AM22" s="8"/>
    </row>
    <row r="23" spans="1:39" s="9" customFormat="1" ht="40.15" customHeight="1" x14ac:dyDescent="0.25">
      <c r="A23" s="112"/>
      <c r="B23" s="2"/>
      <c r="C23" s="2"/>
      <c r="D23"/>
      <c r="E23" s="106" t="s">
        <v>59</v>
      </c>
      <c r="F23" s="246">
        <v>3150187.38</v>
      </c>
      <c r="G23" s="345">
        <v>0.16</v>
      </c>
      <c r="H23" s="345"/>
      <c r="I23" s="345"/>
      <c r="J23" s="346">
        <v>1.7999999999999999E-2</v>
      </c>
      <c r="K23" s="345"/>
      <c r="L23" s="345"/>
      <c r="M23" s="346">
        <v>1.7999999999999999E-2</v>
      </c>
      <c r="N23" s="346"/>
      <c r="O23" s="346"/>
      <c r="P23" s="346">
        <v>5.3999999999999999E-2</v>
      </c>
      <c r="Q23" s="346"/>
      <c r="R23" s="346"/>
      <c r="S23" s="345">
        <v>0.05</v>
      </c>
      <c r="T23" s="346">
        <v>0.03</v>
      </c>
      <c r="U23" s="345">
        <v>0.1</v>
      </c>
      <c r="V23" s="345"/>
      <c r="W23" s="345"/>
      <c r="X23" s="345">
        <v>0.15</v>
      </c>
      <c r="Y23" s="345"/>
      <c r="Z23" s="345"/>
      <c r="AA23" s="8"/>
      <c r="AB23" s="8"/>
      <c r="AC23" s="8"/>
      <c r="AD23" s="8"/>
      <c r="AE23" s="8"/>
      <c r="AF23" s="8"/>
      <c r="AG23" s="8"/>
      <c r="AH23" s="8"/>
      <c r="AI23" s="8"/>
      <c r="AJ23" s="8"/>
      <c r="AK23" s="8"/>
      <c r="AL23" s="8"/>
      <c r="AM23" s="8"/>
    </row>
    <row r="24" spans="1:39" s="9" customFormat="1" ht="40.15" customHeight="1" x14ac:dyDescent="0.25">
      <c r="A24" s="112"/>
      <c r="B24" s="2"/>
      <c r="C24" s="2"/>
      <c r="D24"/>
      <c r="E24" s="106" t="s">
        <v>60</v>
      </c>
      <c r="F24" s="246">
        <v>1385941.32</v>
      </c>
      <c r="G24" s="345">
        <v>0.16</v>
      </c>
      <c r="H24" s="345"/>
      <c r="I24" s="345"/>
      <c r="J24" s="346">
        <v>1.7999999999999999E-2</v>
      </c>
      <c r="K24" s="345"/>
      <c r="L24" s="345"/>
      <c r="M24" s="346">
        <v>1.7999999999999999E-2</v>
      </c>
      <c r="N24" s="346"/>
      <c r="O24" s="346"/>
      <c r="P24" s="346">
        <v>5.3999999999999999E-2</v>
      </c>
      <c r="Q24" s="346"/>
      <c r="R24" s="346"/>
      <c r="S24" s="345">
        <v>0.05</v>
      </c>
      <c r="T24" s="346">
        <v>0.03</v>
      </c>
      <c r="U24" s="345">
        <v>0.1</v>
      </c>
      <c r="V24" s="345"/>
      <c r="W24" s="345"/>
      <c r="X24" s="345">
        <v>0.15</v>
      </c>
      <c r="Y24" s="345"/>
      <c r="Z24" s="345"/>
      <c r="AA24" s="8"/>
      <c r="AB24" s="8"/>
      <c r="AC24" s="8"/>
      <c r="AD24" s="8"/>
      <c r="AE24" s="8"/>
      <c r="AF24" s="8"/>
      <c r="AG24" s="8"/>
      <c r="AH24" s="8"/>
      <c r="AI24" s="8"/>
      <c r="AJ24" s="8"/>
      <c r="AK24" s="8"/>
      <c r="AL24" s="8"/>
      <c r="AM24" s="8"/>
    </row>
    <row r="25" spans="1:39" s="9" customFormat="1" ht="40.15" customHeight="1" x14ac:dyDescent="0.25">
      <c r="A25" s="112"/>
      <c r="B25" s="2"/>
      <c r="C25" s="2"/>
      <c r="D25"/>
      <c r="E25" s="106" t="s">
        <v>61</v>
      </c>
      <c r="F25" s="246">
        <v>1219517.1000000001</v>
      </c>
      <c r="G25" s="345">
        <v>0.16</v>
      </c>
      <c r="H25" s="345"/>
      <c r="I25" s="345"/>
      <c r="J25" s="346">
        <v>1.7999999999999999E-2</v>
      </c>
      <c r="K25" s="345"/>
      <c r="L25" s="345"/>
      <c r="M25" s="346">
        <v>1.7999999999999999E-2</v>
      </c>
      <c r="N25" s="346"/>
      <c r="O25" s="346"/>
      <c r="P25" s="346">
        <v>5.3999999999999999E-2</v>
      </c>
      <c r="Q25" s="346"/>
      <c r="R25" s="346"/>
      <c r="S25" s="345">
        <v>0.05</v>
      </c>
      <c r="T25" s="346">
        <v>0.03</v>
      </c>
      <c r="U25" s="345">
        <v>0.1</v>
      </c>
      <c r="V25" s="345"/>
      <c r="W25" s="345"/>
      <c r="X25" s="345">
        <v>0.15</v>
      </c>
      <c r="Y25" s="345"/>
      <c r="Z25" s="345"/>
      <c r="AA25" s="8"/>
      <c r="AB25" s="8"/>
      <c r="AC25" s="8"/>
      <c r="AD25" s="8"/>
      <c r="AE25" s="8"/>
      <c r="AF25" s="8"/>
      <c r="AG25" s="8"/>
      <c r="AH25" s="8"/>
      <c r="AI25" s="8"/>
      <c r="AJ25" s="8"/>
      <c r="AK25" s="8"/>
      <c r="AL25" s="8"/>
      <c r="AM25" s="8"/>
    </row>
    <row r="26" spans="1:39" s="9" customFormat="1" ht="40.15" customHeight="1" x14ac:dyDescent="0.25">
      <c r="A26" s="112"/>
      <c r="B26" s="2"/>
      <c r="C26" s="2"/>
      <c r="D26"/>
      <c r="E26" s="106" t="s">
        <v>62</v>
      </c>
      <c r="F26" s="246">
        <v>4729070.88</v>
      </c>
      <c r="G26" s="345">
        <v>0.16</v>
      </c>
      <c r="H26" s="345"/>
      <c r="I26" s="345"/>
      <c r="J26" s="346">
        <v>1.7999999999999999E-2</v>
      </c>
      <c r="K26" s="345"/>
      <c r="L26" s="345"/>
      <c r="M26" s="346">
        <v>1.7999999999999999E-2</v>
      </c>
      <c r="N26" s="346"/>
      <c r="O26" s="346"/>
      <c r="P26" s="346">
        <v>5.3999999999999999E-2</v>
      </c>
      <c r="Q26" s="346"/>
      <c r="R26" s="346"/>
      <c r="S26" s="345">
        <v>0.05</v>
      </c>
      <c r="T26" s="346">
        <v>0.03</v>
      </c>
      <c r="U26" s="345">
        <v>0.1</v>
      </c>
      <c r="V26" s="345"/>
      <c r="W26" s="345"/>
      <c r="X26" s="345">
        <v>0.15</v>
      </c>
      <c r="Y26" s="345"/>
      <c r="Z26" s="345"/>
      <c r="AA26" s="8"/>
      <c r="AB26" s="8"/>
      <c r="AC26" s="8"/>
      <c r="AD26" s="8"/>
      <c r="AE26" s="8"/>
      <c r="AF26" s="8"/>
      <c r="AG26" s="8"/>
      <c r="AH26" s="8"/>
      <c r="AI26" s="8"/>
      <c r="AJ26" s="8"/>
      <c r="AK26" s="8"/>
      <c r="AL26" s="8"/>
      <c r="AM26" s="8"/>
    </row>
    <row r="27" spans="1:39" s="9" customFormat="1" ht="40.15" customHeight="1" x14ac:dyDescent="0.25">
      <c r="A27" s="112"/>
      <c r="B27" s="2"/>
      <c r="C27" s="2"/>
      <c r="D27"/>
      <c r="E27" s="106" t="s">
        <v>63</v>
      </c>
      <c r="F27" s="246">
        <v>513660.78</v>
      </c>
      <c r="G27" s="345">
        <v>0.16</v>
      </c>
      <c r="H27" s="345"/>
      <c r="I27" s="345"/>
      <c r="J27" s="346">
        <v>1.7999999999999999E-2</v>
      </c>
      <c r="K27" s="345"/>
      <c r="L27" s="345"/>
      <c r="M27" s="346">
        <v>1.7999999999999999E-2</v>
      </c>
      <c r="N27" s="346"/>
      <c r="O27" s="346"/>
      <c r="P27" s="346">
        <v>5.3999999999999999E-2</v>
      </c>
      <c r="Q27" s="346"/>
      <c r="R27" s="346"/>
      <c r="S27" s="345">
        <v>0.05</v>
      </c>
      <c r="T27" s="346">
        <v>0.03</v>
      </c>
      <c r="U27" s="345">
        <v>0.1</v>
      </c>
      <c r="V27" s="345"/>
      <c r="W27" s="345"/>
      <c r="X27" s="345">
        <v>0.15</v>
      </c>
      <c r="Y27" s="345"/>
      <c r="Z27" s="345"/>
      <c r="AA27" s="8"/>
      <c r="AB27" s="8"/>
      <c r="AC27" s="8"/>
      <c r="AD27" s="8"/>
      <c r="AE27" s="8"/>
      <c r="AF27" s="8"/>
      <c r="AG27" s="8"/>
      <c r="AH27" s="8"/>
      <c r="AI27" s="8"/>
      <c r="AJ27" s="8"/>
      <c r="AK27" s="8"/>
      <c r="AL27" s="8"/>
      <c r="AM27" s="8"/>
    </row>
    <row r="28" spans="1:39" s="9" customFormat="1" ht="40.15" customHeight="1" x14ac:dyDescent="0.25">
      <c r="A28" s="112"/>
      <c r="B28" s="2"/>
      <c r="C28" s="2"/>
      <c r="D28"/>
      <c r="E28" s="106" t="s">
        <v>64</v>
      </c>
      <c r="F28" s="246">
        <v>460196.46</v>
      </c>
      <c r="G28" s="345">
        <v>0.16</v>
      </c>
      <c r="H28" s="345"/>
      <c r="I28" s="345"/>
      <c r="J28" s="346">
        <v>1.7999999999999999E-2</v>
      </c>
      <c r="K28" s="345"/>
      <c r="L28" s="345"/>
      <c r="M28" s="346">
        <v>1.7999999999999999E-2</v>
      </c>
      <c r="N28" s="346"/>
      <c r="O28" s="346"/>
      <c r="P28" s="346">
        <v>5.3999999999999999E-2</v>
      </c>
      <c r="Q28" s="346"/>
      <c r="R28" s="346"/>
      <c r="S28" s="345">
        <v>0.05</v>
      </c>
      <c r="T28" s="346">
        <v>0.03</v>
      </c>
      <c r="U28" s="345">
        <v>0.1</v>
      </c>
      <c r="V28" s="345"/>
      <c r="W28" s="345"/>
      <c r="X28" s="345">
        <v>0.15</v>
      </c>
      <c r="Y28" s="345"/>
      <c r="Z28" s="345"/>
      <c r="AA28" s="8"/>
      <c r="AB28" s="8"/>
      <c r="AC28" s="8"/>
      <c r="AD28" s="8"/>
      <c r="AE28" s="8"/>
      <c r="AF28" s="8"/>
      <c r="AG28" s="8"/>
      <c r="AH28" s="8"/>
      <c r="AI28" s="8"/>
      <c r="AJ28" s="8"/>
      <c r="AK28" s="8"/>
      <c r="AL28" s="8"/>
      <c r="AM28" s="8"/>
    </row>
    <row r="29" spans="1:39" s="9" customFormat="1" ht="40.15" customHeight="1" x14ac:dyDescent="0.25">
      <c r="A29" s="112"/>
      <c r="B29" s="2"/>
      <c r="C29" s="2"/>
      <c r="D29"/>
      <c r="E29" s="106" t="s">
        <v>65</v>
      </c>
      <c r="F29" s="246">
        <v>1352161.98</v>
      </c>
      <c r="G29" s="345">
        <v>0.16</v>
      </c>
      <c r="H29" s="345"/>
      <c r="I29" s="345"/>
      <c r="J29" s="346">
        <v>1.7999999999999999E-2</v>
      </c>
      <c r="K29" s="345"/>
      <c r="L29" s="345"/>
      <c r="M29" s="346">
        <v>1.7999999999999999E-2</v>
      </c>
      <c r="N29" s="346"/>
      <c r="O29" s="346"/>
      <c r="P29" s="346">
        <v>5.3999999999999999E-2</v>
      </c>
      <c r="Q29" s="346"/>
      <c r="R29" s="346"/>
      <c r="S29" s="345">
        <v>0.05</v>
      </c>
      <c r="T29" s="346">
        <v>0.03</v>
      </c>
      <c r="U29" s="345">
        <v>0.1</v>
      </c>
      <c r="V29" s="345"/>
      <c r="W29" s="345"/>
      <c r="X29" s="345">
        <v>0.15</v>
      </c>
      <c r="Y29" s="345"/>
      <c r="Z29" s="345"/>
      <c r="AA29" s="8"/>
      <c r="AB29" s="8"/>
      <c r="AC29" s="8"/>
      <c r="AD29" s="8"/>
      <c r="AE29" s="8"/>
      <c r="AF29" s="8"/>
      <c r="AG29" s="8"/>
      <c r="AH29" s="8"/>
      <c r="AI29" s="8"/>
      <c r="AJ29" s="8"/>
      <c r="AK29" s="8"/>
      <c r="AL29" s="8"/>
      <c r="AM29" s="8"/>
    </row>
    <row r="30" spans="1:39" s="9" customFormat="1" ht="40.15" customHeight="1" x14ac:dyDescent="0.25">
      <c r="A30" s="112"/>
      <c r="B30" s="2"/>
      <c r="C30" s="2"/>
      <c r="D30"/>
      <c r="E30" s="106" t="s">
        <v>66</v>
      </c>
      <c r="F30" s="246">
        <v>1717272</v>
      </c>
      <c r="G30" s="345">
        <v>0.16</v>
      </c>
      <c r="H30" s="345"/>
      <c r="I30" s="345"/>
      <c r="J30" s="346">
        <v>1.7999999999999999E-2</v>
      </c>
      <c r="K30" s="345"/>
      <c r="L30" s="345"/>
      <c r="M30" s="346">
        <v>1.7999999999999999E-2</v>
      </c>
      <c r="N30" s="346"/>
      <c r="O30" s="346"/>
      <c r="P30" s="346">
        <v>5.3999999999999999E-2</v>
      </c>
      <c r="Q30" s="346"/>
      <c r="R30" s="346"/>
      <c r="S30" s="345">
        <v>0.05</v>
      </c>
      <c r="T30" s="346">
        <v>0.03</v>
      </c>
      <c r="U30" s="345">
        <v>0.1</v>
      </c>
      <c r="V30" s="345"/>
      <c r="W30" s="345"/>
      <c r="X30" s="345">
        <v>0.15</v>
      </c>
      <c r="Y30" s="345"/>
      <c r="Z30" s="345"/>
      <c r="AA30" s="8"/>
      <c r="AB30" s="8"/>
      <c r="AC30" s="8"/>
      <c r="AD30" s="8"/>
      <c r="AE30" s="8"/>
      <c r="AF30" s="8"/>
      <c r="AG30" s="8"/>
      <c r="AH30" s="8"/>
      <c r="AI30" s="8"/>
      <c r="AJ30" s="8"/>
      <c r="AK30" s="8"/>
      <c r="AL30" s="8"/>
      <c r="AM30" s="8"/>
    </row>
    <row r="31" spans="1:39" s="9" customFormat="1" ht="40.15" customHeight="1" x14ac:dyDescent="0.25">
      <c r="A31" s="112"/>
      <c r="B31" s="2"/>
      <c r="C31" s="2"/>
      <c r="D31"/>
      <c r="E31" s="106" t="s">
        <v>67</v>
      </c>
      <c r="F31" s="246">
        <v>477363.05999999994</v>
      </c>
      <c r="G31" s="345">
        <v>0.16</v>
      </c>
      <c r="H31" s="345"/>
      <c r="I31" s="345"/>
      <c r="J31" s="346">
        <v>1.7999999999999999E-2</v>
      </c>
      <c r="K31" s="345"/>
      <c r="L31" s="345"/>
      <c r="M31" s="346">
        <v>1.7999999999999999E-2</v>
      </c>
      <c r="N31" s="346"/>
      <c r="O31" s="346"/>
      <c r="P31" s="346">
        <v>5.3999999999999999E-2</v>
      </c>
      <c r="Q31" s="346"/>
      <c r="R31" s="346"/>
      <c r="S31" s="345">
        <v>0.05</v>
      </c>
      <c r="T31" s="346">
        <v>0.03</v>
      </c>
      <c r="U31" s="345">
        <v>0.1</v>
      </c>
      <c r="V31" s="345"/>
      <c r="W31" s="345"/>
      <c r="X31" s="345">
        <v>0.15</v>
      </c>
      <c r="Y31" s="345"/>
      <c r="Z31" s="345"/>
      <c r="AA31" s="8"/>
      <c r="AB31" s="8"/>
      <c r="AC31" s="8"/>
      <c r="AD31" s="8"/>
      <c r="AE31" s="8"/>
      <c r="AF31" s="8"/>
      <c r="AG31" s="8"/>
      <c r="AH31" s="8"/>
      <c r="AI31" s="8"/>
      <c r="AJ31" s="8"/>
      <c r="AK31" s="8"/>
      <c r="AL31" s="8"/>
      <c r="AM31" s="8"/>
    </row>
    <row r="32" spans="1:39" s="9" customFormat="1" ht="40.15" customHeight="1" x14ac:dyDescent="0.25">
      <c r="A32" s="112"/>
      <c r="B32" s="2"/>
      <c r="C32" s="2"/>
      <c r="D32"/>
      <c r="E32" s="106" t="s">
        <v>68</v>
      </c>
      <c r="F32" s="246">
        <v>2067932.7000000002</v>
      </c>
      <c r="G32" s="345">
        <v>0.16</v>
      </c>
      <c r="H32" s="345"/>
      <c r="I32" s="345"/>
      <c r="J32" s="346">
        <v>1.7999999999999999E-2</v>
      </c>
      <c r="K32" s="345"/>
      <c r="L32" s="345"/>
      <c r="M32" s="346">
        <v>1.7999999999999999E-2</v>
      </c>
      <c r="N32" s="346"/>
      <c r="O32" s="346"/>
      <c r="P32" s="346">
        <v>5.3999999999999999E-2</v>
      </c>
      <c r="Q32" s="346"/>
      <c r="R32" s="346"/>
      <c r="S32" s="345">
        <v>0.05</v>
      </c>
      <c r="T32" s="346">
        <v>0.03</v>
      </c>
      <c r="U32" s="345">
        <v>0.1</v>
      </c>
      <c r="V32" s="345"/>
      <c r="W32" s="345"/>
      <c r="X32" s="345">
        <v>0.15</v>
      </c>
      <c r="Y32" s="345"/>
      <c r="Z32" s="345"/>
      <c r="AA32" s="8"/>
      <c r="AB32" s="8"/>
      <c r="AC32" s="8"/>
      <c r="AD32" s="8"/>
      <c r="AE32" s="8"/>
      <c r="AF32" s="8"/>
      <c r="AG32" s="8"/>
      <c r="AH32" s="8"/>
      <c r="AI32" s="8"/>
      <c r="AJ32" s="8"/>
      <c r="AK32" s="8"/>
      <c r="AL32" s="8"/>
      <c r="AM32" s="8"/>
    </row>
    <row r="33" spans="1:39" s="9" customFormat="1" ht="40.15" customHeight="1" x14ac:dyDescent="0.25">
      <c r="A33" s="112"/>
      <c r="B33" s="2"/>
      <c r="C33" s="2"/>
      <c r="D33"/>
      <c r="E33" s="106" t="s">
        <v>69</v>
      </c>
      <c r="F33" s="246">
        <v>1207130.22</v>
      </c>
      <c r="G33" s="345">
        <v>0.16</v>
      </c>
      <c r="H33" s="345"/>
      <c r="I33" s="345"/>
      <c r="J33" s="346">
        <v>1.7999999999999999E-2</v>
      </c>
      <c r="K33" s="345"/>
      <c r="L33" s="345"/>
      <c r="M33" s="346">
        <v>1.7999999999999999E-2</v>
      </c>
      <c r="N33" s="346"/>
      <c r="O33" s="346"/>
      <c r="P33" s="346">
        <v>5.3999999999999999E-2</v>
      </c>
      <c r="Q33" s="346"/>
      <c r="R33" s="346"/>
      <c r="S33" s="345">
        <v>0.05</v>
      </c>
      <c r="T33" s="346">
        <v>0.03</v>
      </c>
      <c r="U33" s="345">
        <v>0.1</v>
      </c>
      <c r="V33" s="345"/>
      <c r="W33" s="345"/>
      <c r="X33" s="345">
        <v>0.15</v>
      </c>
      <c r="Y33" s="345"/>
      <c r="Z33" s="345"/>
      <c r="AA33" s="8"/>
      <c r="AB33" s="8"/>
      <c r="AC33" s="8"/>
      <c r="AD33" s="8"/>
      <c r="AE33" s="8"/>
      <c r="AF33" s="8"/>
      <c r="AG33" s="8"/>
      <c r="AH33" s="8"/>
      <c r="AI33" s="8"/>
      <c r="AJ33" s="8"/>
      <c r="AK33" s="8"/>
      <c r="AL33" s="8"/>
      <c r="AM33" s="8"/>
    </row>
    <row r="34" spans="1:39" s="9" customFormat="1" ht="40.15" customHeight="1" x14ac:dyDescent="0.25">
      <c r="A34" s="112"/>
      <c r="B34" s="2"/>
      <c r="C34" s="2"/>
      <c r="D34"/>
      <c r="E34" s="106" t="s">
        <v>70</v>
      </c>
      <c r="F34" s="246">
        <v>1741271.58</v>
      </c>
      <c r="G34" s="345">
        <v>0.16</v>
      </c>
      <c r="H34" s="345"/>
      <c r="I34" s="345"/>
      <c r="J34" s="346">
        <v>1.7999999999999999E-2</v>
      </c>
      <c r="K34" s="345"/>
      <c r="L34" s="345"/>
      <c r="M34" s="346">
        <v>1.7999999999999999E-2</v>
      </c>
      <c r="N34" s="346"/>
      <c r="O34" s="346"/>
      <c r="P34" s="346">
        <v>5.3999999999999999E-2</v>
      </c>
      <c r="Q34" s="346"/>
      <c r="R34" s="346"/>
      <c r="S34" s="345">
        <v>0.05</v>
      </c>
      <c r="T34" s="346">
        <v>0.03</v>
      </c>
      <c r="U34" s="345">
        <v>0.1</v>
      </c>
      <c r="V34" s="345"/>
      <c r="W34" s="345"/>
      <c r="X34" s="345">
        <v>0.15</v>
      </c>
      <c r="Y34" s="345"/>
      <c r="Z34" s="345"/>
      <c r="AA34" s="8"/>
      <c r="AB34" s="8"/>
      <c r="AC34" s="8"/>
      <c r="AD34" s="8"/>
      <c r="AE34" s="8"/>
      <c r="AF34" s="8"/>
      <c r="AG34" s="8"/>
      <c r="AH34" s="8"/>
      <c r="AI34" s="8"/>
      <c r="AJ34" s="8"/>
      <c r="AK34" s="8"/>
      <c r="AL34" s="8"/>
      <c r="AM34" s="8"/>
    </row>
    <row r="35" spans="1:39" s="9" customFormat="1" ht="40.15" customHeight="1" x14ac:dyDescent="0.25">
      <c r="A35" s="112"/>
      <c r="B35" s="2"/>
      <c r="C35" s="2"/>
      <c r="D35"/>
      <c r="E35" s="106"/>
      <c r="F35" s="246"/>
      <c r="G35" s="269"/>
      <c r="H35" s="269"/>
      <c r="I35" s="269"/>
      <c r="J35" s="269"/>
      <c r="K35" s="269"/>
      <c r="L35" s="269"/>
      <c r="M35" s="269"/>
      <c r="N35" s="270"/>
      <c r="O35" s="270"/>
      <c r="P35" s="269"/>
      <c r="Q35" s="270"/>
      <c r="R35" s="270"/>
      <c r="S35" s="269"/>
      <c r="T35" s="270"/>
      <c r="U35" s="269"/>
      <c r="V35" s="269"/>
      <c r="W35" s="269"/>
      <c r="X35" s="269"/>
      <c r="Y35" s="269"/>
      <c r="Z35" s="269"/>
      <c r="AA35" s="8"/>
      <c r="AB35" s="8"/>
      <c r="AC35" s="8"/>
      <c r="AD35" s="8"/>
      <c r="AE35" s="8"/>
      <c r="AF35" s="8"/>
      <c r="AG35" s="8"/>
      <c r="AH35" s="8"/>
      <c r="AI35" s="8"/>
      <c r="AJ35" s="8"/>
      <c r="AK35" s="8"/>
      <c r="AL35" s="8"/>
      <c r="AM35" s="8"/>
    </row>
    <row r="36" spans="1:39" s="9" customFormat="1" ht="40.15" customHeight="1" x14ac:dyDescent="0.25">
      <c r="A36" s="112"/>
      <c r="B36" s="2"/>
      <c r="C36" s="2"/>
      <c r="D36"/>
      <c r="E36" s="106"/>
      <c r="F36" s="246"/>
      <c r="G36" s="269"/>
      <c r="H36" s="269"/>
      <c r="I36" s="269"/>
      <c r="J36" s="269"/>
      <c r="K36" s="269"/>
      <c r="L36" s="269"/>
      <c r="M36" s="269"/>
      <c r="N36" s="270"/>
      <c r="O36" s="270"/>
      <c r="P36" s="269"/>
      <c r="Q36" s="270"/>
      <c r="R36" s="270"/>
      <c r="S36" s="269"/>
      <c r="T36" s="270"/>
      <c r="U36" s="269"/>
      <c r="V36" s="269"/>
      <c r="W36" s="269"/>
      <c r="X36" s="269"/>
      <c r="Y36" s="269"/>
      <c r="Z36" s="269"/>
      <c r="AA36" s="8"/>
      <c r="AB36" s="8"/>
      <c r="AC36" s="8"/>
      <c r="AD36" s="8"/>
      <c r="AE36" s="8"/>
      <c r="AF36" s="8"/>
      <c r="AG36" s="8"/>
      <c r="AH36" s="8"/>
      <c r="AI36" s="8"/>
      <c r="AJ36" s="8"/>
      <c r="AK36" s="8"/>
      <c r="AL36" s="8"/>
      <c r="AM36" s="8"/>
    </row>
    <row r="37" spans="1:39" s="9" customFormat="1" ht="40.15" customHeight="1" x14ac:dyDescent="0.25">
      <c r="A37" s="112"/>
      <c r="B37" s="2"/>
      <c r="C37" s="2"/>
      <c r="D37"/>
      <c r="E37" s="106"/>
      <c r="F37" s="246"/>
      <c r="G37" s="269"/>
      <c r="H37" s="269"/>
      <c r="I37" s="269"/>
      <c r="J37" s="269"/>
      <c r="K37" s="269"/>
      <c r="L37" s="269"/>
      <c r="M37" s="269"/>
      <c r="N37" s="270"/>
      <c r="O37" s="270"/>
      <c r="P37" s="269"/>
      <c r="Q37" s="270"/>
      <c r="R37" s="270"/>
      <c r="S37" s="269"/>
      <c r="T37" s="270"/>
      <c r="U37" s="269"/>
      <c r="V37" s="269"/>
      <c r="W37" s="269"/>
      <c r="X37" s="269"/>
      <c r="Y37" s="269"/>
      <c r="Z37" s="269"/>
      <c r="AA37" s="8"/>
      <c r="AB37" s="8"/>
      <c r="AC37" s="8"/>
      <c r="AD37" s="8"/>
      <c r="AE37" s="8"/>
      <c r="AF37" s="8"/>
      <c r="AG37" s="8"/>
      <c r="AH37" s="8"/>
      <c r="AI37" s="8"/>
      <c r="AJ37" s="8"/>
      <c r="AK37" s="8"/>
      <c r="AL37" s="8"/>
      <c r="AM37" s="8"/>
    </row>
    <row r="38" spans="1:39" s="9" customFormat="1" ht="40.15" customHeight="1" x14ac:dyDescent="0.25">
      <c r="A38" s="112"/>
      <c r="B38" s="2"/>
      <c r="C38" s="2"/>
      <c r="D38"/>
      <c r="E38" s="106"/>
      <c r="F38" s="246"/>
      <c r="G38" s="269"/>
      <c r="H38" s="269"/>
      <c r="I38" s="269"/>
      <c r="J38" s="269"/>
      <c r="K38" s="269"/>
      <c r="L38" s="269"/>
      <c r="M38" s="269"/>
      <c r="N38" s="270"/>
      <c r="O38" s="270"/>
      <c r="P38" s="269"/>
      <c r="Q38" s="270"/>
      <c r="R38" s="270"/>
      <c r="S38" s="269"/>
      <c r="T38" s="270"/>
      <c r="U38" s="269"/>
      <c r="V38" s="269"/>
      <c r="W38" s="269"/>
      <c r="X38" s="269"/>
      <c r="Y38" s="269"/>
      <c r="Z38" s="269"/>
      <c r="AA38" s="8"/>
      <c r="AB38" s="8"/>
      <c r="AC38" s="8"/>
      <c r="AD38" s="8"/>
      <c r="AE38" s="8"/>
      <c r="AF38" s="8"/>
      <c r="AG38" s="8"/>
      <c r="AH38" s="8"/>
      <c r="AI38" s="8"/>
      <c r="AJ38" s="8"/>
      <c r="AK38" s="8"/>
      <c r="AL38" s="8"/>
      <c r="AM38" s="8"/>
    </row>
    <row r="39" spans="1:39" s="9" customFormat="1" ht="40.15" customHeight="1" x14ac:dyDescent="0.25">
      <c r="A39" s="112"/>
      <c r="B39" s="2"/>
      <c r="C39" s="2"/>
      <c r="D39"/>
      <c r="E39" s="106"/>
      <c r="F39" s="246"/>
      <c r="G39" s="269"/>
      <c r="H39" s="269"/>
      <c r="I39" s="269"/>
      <c r="J39" s="269"/>
      <c r="K39" s="269"/>
      <c r="L39" s="269"/>
      <c r="M39" s="269"/>
      <c r="N39" s="270"/>
      <c r="O39" s="270"/>
      <c r="P39" s="269"/>
      <c r="Q39" s="270"/>
      <c r="R39" s="270"/>
      <c r="S39" s="269"/>
      <c r="T39" s="270"/>
      <c r="U39" s="269"/>
      <c r="V39" s="269"/>
      <c r="W39" s="269"/>
      <c r="X39" s="269"/>
      <c r="Y39" s="269"/>
      <c r="Z39" s="269"/>
      <c r="AA39" s="8"/>
      <c r="AB39" s="8"/>
      <c r="AC39" s="8"/>
      <c r="AD39" s="8"/>
      <c r="AE39" s="8"/>
      <c r="AF39" s="8"/>
      <c r="AG39" s="8"/>
      <c r="AH39" s="8"/>
      <c r="AI39" s="8"/>
      <c r="AJ39" s="8"/>
      <c r="AK39" s="8"/>
      <c r="AL39" s="8"/>
      <c r="AM39" s="8"/>
    </row>
    <row r="40" spans="1:39" s="9" customFormat="1" ht="40.15" customHeight="1" x14ac:dyDescent="0.25">
      <c r="A40" s="112"/>
      <c r="B40" s="2"/>
      <c r="C40" s="2"/>
      <c r="D40"/>
      <c r="E40" s="106"/>
      <c r="F40" s="246"/>
      <c r="G40" s="269"/>
      <c r="H40" s="269"/>
      <c r="I40" s="269"/>
      <c r="J40" s="269"/>
      <c r="K40" s="269"/>
      <c r="L40" s="269"/>
      <c r="M40" s="269"/>
      <c r="N40" s="270"/>
      <c r="O40" s="270"/>
      <c r="P40" s="269"/>
      <c r="Q40" s="270"/>
      <c r="R40" s="270"/>
      <c r="S40" s="269"/>
      <c r="T40" s="270"/>
      <c r="U40" s="269"/>
      <c r="V40" s="269"/>
      <c r="W40" s="269"/>
      <c r="X40" s="269"/>
      <c r="Y40" s="269"/>
      <c r="Z40" s="269"/>
      <c r="AA40" s="8"/>
      <c r="AB40" s="8"/>
      <c r="AC40" s="8"/>
      <c r="AD40" s="8"/>
      <c r="AE40" s="8"/>
      <c r="AF40" s="8"/>
      <c r="AG40" s="8"/>
      <c r="AH40" s="8"/>
      <c r="AI40" s="8"/>
      <c r="AJ40" s="8"/>
      <c r="AK40" s="8"/>
      <c r="AL40" s="8"/>
      <c r="AM40" s="8"/>
    </row>
    <row r="41" spans="1:39" s="9" customFormat="1" ht="40.15" customHeight="1" x14ac:dyDescent="0.25">
      <c r="A41" s="112"/>
      <c r="B41" s="2"/>
      <c r="C41" s="2"/>
      <c r="D41"/>
      <c r="E41" s="106"/>
      <c r="F41" s="246"/>
      <c r="G41" s="269"/>
      <c r="H41" s="269"/>
      <c r="I41" s="269"/>
      <c r="J41" s="269"/>
      <c r="K41" s="269"/>
      <c r="L41" s="269"/>
      <c r="M41" s="269"/>
      <c r="N41" s="270"/>
      <c r="O41" s="270"/>
      <c r="P41" s="269"/>
      <c r="Q41" s="270"/>
      <c r="R41" s="270"/>
      <c r="S41" s="269"/>
      <c r="T41" s="270"/>
      <c r="U41" s="269"/>
      <c r="V41" s="269"/>
      <c r="W41" s="269"/>
      <c r="X41" s="269"/>
      <c r="Y41" s="269"/>
      <c r="Z41" s="269"/>
      <c r="AA41" s="8"/>
      <c r="AB41" s="8"/>
      <c r="AC41" s="8"/>
      <c r="AD41" s="8"/>
      <c r="AE41" s="8"/>
      <c r="AF41" s="8"/>
      <c r="AG41" s="8"/>
      <c r="AH41" s="8"/>
      <c r="AI41" s="8"/>
      <c r="AJ41" s="8"/>
      <c r="AK41" s="8"/>
      <c r="AL41" s="8"/>
      <c r="AM41" s="8"/>
    </row>
    <row r="42" spans="1:39" s="9" customFormat="1" ht="40.15" customHeight="1" thickBot="1" x14ac:dyDescent="0.3">
      <c r="A42" s="112"/>
      <c r="B42" s="2"/>
      <c r="C42" s="2"/>
      <c r="D42"/>
      <c r="E42" s="106"/>
      <c r="F42" s="246"/>
      <c r="G42" s="269"/>
      <c r="H42" s="269"/>
      <c r="I42" s="269"/>
      <c r="J42" s="269"/>
      <c r="K42" s="269"/>
      <c r="L42" s="269"/>
      <c r="M42" s="269"/>
      <c r="N42" s="270"/>
      <c r="O42" s="270"/>
      <c r="P42" s="269"/>
      <c r="Q42" s="270"/>
      <c r="R42" s="270"/>
      <c r="S42" s="269"/>
      <c r="T42" s="270"/>
      <c r="U42" s="269"/>
      <c r="V42" s="269"/>
      <c r="W42" s="269"/>
      <c r="X42" s="269"/>
      <c r="Y42" s="269"/>
      <c r="Z42" s="269"/>
      <c r="AA42" s="8"/>
      <c r="AB42" s="8"/>
      <c r="AC42" s="8"/>
      <c r="AD42" s="8"/>
      <c r="AE42" s="8"/>
      <c r="AF42" s="8"/>
      <c r="AG42" s="8"/>
      <c r="AH42" s="8"/>
      <c r="AI42" s="8"/>
      <c r="AJ42" s="8"/>
      <c r="AK42" s="8"/>
      <c r="AL42" s="8"/>
      <c r="AM42" s="8"/>
    </row>
    <row r="43" spans="1:39" s="9" customFormat="1" ht="40.15" customHeight="1" thickBot="1" x14ac:dyDescent="0.3">
      <c r="A43" s="112"/>
      <c r="B43" s="2"/>
      <c r="C43" s="2"/>
      <c r="D43"/>
      <c r="E43" s="107" t="s">
        <v>427</v>
      </c>
      <c r="F43" s="108">
        <f>SUM(F5:F42)</f>
        <v>77678638.560000002</v>
      </c>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row>
    <row r="44" spans="1:39" s="9" customFormat="1" x14ac:dyDescent="0.25">
      <c r="A44" s="112"/>
      <c r="B44" s="2"/>
      <c r="C44" s="2"/>
      <c r="D44"/>
      <c r="E44" s="1"/>
      <c r="F44" s="2"/>
      <c r="G44" s="2"/>
      <c r="H44" s="2"/>
      <c r="I44" s="2"/>
      <c r="J44" s="2"/>
      <c r="K44" s="2"/>
      <c r="L44" s="2"/>
      <c r="M44" s="3"/>
      <c r="N44" s="2"/>
      <c r="O44" s="2"/>
      <c r="P44" s="8"/>
      <c r="Q44" s="2"/>
      <c r="R44" s="2"/>
      <c r="S44" s="8"/>
      <c r="T44" s="8"/>
      <c r="U44" s="8"/>
      <c r="V44" s="8"/>
      <c r="W44" s="8"/>
      <c r="X44" s="8"/>
      <c r="Y44" s="8"/>
      <c r="Z44" s="8"/>
      <c r="AA44" s="8"/>
      <c r="AB44" s="8"/>
      <c r="AC44" s="8"/>
      <c r="AD44" s="8"/>
      <c r="AE44" s="8"/>
      <c r="AF44" s="8"/>
      <c r="AG44" s="8"/>
      <c r="AH44" s="8"/>
      <c r="AI44" s="8"/>
      <c r="AJ44" s="8"/>
      <c r="AK44" s="8"/>
      <c r="AL44" s="8"/>
      <c r="AM44" s="8"/>
    </row>
    <row r="45" spans="1:39" s="9" customFormat="1" x14ac:dyDescent="0.25">
      <c r="A45" s="112"/>
      <c r="B45" s="2"/>
      <c r="C45" s="2"/>
      <c r="D45"/>
      <c r="E45" s="1"/>
      <c r="F45" s="2"/>
      <c r="G45" s="2"/>
      <c r="H45" s="2"/>
      <c r="I45" s="2"/>
      <c r="J45" s="2"/>
      <c r="K45" s="2"/>
      <c r="L45" s="2"/>
      <c r="M45" s="3"/>
      <c r="N45" s="2"/>
      <c r="O45" s="2"/>
      <c r="P45" s="8"/>
      <c r="Q45" s="2"/>
      <c r="R45" s="2"/>
      <c r="S45" s="8"/>
      <c r="T45" s="8"/>
      <c r="U45" s="8"/>
      <c r="V45" s="8"/>
      <c r="W45" s="8"/>
      <c r="X45" s="8"/>
      <c r="Y45" s="8"/>
      <c r="Z45" s="8"/>
      <c r="AA45" s="8"/>
      <c r="AB45" s="8"/>
      <c r="AC45" s="8"/>
      <c r="AD45" s="8"/>
      <c r="AE45" s="8"/>
      <c r="AF45" s="8"/>
      <c r="AG45" s="8"/>
      <c r="AH45" s="8"/>
      <c r="AI45" s="8"/>
      <c r="AJ45" s="8"/>
      <c r="AK45" s="8"/>
      <c r="AL45" s="8"/>
      <c r="AM45" s="8"/>
    </row>
    <row r="46" spans="1:39" s="9" customFormat="1" x14ac:dyDescent="0.25">
      <c r="A46" s="112"/>
      <c r="B46" s="2"/>
      <c r="C46" s="2"/>
      <c r="D46"/>
      <c r="E46" s="1"/>
      <c r="F46" s="2"/>
      <c r="G46" s="2"/>
      <c r="H46" s="2"/>
      <c r="I46" s="2"/>
      <c r="J46" s="2"/>
      <c r="K46" s="2"/>
      <c r="L46" s="2"/>
      <c r="M46" s="3"/>
      <c r="N46" s="2"/>
      <c r="O46" s="2"/>
      <c r="P46" s="8"/>
      <c r="Q46" s="2"/>
      <c r="R46" s="2"/>
      <c r="S46" s="8"/>
      <c r="T46" s="8"/>
      <c r="U46" s="8"/>
      <c r="V46" s="8"/>
      <c r="W46" s="8"/>
      <c r="X46" s="8"/>
      <c r="Y46" s="8"/>
      <c r="Z46" s="8"/>
      <c r="AA46" s="8"/>
      <c r="AB46" s="8"/>
      <c r="AC46" s="8"/>
      <c r="AD46" s="8"/>
      <c r="AE46" s="8"/>
      <c r="AF46" s="8"/>
      <c r="AG46" s="8"/>
      <c r="AH46" s="8"/>
      <c r="AI46" s="8"/>
      <c r="AJ46" s="8"/>
      <c r="AK46" s="8"/>
      <c r="AL46" s="8"/>
      <c r="AM46" s="8"/>
    </row>
    <row r="47" spans="1:39" s="9" customFormat="1" x14ac:dyDescent="0.25">
      <c r="A47" s="112"/>
      <c r="B47" s="2"/>
      <c r="C47" s="2"/>
      <c r="D47"/>
      <c r="E47" s="1"/>
      <c r="F47" s="2"/>
      <c r="G47" s="2"/>
      <c r="H47" s="2"/>
      <c r="I47" s="2"/>
      <c r="J47" s="2"/>
      <c r="K47" s="2"/>
      <c r="L47" s="2"/>
      <c r="M47" s="3"/>
      <c r="N47" s="2"/>
      <c r="O47" s="2"/>
      <c r="P47" s="8"/>
      <c r="Q47" s="2"/>
      <c r="R47" s="2"/>
      <c r="S47" s="8"/>
      <c r="T47" s="8"/>
      <c r="U47" s="8"/>
      <c r="V47" s="8"/>
      <c r="W47" s="8"/>
      <c r="X47" s="8"/>
      <c r="Y47" s="8"/>
      <c r="Z47" s="8"/>
      <c r="AA47" s="8"/>
      <c r="AB47" s="8"/>
      <c r="AC47" s="8"/>
      <c r="AD47" s="8"/>
      <c r="AE47" s="8"/>
      <c r="AF47" s="8"/>
      <c r="AG47" s="8"/>
      <c r="AH47" s="8"/>
      <c r="AI47" s="8"/>
      <c r="AJ47" s="8"/>
      <c r="AK47" s="8"/>
      <c r="AL47" s="8"/>
      <c r="AM47" s="8"/>
    </row>
    <row r="48" spans="1:39" s="9" customFormat="1" x14ac:dyDescent="0.25">
      <c r="A48" s="112"/>
      <c r="B48" s="2"/>
      <c r="C48" s="2"/>
      <c r="D48"/>
      <c r="E48" s="1"/>
      <c r="F48" s="2"/>
      <c r="G48" s="2"/>
      <c r="H48" s="2"/>
      <c r="I48" s="2"/>
      <c r="J48" s="2"/>
      <c r="K48" s="2"/>
      <c r="L48" s="2"/>
      <c r="M48" s="3"/>
      <c r="N48" s="2"/>
      <c r="O48" s="2"/>
      <c r="P48" s="8"/>
      <c r="Q48" s="2"/>
      <c r="R48" s="2"/>
      <c r="S48" s="8"/>
      <c r="T48" s="8"/>
      <c r="U48" s="8"/>
      <c r="V48" s="8"/>
      <c r="W48" s="8"/>
      <c r="X48" s="8"/>
      <c r="Y48" s="8"/>
      <c r="Z48" s="8"/>
      <c r="AA48" s="8"/>
      <c r="AB48" s="8"/>
      <c r="AC48" s="8"/>
      <c r="AD48" s="8"/>
      <c r="AE48" s="8"/>
      <c r="AF48" s="8"/>
      <c r="AG48" s="8"/>
      <c r="AH48" s="8"/>
      <c r="AI48" s="8"/>
      <c r="AJ48" s="8"/>
      <c r="AK48" s="8"/>
      <c r="AL48" s="8"/>
      <c r="AM48" s="8"/>
    </row>
    <row r="49" spans="1:39" s="9" customFormat="1" x14ac:dyDescent="0.25">
      <c r="A49" s="112"/>
      <c r="B49" s="2"/>
      <c r="C49" s="2"/>
      <c r="D49"/>
      <c r="E49" s="1"/>
      <c r="F49" s="2"/>
      <c r="G49" s="2"/>
      <c r="H49" s="2"/>
      <c r="I49" s="2"/>
      <c r="J49" s="2"/>
      <c r="K49" s="2"/>
      <c r="L49" s="2"/>
      <c r="M49" s="3"/>
      <c r="N49" s="2"/>
      <c r="O49" s="2"/>
      <c r="P49" s="8"/>
      <c r="Q49" s="2"/>
      <c r="R49" s="2"/>
      <c r="S49" s="8"/>
      <c r="T49" s="8"/>
      <c r="U49" s="8"/>
      <c r="V49" s="8"/>
      <c r="W49" s="8"/>
      <c r="X49" s="8"/>
      <c r="Y49" s="8"/>
      <c r="Z49" s="8"/>
      <c r="AA49" s="8"/>
      <c r="AB49" s="8"/>
      <c r="AC49" s="8"/>
      <c r="AD49" s="8"/>
      <c r="AE49" s="8"/>
      <c r="AF49" s="8"/>
      <c r="AG49" s="8"/>
      <c r="AH49" s="8"/>
      <c r="AI49" s="8"/>
      <c r="AJ49" s="8"/>
      <c r="AK49" s="8"/>
      <c r="AL49" s="8"/>
      <c r="AM49" s="8"/>
    </row>
    <row r="50" spans="1:39" s="9" customFormat="1" x14ac:dyDescent="0.25">
      <c r="A50" s="112"/>
      <c r="B50" s="2"/>
      <c r="C50" s="2"/>
      <c r="D50"/>
      <c r="E50" s="1"/>
      <c r="F50" s="2"/>
      <c r="G50" s="2"/>
      <c r="H50" s="2"/>
      <c r="I50" s="2"/>
      <c r="J50" s="2"/>
      <c r="K50" s="2"/>
      <c r="L50" s="2"/>
      <c r="M50" s="3"/>
      <c r="N50" s="2"/>
      <c r="O50" s="2"/>
      <c r="P50" s="8"/>
      <c r="Q50" s="2"/>
      <c r="R50" s="2"/>
      <c r="S50" s="8"/>
      <c r="T50" s="8"/>
      <c r="U50" s="8"/>
      <c r="V50" s="8"/>
      <c r="W50" s="8"/>
      <c r="X50" s="8"/>
      <c r="Y50" s="8"/>
      <c r="Z50" s="8"/>
      <c r="AA50" s="8"/>
      <c r="AB50" s="8"/>
      <c r="AC50" s="8"/>
      <c r="AD50" s="8"/>
      <c r="AE50" s="8"/>
      <c r="AF50" s="8"/>
      <c r="AG50" s="8"/>
      <c r="AH50" s="8"/>
      <c r="AI50" s="8"/>
      <c r="AJ50" s="8"/>
      <c r="AK50" s="8"/>
      <c r="AL50" s="8"/>
      <c r="AM50" s="8"/>
    </row>
    <row r="51" spans="1:39" s="9" customFormat="1" x14ac:dyDescent="0.25">
      <c r="A51" s="112"/>
      <c r="B51" s="2"/>
      <c r="C51" s="2"/>
      <c r="D51"/>
      <c r="E51" s="1"/>
      <c r="F51" s="2"/>
      <c r="G51" s="2"/>
      <c r="H51" s="2"/>
      <c r="I51" s="2"/>
      <c r="J51" s="2"/>
      <c r="K51" s="2"/>
      <c r="L51" s="2"/>
      <c r="M51" s="3"/>
      <c r="N51" s="2"/>
      <c r="O51" s="2"/>
      <c r="P51" s="8"/>
      <c r="Q51" s="2"/>
      <c r="R51" s="2"/>
      <c r="S51" s="8"/>
      <c r="T51" s="8"/>
      <c r="U51" s="8"/>
      <c r="V51" s="8"/>
      <c r="W51" s="8"/>
      <c r="X51" s="8"/>
      <c r="Y51" s="8"/>
      <c r="Z51" s="8"/>
      <c r="AA51" s="8"/>
      <c r="AB51" s="8"/>
      <c r="AC51" s="8"/>
      <c r="AD51" s="8"/>
      <c r="AE51" s="8"/>
      <c r="AF51" s="8"/>
      <c r="AG51" s="8"/>
      <c r="AH51" s="8"/>
      <c r="AI51" s="8"/>
      <c r="AJ51" s="8"/>
      <c r="AK51" s="8"/>
      <c r="AL51" s="8"/>
      <c r="AM51" s="8"/>
    </row>
    <row r="52" spans="1:39" s="9" customFormat="1" x14ac:dyDescent="0.25">
      <c r="A52" s="112"/>
      <c r="B52" s="2"/>
      <c r="C52" s="2"/>
      <c r="D52"/>
      <c r="E52" s="1"/>
      <c r="F52" s="2"/>
      <c r="G52" s="2"/>
      <c r="H52" s="2"/>
      <c r="I52" s="2"/>
      <c r="J52" s="2"/>
      <c r="K52" s="2"/>
      <c r="L52" s="2"/>
      <c r="M52" s="3"/>
      <c r="N52" s="2"/>
      <c r="O52" s="2"/>
      <c r="P52" s="8"/>
      <c r="Q52" s="2"/>
      <c r="R52" s="2"/>
      <c r="S52" s="8"/>
      <c r="T52" s="8"/>
      <c r="U52" s="8"/>
      <c r="V52" s="8"/>
      <c r="W52" s="8"/>
      <c r="X52" s="8"/>
      <c r="Y52" s="8"/>
      <c r="Z52" s="8"/>
      <c r="AA52" s="8"/>
      <c r="AB52" s="8"/>
      <c r="AC52" s="8"/>
      <c r="AD52" s="8"/>
      <c r="AE52" s="8"/>
      <c r="AF52" s="8"/>
      <c r="AG52" s="8"/>
      <c r="AH52" s="8"/>
      <c r="AI52" s="8"/>
      <c r="AJ52" s="8"/>
      <c r="AK52" s="8"/>
      <c r="AL52" s="8"/>
      <c r="AM52" s="8"/>
    </row>
    <row r="53" spans="1:39" s="9" customFormat="1" x14ac:dyDescent="0.25">
      <c r="A53" s="112"/>
      <c r="B53" s="2"/>
      <c r="C53" s="2"/>
      <c r="D53"/>
      <c r="E53" s="1"/>
      <c r="F53" s="2"/>
      <c r="G53" s="2"/>
      <c r="H53" s="2"/>
      <c r="I53" s="2"/>
      <c r="J53" s="2"/>
      <c r="K53" s="2"/>
      <c r="L53" s="2"/>
      <c r="M53" s="3"/>
      <c r="N53" s="2"/>
      <c r="O53" s="2"/>
      <c r="P53" s="8"/>
      <c r="Q53" s="2"/>
      <c r="R53" s="2"/>
      <c r="S53" s="8"/>
      <c r="T53" s="8"/>
      <c r="U53" s="8"/>
      <c r="V53" s="8"/>
      <c r="W53" s="8"/>
      <c r="X53" s="8"/>
      <c r="Y53" s="8"/>
      <c r="Z53" s="8"/>
      <c r="AA53" s="8"/>
      <c r="AB53" s="8"/>
      <c r="AC53" s="8"/>
      <c r="AD53" s="8"/>
      <c r="AE53" s="8"/>
      <c r="AF53" s="8"/>
      <c r="AG53" s="8"/>
      <c r="AH53" s="8"/>
      <c r="AI53" s="8"/>
      <c r="AJ53" s="8"/>
      <c r="AK53" s="8"/>
      <c r="AL53" s="8"/>
      <c r="AM53" s="8"/>
    </row>
    <row r="54" spans="1:39" s="9" customFormat="1" x14ac:dyDescent="0.25">
      <c r="A54" s="112"/>
      <c r="B54" s="2"/>
      <c r="C54" s="2"/>
      <c r="D54"/>
      <c r="E54" s="1"/>
      <c r="F54" s="2"/>
      <c r="G54" s="2"/>
      <c r="H54" s="2"/>
      <c r="I54" s="2"/>
      <c r="J54" s="2"/>
      <c r="K54" s="2"/>
      <c r="L54" s="2"/>
      <c r="M54" s="3"/>
      <c r="N54" s="2"/>
      <c r="O54" s="2"/>
      <c r="P54" s="8"/>
      <c r="Q54" s="2"/>
      <c r="R54" s="2"/>
      <c r="S54" s="8"/>
      <c r="T54" s="8"/>
      <c r="U54" s="8"/>
      <c r="V54" s="8"/>
      <c r="W54" s="8"/>
      <c r="X54" s="8"/>
      <c r="Y54" s="8"/>
      <c r="Z54" s="8"/>
      <c r="AA54" s="8"/>
      <c r="AB54" s="8"/>
      <c r="AC54" s="8"/>
      <c r="AD54" s="8"/>
      <c r="AE54" s="8"/>
      <c r="AF54" s="8"/>
      <c r="AG54" s="8"/>
      <c r="AH54" s="8"/>
      <c r="AI54" s="8"/>
      <c r="AJ54" s="8"/>
      <c r="AK54" s="8"/>
      <c r="AL54" s="8"/>
      <c r="AM54" s="8"/>
    </row>
  </sheetData>
  <mergeCells count="8">
    <mergeCell ref="A2:B2"/>
    <mergeCell ref="A16:C16"/>
    <mergeCell ref="A6:C6"/>
    <mergeCell ref="U2:W2"/>
    <mergeCell ref="X2:Z2"/>
    <mergeCell ref="G2:R2"/>
    <mergeCell ref="S2:T2"/>
    <mergeCell ref="E2:F2"/>
  </mergeCells>
  <phoneticPr fontId="35"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BL45"/>
  <sheetViews>
    <sheetView topLeftCell="AQ1" workbookViewId="0">
      <selection activeCell="AX3" sqref="AX3:AY3"/>
    </sheetView>
    <sheetView topLeftCell="AB1" workbookViewId="1">
      <selection activeCell="AF5" sqref="AF5"/>
    </sheetView>
  </sheetViews>
  <sheetFormatPr defaultColWidth="7.125" defaultRowHeight="12.75" x14ac:dyDescent="0.2"/>
  <cols>
    <col min="1" max="1" width="18" style="1" customWidth="1"/>
    <col min="2" max="2" width="17.625" style="1" customWidth="1"/>
    <col min="3" max="3" width="13.625" style="1" customWidth="1"/>
    <col min="4" max="4" width="9.5" style="1" customWidth="1"/>
    <col min="5" max="5" width="11.25" style="1" customWidth="1"/>
    <col min="6" max="7" width="15" style="1" customWidth="1"/>
    <col min="8" max="8" width="15.75" style="2" customWidth="1"/>
    <col min="9" max="9" width="15.625" style="2" customWidth="1"/>
    <col min="10" max="10" width="15.5" style="2" customWidth="1"/>
    <col min="11" max="11" width="18.25" style="2" customWidth="1"/>
    <col min="12" max="12" width="17.875" style="2" customWidth="1"/>
    <col min="13" max="13" width="12.5" style="2" customWidth="1"/>
    <col min="14" max="14" width="15.625" style="2" customWidth="1"/>
    <col min="15" max="15" width="14.625" style="2" customWidth="1"/>
    <col min="16" max="16" width="15.625" style="3" customWidth="1"/>
    <col min="17" max="17" width="18" style="2" customWidth="1"/>
    <col min="18" max="18" width="17.25" style="2" customWidth="1"/>
    <col min="19" max="19" width="18.375" style="3" customWidth="1"/>
    <col min="20" max="20" width="17.625" style="2" customWidth="1"/>
    <col min="21" max="21" width="17.75" style="2" customWidth="1"/>
    <col min="22" max="22" width="18.125" style="3" customWidth="1"/>
    <col min="23" max="24" width="17.75" style="2" customWidth="1"/>
    <col min="25" max="25" width="16.75" style="2" customWidth="1"/>
    <col min="26" max="26" width="16.125" style="2" customWidth="1"/>
    <col min="27" max="27" width="16.25" style="1" customWidth="1"/>
    <col min="28" max="28" width="16.875" style="2" customWidth="1"/>
    <col min="29" max="29" width="16.625" style="2" customWidth="1"/>
    <col min="30" max="30" width="17.875" style="1" customWidth="1"/>
    <col min="31" max="31" width="20.125" style="2" customWidth="1"/>
    <col min="32" max="33" width="20.625" style="2" customWidth="1"/>
    <col min="34" max="34" width="19.125" style="3" customWidth="1"/>
    <col min="35" max="35" width="13.625" style="3" customWidth="1"/>
    <col min="36" max="36" width="18.875" style="3" customWidth="1"/>
    <col min="37" max="37" width="19.75" style="3" customWidth="1"/>
    <col min="38" max="40" width="19.25" style="3" customWidth="1"/>
    <col min="41" max="41" width="13.125" style="3" customWidth="1"/>
    <col min="42" max="42" width="13.25" style="3" customWidth="1"/>
    <col min="43" max="47" width="19.25" style="3" customWidth="1"/>
    <col min="48" max="48" width="13.125" style="3" customWidth="1"/>
    <col min="49" max="49" width="13.25" style="3" customWidth="1"/>
    <col min="50" max="51" width="19.25" style="3" customWidth="1"/>
    <col min="52" max="59" width="7.125" style="3"/>
    <col min="60" max="16384" width="7.125" style="1"/>
  </cols>
  <sheetData>
    <row r="1" spans="1:64" ht="39.6" customHeight="1" thickBot="1" x14ac:dyDescent="0.25">
      <c r="A1" s="531" t="s">
        <v>711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B1" s="1"/>
      <c r="AC1" s="1"/>
      <c r="AD1" s="49"/>
      <c r="AE1" s="49"/>
      <c r="AF1" s="49"/>
      <c r="AG1" s="49"/>
      <c r="AH1" s="49"/>
      <c r="AI1" s="49"/>
    </row>
    <row r="2" spans="1:64" ht="15" customHeight="1" thickBot="1" x14ac:dyDescent="0.25">
      <c r="C2" s="540" t="s">
        <v>421</v>
      </c>
      <c r="D2" s="541"/>
      <c r="E2" s="541"/>
      <c r="F2" s="541"/>
      <c r="G2" s="542"/>
      <c r="H2" s="533" t="s">
        <v>709</v>
      </c>
      <c r="I2" s="533"/>
      <c r="J2" s="533"/>
      <c r="K2" s="533"/>
      <c r="L2" s="533"/>
      <c r="M2" s="533"/>
      <c r="N2" s="533"/>
      <c r="O2" s="533"/>
      <c r="P2" s="533"/>
      <c r="Q2" s="533"/>
      <c r="R2" s="533"/>
      <c r="S2" s="533"/>
      <c r="T2" s="533"/>
      <c r="U2" s="533"/>
      <c r="V2" s="533"/>
      <c r="W2" s="533"/>
      <c r="X2" s="533"/>
      <c r="Y2" s="533"/>
      <c r="Z2" s="533"/>
      <c r="AA2" s="533"/>
      <c r="AB2" s="533"/>
      <c r="AC2" s="533"/>
      <c r="AD2" s="533"/>
      <c r="AE2" s="533"/>
      <c r="AF2" s="533"/>
      <c r="AG2" s="533"/>
      <c r="AH2" s="533"/>
      <c r="AI2" s="533"/>
      <c r="AJ2" s="533"/>
      <c r="AK2" s="533"/>
      <c r="AL2" s="530" t="s">
        <v>932</v>
      </c>
      <c r="AM2" s="530"/>
      <c r="AN2" s="530"/>
      <c r="AO2" s="530"/>
      <c r="AP2" s="530"/>
      <c r="AQ2" s="530"/>
      <c r="AR2" s="530"/>
      <c r="AS2" s="529" t="s">
        <v>933</v>
      </c>
      <c r="AT2" s="529"/>
      <c r="AU2" s="529"/>
      <c r="AV2" s="529"/>
      <c r="AW2" s="529"/>
      <c r="AX2" s="529"/>
      <c r="AY2" s="529"/>
    </row>
    <row r="3" spans="1:64" s="5" customFormat="1" ht="52.15" customHeight="1" x14ac:dyDescent="0.25">
      <c r="A3" s="104" t="s">
        <v>516</v>
      </c>
      <c r="B3" s="104" t="s">
        <v>688</v>
      </c>
      <c r="C3" s="135" t="s">
        <v>695</v>
      </c>
      <c r="D3" s="135" t="s">
        <v>694</v>
      </c>
      <c r="E3" s="135" t="s">
        <v>693</v>
      </c>
      <c r="F3" s="135" t="s">
        <v>692</v>
      </c>
      <c r="G3" s="135" t="s">
        <v>698</v>
      </c>
      <c r="H3" s="123" t="s">
        <v>593</v>
      </c>
      <c r="I3" s="123" t="s">
        <v>594</v>
      </c>
      <c r="J3" s="123" t="s">
        <v>886</v>
      </c>
      <c r="K3" s="354" t="s">
        <v>888</v>
      </c>
      <c r="L3" s="354" t="s">
        <v>887</v>
      </c>
      <c r="M3" s="124" t="s">
        <v>595</v>
      </c>
      <c r="N3" s="123" t="s">
        <v>596</v>
      </c>
      <c r="O3" s="123" t="s">
        <v>597</v>
      </c>
      <c r="P3" s="123" t="s">
        <v>837</v>
      </c>
      <c r="Q3" s="354" t="s">
        <v>890</v>
      </c>
      <c r="R3" s="354" t="s">
        <v>889</v>
      </c>
      <c r="S3" s="124" t="s">
        <v>708</v>
      </c>
      <c r="T3" s="354" t="s">
        <v>928</v>
      </c>
      <c r="U3" s="354" t="s">
        <v>929</v>
      </c>
      <c r="V3" s="324" t="s">
        <v>934</v>
      </c>
      <c r="W3" s="354" t="s">
        <v>935</v>
      </c>
      <c r="X3" s="354" t="s">
        <v>936</v>
      </c>
      <c r="Y3" s="371" t="s">
        <v>879</v>
      </c>
      <c r="Z3" s="371" t="s">
        <v>880</v>
      </c>
      <c r="AA3" s="371" t="s">
        <v>881</v>
      </c>
      <c r="AB3" s="354" t="s">
        <v>923</v>
      </c>
      <c r="AC3" s="354" t="s">
        <v>924</v>
      </c>
      <c r="AD3" s="124" t="s">
        <v>882</v>
      </c>
      <c r="AE3" s="324" t="s">
        <v>937</v>
      </c>
      <c r="AF3" s="375" t="s">
        <v>938</v>
      </c>
      <c r="AG3" s="375" t="s">
        <v>939</v>
      </c>
      <c r="AH3" s="123" t="s">
        <v>442</v>
      </c>
      <c r="AI3" s="124" t="s">
        <v>556</v>
      </c>
      <c r="AJ3" s="124" t="s">
        <v>420</v>
      </c>
      <c r="AK3" s="124" t="s">
        <v>419</v>
      </c>
      <c r="AL3" s="100" t="s">
        <v>555</v>
      </c>
      <c r="AM3" s="372" t="s">
        <v>891</v>
      </c>
      <c r="AN3" s="372" t="s">
        <v>892</v>
      </c>
      <c r="AO3" s="99" t="s">
        <v>554</v>
      </c>
      <c r="AP3" s="100" t="s">
        <v>515</v>
      </c>
      <c r="AQ3" s="372" t="s">
        <v>904</v>
      </c>
      <c r="AR3" s="372" t="s">
        <v>905</v>
      </c>
      <c r="AS3" s="369" t="s">
        <v>555</v>
      </c>
      <c r="AT3" s="373" t="s">
        <v>891</v>
      </c>
      <c r="AU3" s="373" t="s">
        <v>892</v>
      </c>
      <c r="AV3" s="370" t="s">
        <v>554</v>
      </c>
      <c r="AW3" s="369" t="s">
        <v>515</v>
      </c>
      <c r="AX3" s="373" t="s">
        <v>904</v>
      </c>
      <c r="AY3" s="373" t="s">
        <v>905</v>
      </c>
      <c r="AZ3" s="4"/>
      <c r="BA3" s="4"/>
      <c r="BB3" s="4"/>
      <c r="BC3" s="4"/>
      <c r="BD3" s="4"/>
      <c r="BE3" s="4"/>
      <c r="BF3" s="4"/>
      <c r="BG3" s="4"/>
      <c r="BH3" s="4"/>
      <c r="BI3" s="4"/>
      <c r="BJ3" s="4"/>
      <c r="BK3" s="4"/>
      <c r="BL3" s="4"/>
    </row>
    <row r="4" spans="1:64" s="6" customFormat="1" ht="30" customHeight="1" x14ac:dyDescent="0.25">
      <c r="A4" s="97" t="s">
        <v>590</v>
      </c>
      <c r="B4" s="97" t="s">
        <v>590</v>
      </c>
      <c r="C4" s="254" t="s">
        <v>696</v>
      </c>
      <c r="D4" s="534" t="s">
        <v>697</v>
      </c>
      <c r="E4" s="535"/>
      <c r="F4" s="536"/>
      <c r="G4" s="254" t="s">
        <v>696</v>
      </c>
      <c r="H4" s="537" t="s">
        <v>553</v>
      </c>
      <c r="I4" s="538"/>
      <c r="J4" s="539"/>
      <c r="K4" s="98" t="s">
        <v>927</v>
      </c>
      <c r="L4" s="98" t="s">
        <v>927</v>
      </c>
      <c r="M4" s="98" t="s">
        <v>0</v>
      </c>
      <c r="N4" s="537" t="s">
        <v>553</v>
      </c>
      <c r="O4" s="538"/>
      <c r="P4" s="539"/>
      <c r="Q4" s="98" t="s">
        <v>927</v>
      </c>
      <c r="R4" s="98" t="s">
        <v>927</v>
      </c>
      <c r="S4" s="98" t="s">
        <v>0</v>
      </c>
      <c r="T4" s="98" t="s">
        <v>927</v>
      </c>
      <c r="U4" s="98" t="s">
        <v>927</v>
      </c>
      <c r="V4" s="98" t="s">
        <v>0</v>
      </c>
      <c r="W4" s="98" t="s">
        <v>927</v>
      </c>
      <c r="X4" s="98" t="s">
        <v>927</v>
      </c>
      <c r="Y4" s="537" t="s">
        <v>553</v>
      </c>
      <c r="Z4" s="538"/>
      <c r="AA4" s="539"/>
      <c r="AB4" s="98" t="s">
        <v>927</v>
      </c>
      <c r="AC4" s="98" t="s">
        <v>927</v>
      </c>
      <c r="AD4" s="98" t="s">
        <v>0</v>
      </c>
      <c r="AE4" s="98" t="s">
        <v>0</v>
      </c>
      <c r="AF4" s="98" t="s">
        <v>927</v>
      </c>
      <c r="AG4" s="98" t="s">
        <v>927</v>
      </c>
      <c r="AH4" s="98" t="s">
        <v>700</v>
      </c>
      <c r="AI4" s="98" t="s">
        <v>0</v>
      </c>
      <c r="AJ4" s="98" t="s">
        <v>700</v>
      </c>
      <c r="AK4" s="98" t="s">
        <v>700</v>
      </c>
      <c r="AL4" s="98" t="s">
        <v>701</v>
      </c>
      <c r="AM4" s="98" t="s">
        <v>927</v>
      </c>
      <c r="AN4" s="98" t="s">
        <v>927</v>
      </c>
      <c r="AO4" s="98" t="s">
        <v>0</v>
      </c>
      <c r="AP4" s="98" t="s">
        <v>0</v>
      </c>
      <c r="AQ4" s="98" t="s">
        <v>927</v>
      </c>
      <c r="AR4" s="98" t="s">
        <v>927</v>
      </c>
      <c r="AS4" s="98" t="s">
        <v>701</v>
      </c>
      <c r="AT4" s="98" t="s">
        <v>927</v>
      </c>
      <c r="AU4" s="98" t="s">
        <v>927</v>
      </c>
      <c r="AV4" s="98" t="s">
        <v>0</v>
      </c>
      <c r="AW4" s="98" t="s">
        <v>0</v>
      </c>
      <c r="AX4" s="98" t="s">
        <v>927</v>
      </c>
      <c r="AY4" s="98" t="s">
        <v>927</v>
      </c>
    </row>
    <row r="5" spans="1:64" s="7" customFormat="1" ht="15" x14ac:dyDescent="0.2">
      <c r="A5" s="89" t="str">
        <f>'Population Figures'!E5</f>
        <v>Badakhshan</v>
      </c>
      <c r="B5" s="91">
        <f>'Population Figures'!F5</f>
        <v>2958374.34</v>
      </c>
      <c r="C5" s="253">
        <v>0.05</v>
      </c>
      <c r="D5" s="253">
        <v>0.01</v>
      </c>
      <c r="E5" s="253">
        <v>0.02</v>
      </c>
      <c r="F5" s="253">
        <v>1.4999999999999999E-2</v>
      </c>
      <c r="G5" s="253">
        <v>1.4999999999999999E-2</v>
      </c>
      <c r="H5" s="92">
        <f>B5*('Population Figures'!G5)*C5</f>
        <v>23666.994720000002</v>
      </c>
      <c r="I5" s="92">
        <f>J5</f>
        <v>71000.984159999993</v>
      </c>
      <c r="J5" s="92">
        <f>B5*('Population Figures'!G5)*'Scenario 2 - Nut.Analysis'!C7</f>
        <v>71000.984159999993</v>
      </c>
      <c r="K5" s="353" t="str">
        <f>IF('Population Figures'!H5&lt;&gt;"",IF(H5&lt;&gt;"",B5*('Population Figures'!H5)*C5, IF(I5&lt;&gt;"", B5*('Population Figures'!H5)*'Scenario 2 - Nut.Analysis'!B7, IF(J5&lt;&gt;"", B5*('Population Figures'!H5)*'Scenario 2 - Nut.Analysis'!C7, "N/A"))), "N/A")</f>
        <v>N/A</v>
      </c>
      <c r="L5" s="353" t="str">
        <f>IF('Population Figures'!I5&lt;&gt;"",IF(H5&lt;&gt;"",B5*('Population Figures'!I5)*C5, IF(I5&lt;&gt;"", B5*('Population Figures'!I5)*'Scenario 2 - Nut.Analysis'!B7, IF(J5&lt;&gt;"", B5*('Population Figures'!I5)*'Scenario 2 - Nut.Analysis'!C7, "N/A"))), "N/A")</f>
        <v>N/A</v>
      </c>
      <c r="M5" s="92">
        <f>B5*('Population Figures'!G5)</f>
        <v>473339.89439999999</v>
      </c>
      <c r="N5" s="92">
        <f>D5*(B5*'Population Figures'!G5)*'Population Figures'!$C$7</f>
        <v>15146.8766208</v>
      </c>
      <c r="O5" s="92">
        <f>E5*(B5*'Population Figures'!G5)*'Population Figures'!$C$7</f>
        <v>30293.753241599999</v>
      </c>
      <c r="P5" s="92">
        <f>F5*(B5*'Population Figures'!G5)*'Population Figures'!$C$7</f>
        <v>22720.314931200002</v>
      </c>
      <c r="Q5" s="353" t="str">
        <f>IF('Population Figures'!H5&lt;&gt;"",IF(N5&lt;&gt;"",D5*(B5*'Population Figures'!H5)*'Population Figures'!$C$7, IF(O5&lt;&gt;"", E5*(B5*'Population Figures'!H5)*'Population Figures'!$C$7, IF(P5&lt;&gt;"", F5*(B5*'Population Figures'!H5)*'Population Figures'!$C$7, "N/A"))), "N/A")</f>
        <v>N/A</v>
      </c>
      <c r="R5" s="353" t="str">
        <f>IF('Population Figures'!I5&lt;&gt;"",IF(N5&lt;&gt;"",D5*(B5*'Population Figures'!I5)*'Population Figures'!$C$7, IF(O5&lt;&gt;"", E5*(B5*'Population Figures'!I5)*'Population Figures'!$C$7, IF(P5&lt;&gt;"", F5*(B5*'Population Figures'!I5)*'Population Figures'!$C$7, "N/A"))), "N/A")</f>
        <v>N/A</v>
      </c>
      <c r="S5" s="92">
        <f>IF(N5&lt;&gt;"",N5*'Population Figures'!$C$10,IF(O5&lt;&gt;"",O5*'Population Figures'!$C$10,IF(P5&lt;&gt;"",P5*'Population Figures'!$C$10,"Key Values")))</f>
        <v>1514.6876620800001</v>
      </c>
      <c r="T5" s="353" t="str">
        <f>IF(Q5&lt;&gt;"N/A",Q5*'Population Figures'!$C$10,"N/A")</f>
        <v>N/A</v>
      </c>
      <c r="U5" s="353" t="str">
        <f>IF(R5&lt;&gt;"N/A",R5*'Population Figures'!$C$10,"N/A")</f>
        <v>N/A</v>
      </c>
      <c r="V5" s="92">
        <f>IF(N5&lt;&gt;"",
 D5*(B5*ABS('Population Figures'!G5-'Population Figures'!J5))*'Population Figures'!$C$7*'Population Figures'!$C$11,
IF(O5&lt;&gt;"",
E5*(B5*ABS('Population Figures'!G5-'Population Figures'!J5))*'Population Figures'!$C$7*'Population Figures'!$C$11,
IF(P5&lt;&gt;"",
F5*(B5*ABS('Population Figures'!G5-'Population Figures'!J5))*'Population Figures'!$C$7*'Population Figures'!$C$11, "Key Values")))</f>
        <v>12098.567700864001</v>
      </c>
      <c r="W5" s="353" t="str">
        <f>IF('Population Figures'!H5&lt;&gt;"",
IF(N5&lt;&gt;"",D5*(B5*ABS('Population Figures'!H5-'Population Figures'!K5))*'Population Figures'!$C$7,
 IF(O5&lt;&gt;"", E5*(B5*ABS('Population Figures'!H5-'Population Figures'!K5))*'Population Figures'!$C$7,
 IF(P5&lt;&gt;"", F5*(B5*ABS('Population Figures'!H5-'Population Figures'!K5))*'Population Figures'!$C$7, "N/A"))), "N/A")</f>
        <v>N/A</v>
      </c>
      <c r="X5" s="353" t="str">
        <f>IF('Population Figures'!H5&lt;&gt;"",
IF(N5&lt;&gt;"",D5*(B5*ABS('Population Figures'!I5-'Population Figures'!L5))*'Population Figures'!$C$7,
 IF(O5&lt;&gt;"", E5*(B5*ABS('Population Figures'!I5-'Population Figures'!L5))*'Population Figures'!$C$7,
 IF(P5&lt;&gt;"", F5*(B5*ABS('Population Figures'!I5-'Population Figures'!L5))*'Population Figures'!$C$7, "N/A"))), "N/A")</f>
        <v>N/A</v>
      </c>
      <c r="Y5" s="92">
        <f>(C5-D5)*(B5*ABS('Population Figures'!G5-'Population Figures'!J5)*'Population Figures'!$C$8)</f>
        <v>53771.412003840007</v>
      </c>
      <c r="Z5" s="92">
        <f>ABS('Scenario 2 - Nut.Analysis'!C7-E5)*(B5*ABS('Population Figures'!G5-'Population Figures'!J5))*'Population Figures'!$C$8</f>
        <v>174757.08901248002</v>
      </c>
      <c r="AA5" s="92">
        <f>ABS('Scenario 2 - Nut.Analysis'!D7-F5)*(B5*ABS('Population Figures'!G5-'Population Figures'!J5)*'Population Figures'!$C$8)</f>
        <v>584764.10554175999</v>
      </c>
      <c r="AB5" s="353" t="str" cm="1">
        <f t="array" ref="AB5">IF('Population Figures'!H5&lt;&gt;"",IF(N5&lt;&gt;"",(C5-D5)*(ABS('Population Figures'!H5-'Population Figures'!K5)*B5*'Population Figures'!G5)*'Population Figures'!$C$8, IF(O5&lt;&gt;"", ABS('Scenario 2 - Nut.Analysis'!C7-E5)*(ABS('Population Figures'!H5-'Population Figures'!K5)*B5*'Population Figures'!G5)*'Population Figures'!$C$8, IF(P5&lt;&gt;"", AA*(B5*ABS('Population Figures'!H5-'Population Figures'!K5))*'Population Figures'!$C$7, "N/A"))), "N/A")</f>
        <v>N/A</v>
      </c>
      <c r="AC5" s="353" t="str" cm="1">
        <f t="array" ref="AC5">IF('Population Figures'!I5&lt;&gt;"",IF(O5&lt;&gt;"",(D5-E5)*(ABS('Population Figures'!I5-'Population Figures'!L5)*C5*'Population Figures'!H5)*'Population Figures'!$C$8, IF(P5&lt;&gt;"", ABS('Scenario 2 - Nut.Analysis'!D7-F5)*(ABS('Population Figures'!I5-'Population Figures'!L5)*C5*'Population Figures'!H5)*'Population Figures'!$C$8, IF(Q5&lt;&gt;"", AA*(C5*ABS('Population Figures'!I5-'Population Figures'!L5))*'Population Figures'!$C$7, "N/A"))), "N/A")</f>
        <v>N/A</v>
      </c>
      <c r="AD5" s="92">
        <f>Y5*'Population Figures'!$C$12</f>
        <v>37639.988402688003</v>
      </c>
      <c r="AE5" s="92" cm="1">
        <f t="array" ref="AE5">IF(Y5&lt;&gt;"", 'Population Figures'!P5*Y5*'Population Figures'!$C$13,
IF(Z&lt;&gt;"", 'Population Figures'!P5*Z5*'Population Figures'!$C$13,
IF(AA &lt;&gt;"",'Population Figures'!P5*AA5*'Population Figures'!$C$13, "N/A")))</f>
        <v>1935.7708321382402</v>
      </c>
      <c r="AF5" s="353" t="str">
        <f>IF('Population Figures'!Q5&lt;&gt;"",'Population Figures'!Q5*Y5*'Population Figures'!$C$13,"N/A")</f>
        <v>N/A</v>
      </c>
      <c r="AG5" s="353" t="str">
        <f>IF('Population Figures'!R5&lt;&gt;"",'Population Figures'!R5*Y5*'Population Figures'!$C$13,"N/A")</f>
        <v>N/A</v>
      </c>
      <c r="AH5" s="92">
        <f>B5*'Population Figures'!S5*'Scenario 2 - Nut.Analysis'!D7</f>
        <v>66563.422650000008</v>
      </c>
      <c r="AI5" s="92">
        <f>B5*'Population Figures'!S5</f>
        <v>147918.717</v>
      </c>
      <c r="AJ5" s="92">
        <f>B5*'Population Figures'!S5*ABS('Scenario 2 - Nut.Analysis'!D7-G5)*'Population Figures'!$C$17</f>
        <v>48258.481421249999</v>
      </c>
      <c r="AK5" s="92">
        <f>B5*'Population Figures'!S5*ABS('Scenario 2 - Nut.Analysis'!D7-G5)*'Population Figures'!$C$18</f>
        <v>64344.641895000001</v>
      </c>
      <c r="AL5" s="92">
        <f>B5*'Population Figures'!U5*'Scenario 2 Contributing Fact'!F8</f>
        <v>133126.84530000002</v>
      </c>
      <c r="AM5" s="353" t="str">
        <f>IF('Population Figures'!W5&lt;&gt;"",B5*'Population Figures'!U5*'Scenario 2 Contributing Fact'!F8*'Population Figures'!W5,"N/A")</f>
        <v>N/A</v>
      </c>
      <c r="AN5" s="353" t="str">
        <f>IF('Population Figures'!V5&lt;&gt;"",B5*'Population Figures'!U5*'Scenario 2 Contributing Fact'!F8*'Population Figures'!V5,"N/A")</f>
        <v>N/A</v>
      </c>
      <c r="AO5" s="92">
        <f>B5*'Population Figures'!U5</f>
        <v>295837.43400000001</v>
      </c>
      <c r="AP5" s="92">
        <f>B5*'Population Figures'!X5*'Scenario 2 Contributing Fact'!G8</f>
        <v>53250.738119999995</v>
      </c>
      <c r="AQ5" s="353" t="str">
        <f>IF('Population Figures'!Y5&lt;&gt;"", 'Population Figures'!Y5*B5*'Population Figures'!X5*'Scenario 2 Contributing Fact'!G8,"N/A")</f>
        <v>N/A</v>
      </c>
      <c r="AR5" s="353" t="str">
        <f>IF('Population Figures'!Z5&lt;&gt;"", 'Population Figures'!Z5*B5*'Population Figures'!X5*'Scenario 2 Contributing Fact'!G8,"N/A")</f>
        <v>N/A</v>
      </c>
      <c r="AS5" s="92">
        <f>I5*'Population Figures'!U5*'Scenario 3 - Nut. Analysis'!J4</f>
        <v>639.00885743999993</v>
      </c>
      <c r="AT5" s="353" t="str">
        <f>IF('Population Figures'!AD5&lt;&gt;"",I5*'Population Figures'!W5*'Scenario 3 - Nut. Analysis'!J4,"N/A")</f>
        <v>N/A</v>
      </c>
      <c r="AU5" s="353" t="str">
        <f>IF('Population Figures'!AC5&lt;&gt;"",I5*'Population Figures'!V5*'Scenario 3 - Nut. Analysis'!J4,"N/A")</f>
        <v>N/A</v>
      </c>
      <c r="AV5" s="92">
        <f>I5*'Population Figures'!U5</f>
        <v>7100.0984159999998</v>
      </c>
      <c r="AW5" s="92">
        <f>I5*'Population Figures'!X5*'Scenario 3 - Nut. Analysis'!K4</f>
        <v>958.51328615999989</v>
      </c>
      <c r="AX5" s="353" t="str">
        <f>IF('Population Figures'!Y5&lt;&gt;"", I5*'Population Figures'!Y5*'Scenario 3 - Nut. Analysis'!K4,"N/A")</f>
        <v>N/A</v>
      </c>
      <c r="AY5" s="353" t="str">
        <f>IF('Population Figures'!Z5&lt;&gt;"", I5*'Population Figures'!Z5*'Scenario 3 - Nut. Analysis'!K4,"N/A")</f>
        <v>N/A</v>
      </c>
    </row>
    <row r="6" spans="1:64" s="9" customFormat="1" ht="15" x14ac:dyDescent="0.2">
      <c r="A6" s="89" t="str">
        <f>'Population Figures'!E6</f>
        <v>Badghis</v>
      </c>
      <c r="B6" s="91">
        <f>'Population Figures'!F6</f>
        <v>1542806.1</v>
      </c>
      <c r="C6" s="253">
        <v>0.05</v>
      </c>
      <c r="D6" s="253">
        <v>0.01</v>
      </c>
      <c r="E6" s="253">
        <v>0.02</v>
      </c>
      <c r="F6" s="253">
        <v>1.4999999999999999E-2</v>
      </c>
      <c r="G6" s="253">
        <v>1.4999999999999999E-2</v>
      </c>
      <c r="H6" s="92">
        <f>B6*('Population Figures'!G6)*C6</f>
        <v>11571.045750000001</v>
      </c>
      <c r="I6" s="92">
        <f>B6*('Population Figures'!G6)*'Scenario 2 - Nut.Analysis'!B8</f>
        <v>39341.555550000005</v>
      </c>
      <c r="J6" s="92">
        <f>B6*('Population Figures'!G6)*'Scenario 2 - Nut.Analysis'!C8</f>
        <v>0</v>
      </c>
      <c r="K6" s="353" t="str">
        <f>IF('Population Figures'!H6&lt;&gt;"",IF(H6&lt;&gt;"",B6*('Population Figures'!H6)*C6, IF(I6&lt;&gt;"", B6*('Population Figures'!H6)*'Scenario 2 - Nut.Analysis'!B8, IF(J6&lt;&gt;"", B6*('Population Figures'!H6)*'Scenario 2 - Nut.Analysis'!C8, "N/A"))), "N/A")</f>
        <v>N/A</v>
      </c>
      <c r="L6" s="353" t="str">
        <f>IF('Population Figures'!I6&lt;&gt;"",IF(H6&lt;&gt;"",B6*('Population Figures'!I6)*C6, IF(I6&lt;&gt;"", B6*('Population Figures'!I6)*'Scenario 2 - Nut.Analysis'!B8, IF(J6&lt;&gt;"", B6*('Population Figures'!I6)*'Scenario 2 - Nut.Analysis'!C8, "N/A"))), "N/A")</f>
        <v>N/A</v>
      </c>
      <c r="M6" s="92">
        <f>B6*('Population Figures'!G6)</f>
        <v>231420.91500000001</v>
      </c>
      <c r="N6" s="92">
        <f>D6*(B6*'Population Figures'!G6)*'Population Figures'!$C$7</f>
        <v>7405.4692800000012</v>
      </c>
      <c r="O6" s="92">
        <f>E6*(B6*'Population Figures'!G6)*'Population Figures'!$C$7</f>
        <v>14810.938560000002</v>
      </c>
      <c r="P6" s="92">
        <f>F6*(B6*'Population Figures'!G6)*'Population Figures'!$C$7</f>
        <v>11108.20392</v>
      </c>
      <c r="Q6" s="353" t="str">
        <f>IF('Population Figures'!H6&lt;&gt;"",IF(N6&lt;&gt;"",D6*(B6*'Population Figures'!H6)*'Population Figures'!$C$7, IF(O6&lt;&gt;"", E6*(B6*'Population Figures'!H6)*'Population Figures'!$C$7, IF(P6&lt;&gt;"", F6*(B6*'Population Figures'!H6)*'Population Figures'!$C$7, "N/A"))), "N/A")</f>
        <v>N/A</v>
      </c>
      <c r="R6" s="353" t="str">
        <f>IF('Population Figures'!I6&lt;&gt;"",IF(N6&lt;&gt;"",D6*(B6*'Population Figures'!I6)*'Population Figures'!$C$7, IF(O6&lt;&gt;"", E6*(B6*'Population Figures'!I6)*'Population Figures'!$C$7, IF(P6&lt;&gt;"", F6*(B6*'Population Figures'!I6)*'Population Figures'!$C$7, "N/A"))), "N/A")</f>
        <v>N/A</v>
      </c>
      <c r="S6" s="92">
        <f>IF(N6&lt;&gt;"",N6*'Population Figures'!$C$10,IF(O6&lt;&gt;"",O6*'Population Figures'!$C$10,IF(P6&lt;&gt;"",P6*'Population Figures'!$C$10,"Key Values")))</f>
        <v>740.54692800000021</v>
      </c>
      <c r="T6" s="353" t="str">
        <f>IF(Q6&lt;&gt;"N/A",Q6*'Population Figures'!$C$10,"N/A")</f>
        <v>N/A</v>
      </c>
      <c r="U6" s="353" t="str">
        <f>IF(R6&lt;&gt;"N/A",R6*'Population Figures'!$C$10,"N/A")</f>
        <v>N/A</v>
      </c>
      <c r="V6" s="92">
        <f>IF(N6&lt;&gt;"",
 D6*(B6*ABS('Population Figures'!G6-'Population Figures'!J6))*'Population Figures'!$C$7*'Population Figures'!$C$11,
IF(O6&lt;&gt;"",
E6*(B6*ABS('Population Figures'!G6-'Population Figures'!J6))*'Population Figures'!$C$7*'Population Figures'!$C$11,
IF(P6&lt;&gt;"",
F6*(B6*ABS('Population Figures'!G6-'Population Figures'!J6))*'Population Figures'!$C$7*'Population Figures'!$C$11, "Key Values")))</f>
        <v>5865.1316697600005</v>
      </c>
      <c r="W6" s="353" t="str">
        <f>IF('Population Figures'!H6&lt;&gt;"",
IF(N6&lt;&gt;"",D6*(B6*ABS('Population Figures'!H6-'Population Figures'!K6))*'Population Figures'!$C$7,
 IF(O6&lt;&gt;"", E6*(B6*ABS('Population Figures'!H6-'Population Figures'!K6))*'Population Figures'!$C$7,
 IF(P6&lt;&gt;"", F6*(B6*ABS('Population Figures'!H6-'Population Figures'!K6))*'Population Figures'!$C$7, "N/A"))), "N/A")</f>
        <v>N/A</v>
      </c>
      <c r="X6" s="353" t="str">
        <f>IF('Population Figures'!H6&lt;&gt;"",
IF(N6&lt;&gt;"",D6*(B6*ABS('Population Figures'!I6-'Population Figures'!L6))*'Population Figures'!$C$7,
 IF(O6&lt;&gt;"", E6*(B6*ABS('Population Figures'!I6-'Population Figures'!L6))*'Population Figures'!$C$7,
 IF(P6&lt;&gt;"", F6*(B6*ABS('Population Figures'!I6-'Population Figures'!L6))*'Population Figures'!$C$7, "N/A"))), "N/A")</f>
        <v>N/A</v>
      </c>
      <c r="Y6" s="92">
        <f>(C6-D6)*(B6*ABS('Population Figures'!G6-'Population Figures'!J6)*'Population Figures'!$C$8)</f>
        <v>26067.251865600003</v>
      </c>
      <c r="Z6" s="92">
        <f>ABS('Scenario 2 - Nut.Analysis'!C8-E6)*(B6*ABS('Population Figures'!G6-'Population Figures'!J6))*'Population Figures'!$C$8</f>
        <v>13033.625932800001</v>
      </c>
      <c r="AA6" s="92">
        <f>ABS('Scenario 2 - Nut.Analysis'!D8-F6)*(B6*ABS('Population Figures'!G6-'Population Figures'!J6)*'Population Figures'!$C$8)</f>
        <v>87976.97504640001</v>
      </c>
      <c r="AB6" s="353" t="str" cm="1">
        <f t="array" ref="AB6">IF('Population Figures'!H6&lt;&gt;"",IF(N6&lt;&gt;"",(C6-D6)*(ABS('Population Figures'!H6-'Population Figures'!K6)*B6*'Population Figures'!G6)*'Population Figures'!$C$8, IF(O6&lt;&gt;"", ABS('Scenario 2 - Nut.Analysis'!C8-E6)*(ABS('Population Figures'!H6-'Population Figures'!K6)*B6*'Population Figures'!G6)*'Population Figures'!$C$8, IF(P6&lt;&gt;"", AA*(B6*ABS('Population Figures'!H6-'Population Figures'!K6))*'Population Figures'!$C$7, "N/A"))), "N/A")</f>
        <v>N/A</v>
      </c>
      <c r="AC6" s="353" t="str" cm="1">
        <f t="array" ref="AC6">IF('Population Figures'!I6&lt;&gt;"",IF(O6&lt;&gt;"",(D6-E6)*(ABS('Population Figures'!I6-'Population Figures'!L6)*C6*'Population Figures'!H6)*'Population Figures'!$C$8, IF(P6&lt;&gt;"", ABS('Scenario 2 - Nut.Analysis'!D8-F6)*(ABS('Population Figures'!I6-'Population Figures'!L6)*C6*'Population Figures'!H6)*'Population Figures'!$C$8, IF(Q6&lt;&gt;"", AA*(C6*ABS('Population Figures'!I6-'Population Figures'!L6))*'Population Figures'!$C$7, "N/A"))), "N/A")</f>
        <v>N/A</v>
      </c>
      <c r="AD6" s="92">
        <f>Y6*'Population Figures'!$C$12</f>
        <v>18247.07630592</v>
      </c>
      <c r="AE6" s="92" cm="1">
        <f t="array" ref="AE6">IF(Y6&lt;&gt;"", 'Population Figures'!P6*Y6*'Population Figures'!$C$13,
IF(Z&lt;&gt;"", 'Population Figures'!P6*Z6*'Population Figures'!$C$13,
IF(AA &lt;&gt;"",'Population Figures'!P6*AA6*'Population Figures'!$C$13, "N/A")))</f>
        <v>938.42106716160015</v>
      </c>
      <c r="AF6" s="353" t="str">
        <f>IF('Population Figures'!Q6&lt;&gt;"",'Population Figures'!Q6*Y6*'Population Figures'!$C$13,"N/A")</f>
        <v>N/A</v>
      </c>
      <c r="AG6" s="353" t="str">
        <f>IF('Population Figures'!R6&lt;&gt;"",'Population Figures'!R6*Y6*'Population Figures'!$C$13,"N/A")</f>
        <v>N/A</v>
      </c>
      <c r="AH6" s="92">
        <f>B6*'Population Figures'!S6*'Scenario 2 - Nut.Analysis'!D8</f>
        <v>11571.045750000001</v>
      </c>
      <c r="AI6" s="92">
        <f>B6*'Population Figures'!S6</f>
        <v>77140.305000000008</v>
      </c>
      <c r="AJ6" s="92">
        <f>B6*'Population Figures'!S6*ABS('Scenario 2 - Nut.Analysis'!D8-G6)*'Population Figures'!$C$17</f>
        <v>7810.4558812500018</v>
      </c>
      <c r="AK6" s="92">
        <f>B6*'Population Figures'!S6*ABS('Scenario 2 - Nut.Analysis'!D8-G6)*'Population Figures'!$C$18</f>
        <v>10413.941175000002</v>
      </c>
      <c r="AL6" s="92">
        <f>B6*'Population Figures'!U6*'Scenario 2 Contributing Fact'!F9</f>
        <v>13885.254900000002</v>
      </c>
      <c r="AM6" s="353" t="str">
        <f>IF('Population Figures'!W6&lt;&gt;"",B6*'Population Figures'!U6*'Scenario 2 Contributing Fact'!F9*'Population Figures'!W6,"N/A")</f>
        <v>N/A</v>
      </c>
      <c r="AN6" s="353" t="str">
        <f>IF('Population Figures'!V6&lt;&gt;"",B6*'Population Figures'!U6*'Scenario 2 Contributing Fact'!F9*'Population Figures'!V6,"N/A")</f>
        <v>N/A</v>
      </c>
      <c r="AO6" s="92">
        <f>B6*'Population Figures'!U6</f>
        <v>154280.61000000002</v>
      </c>
      <c r="AP6" s="92">
        <f>B6*'Population Figures'!X6*'Scenario 2 Contributing Fact'!G9</f>
        <v>57855.228750000002</v>
      </c>
      <c r="AQ6" s="353" t="str">
        <f>IF('Population Figures'!Y6&lt;&gt;"", 'Population Figures'!Y6*B6*'Population Figures'!X6*'Scenario 2 Contributing Fact'!G9,"N/A")</f>
        <v>N/A</v>
      </c>
      <c r="AR6" s="353" t="str">
        <f>IF('Population Figures'!Z6&lt;&gt;"", 'Population Figures'!Z6*B6*'Population Figures'!X6*'Scenario 2 Contributing Fact'!G9,"N/A")</f>
        <v>N/A</v>
      </c>
      <c r="AS6" s="92">
        <f>I6*'Population Figures'!U6*'Scenario 3 - Nut. Analysis'!J5</f>
        <v>157.36622220000004</v>
      </c>
      <c r="AT6" s="353" t="str">
        <f>IF('Population Figures'!AD6&lt;&gt;"",I6*'Population Figures'!W6*'Scenario 3 - Nut. Analysis'!J5,"N/A")</f>
        <v>N/A</v>
      </c>
      <c r="AU6" s="353" t="str">
        <f>IF('Population Figures'!AC6&lt;&gt;"",I6*'Population Figures'!V6*'Scenario 3 - Nut. Analysis'!J5,"N/A")</f>
        <v>N/A</v>
      </c>
      <c r="AV6" s="92">
        <f>I6*'Population Figures'!U6</f>
        <v>3934.1555550000007</v>
      </c>
      <c r="AW6" s="92">
        <f>I6*'Population Figures'!X6*'Scenario 3 - Nut. Analysis'!K5</f>
        <v>236.04933330000003</v>
      </c>
      <c r="AX6" s="353" t="str">
        <f>IF('Population Figures'!Y6&lt;&gt;"", I6*'Population Figures'!Y6*'Scenario 3 - Nut. Analysis'!K5,"N/A")</f>
        <v>N/A</v>
      </c>
      <c r="AY6" s="353" t="str">
        <f>IF('Population Figures'!Z6&lt;&gt;"", I6*'Population Figures'!Z6*'Scenario 3 - Nut. Analysis'!K5,"N/A")</f>
        <v>N/A</v>
      </c>
      <c r="AZ6" s="8"/>
      <c r="BA6" s="8"/>
      <c r="BB6" s="8"/>
      <c r="BC6" s="8"/>
      <c r="BD6" s="8"/>
      <c r="BE6" s="8"/>
      <c r="BF6" s="8"/>
      <c r="BG6" s="8"/>
      <c r="BH6" s="8"/>
      <c r="BI6" s="8"/>
      <c r="BJ6" s="8"/>
      <c r="BK6" s="8"/>
      <c r="BL6" s="8"/>
    </row>
    <row r="7" spans="1:64" s="9" customFormat="1" ht="15" x14ac:dyDescent="0.2">
      <c r="A7" s="89" t="str">
        <f>'Population Figures'!E7</f>
        <v>Baghlan</v>
      </c>
      <c r="B7" s="91">
        <f>'Population Figures'!F7</f>
        <v>2836525.14</v>
      </c>
      <c r="C7" s="253">
        <v>0.05</v>
      </c>
      <c r="D7" s="253">
        <v>0.01</v>
      </c>
      <c r="E7" s="253">
        <v>0.02</v>
      </c>
      <c r="F7" s="253">
        <v>1.4999999999999999E-2</v>
      </c>
      <c r="G7" s="253">
        <v>1.4999999999999999E-2</v>
      </c>
      <c r="H7" s="92">
        <f>B7*('Population Figures'!G7)*C7</f>
        <v>22692.201120000002</v>
      </c>
      <c r="I7" s="92">
        <f>B7*('Population Figures'!G7)*'Scenario 2 - Nut.Analysis'!B9</f>
        <v>158845.40784</v>
      </c>
      <c r="J7" s="92">
        <f>B7*('Population Figures'!G7)*'Scenario 2 - Nut.Analysis'!C9</f>
        <v>54461.282687999999</v>
      </c>
      <c r="K7" s="353" t="str">
        <f>IF('Population Figures'!H7&lt;&gt;"",IF(H7&lt;&gt;"",B7*('Population Figures'!H7)*C7, IF(I7&lt;&gt;"", B7*('Population Figures'!H7)*'Scenario 2 - Nut.Analysis'!B9, IF(J7&lt;&gt;"", B7*('Population Figures'!H7)*'Scenario 2 - Nut.Analysis'!C9, "N/A"))), "N/A")</f>
        <v>N/A</v>
      </c>
      <c r="L7" s="353" t="str">
        <f>IF('Population Figures'!I7&lt;&gt;"",IF(H7&lt;&gt;"",B7*('Population Figures'!I7)*C7, IF(I7&lt;&gt;"", B7*('Population Figures'!I7)*'Scenario 2 - Nut.Analysis'!B9, IF(J7&lt;&gt;"", B7*('Population Figures'!I7)*'Scenario 2 - Nut.Analysis'!C9, "N/A"))), "N/A")</f>
        <v>N/A</v>
      </c>
      <c r="M7" s="92">
        <f>B7*('Population Figures'!G7)</f>
        <v>453844.02240000002</v>
      </c>
      <c r="N7" s="92">
        <f>D7*(B7*'Population Figures'!G7)*'Population Figures'!$C$7</f>
        <v>14523.008716800001</v>
      </c>
      <c r="O7" s="92">
        <f>E7*(B7*'Population Figures'!G7)*'Population Figures'!$C$7</f>
        <v>29046.017433600002</v>
      </c>
      <c r="P7" s="92">
        <f>F7*(B7*'Population Figures'!G7)*'Population Figures'!$C$7</f>
        <v>21784.5130752</v>
      </c>
      <c r="Q7" s="353" t="str">
        <f>IF('Population Figures'!H7&lt;&gt;"",IF(N7&lt;&gt;"",D7*(B7*'Population Figures'!H7)*'Population Figures'!$C$7, IF(O7&lt;&gt;"", E7*(B7*'Population Figures'!H7)*'Population Figures'!$C$7, IF(P7&lt;&gt;"", F7*(B7*'Population Figures'!H7)*'Population Figures'!$C$7, "N/A"))), "N/A")</f>
        <v>N/A</v>
      </c>
      <c r="R7" s="353" t="str">
        <f>IF('Population Figures'!I7&lt;&gt;"",IF(N7&lt;&gt;"",D7*(B7*'Population Figures'!I7)*'Population Figures'!$C$7, IF(O7&lt;&gt;"", E7*(B7*'Population Figures'!I7)*'Population Figures'!$C$7, IF(P7&lt;&gt;"", F7*(B7*'Population Figures'!I7)*'Population Figures'!$C$7, "N/A"))), "N/A")</f>
        <v>N/A</v>
      </c>
      <c r="S7" s="92">
        <f>IF(N7&lt;&gt;"",N7*'Population Figures'!$C$10,IF(O7&lt;&gt;"",O7*'Population Figures'!$C$10,IF(P7&lt;&gt;"",P7*'Population Figures'!$C$10,"Key Values")))</f>
        <v>1452.3008716800002</v>
      </c>
      <c r="T7" s="353" t="str">
        <f>IF(Q7&lt;&gt;"N/A",Q7*'Population Figures'!$C$10,"N/A")</f>
        <v>N/A</v>
      </c>
      <c r="U7" s="353" t="str">
        <f>IF(R7&lt;&gt;"N/A",R7*'Population Figures'!$C$10,"N/A")</f>
        <v>N/A</v>
      </c>
      <c r="V7" s="92">
        <f>IF(N7&lt;&gt;"",
 D7*(B7*ABS('Population Figures'!G7-'Population Figures'!J7))*'Population Figures'!$C$7*'Population Figures'!$C$11,
IF(O7&lt;&gt;"",
E7*(B7*ABS('Population Figures'!G7-'Population Figures'!J7))*'Population Figures'!$C$7*'Population Figures'!$C$11,
IF(P7&lt;&gt;"",
F7*(B7*ABS('Population Figures'!G7-'Population Figures'!J7))*'Population Figures'!$C$7*'Population Figures'!$C$11, "Key Values")))</f>
        <v>11600.253212544003</v>
      </c>
      <c r="W7" s="353" t="str">
        <f>IF('Population Figures'!H7&lt;&gt;"",
IF(N7&lt;&gt;"",D7*(B7*ABS('Population Figures'!H7-'Population Figures'!K7))*'Population Figures'!$C$7,
 IF(O7&lt;&gt;"", E7*(B7*ABS('Population Figures'!H7-'Population Figures'!K7))*'Population Figures'!$C$7,
 IF(P7&lt;&gt;"", F7*(B7*ABS('Population Figures'!H7-'Population Figures'!K7))*'Population Figures'!$C$7, "N/A"))), "N/A")</f>
        <v>N/A</v>
      </c>
      <c r="X7" s="353" t="str">
        <f>IF('Population Figures'!H7&lt;&gt;"",
IF(N7&lt;&gt;"",D7*(B7*ABS('Population Figures'!I7-'Population Figures'!L7))*'Population Figures'!$C$7,
 IF(O7&lt;&gt;"", E7*(B7*ABS('Population Figures'!I7-'Population Figures'!L7))*'Population Figures'!$C$7,
 IF(P7&lt;&gt;"", F7*(B7*ABS('Population Figures'!I7-'Population Figures'!L7))*'Population Figures'!$C$7, "N/A"))), "N/A")</f>
        <v>N/A</v>
      </c>
      <c r="Y7" s="92">
        <f>(C7-D7)*(B7*ABS('Population Figures'!G7-'Population Figures'!J7)*'Population Figures'!$C$8)</f>
        <v>51556.680944640015</v>
      </c>
      <c r="Z7" s="92">
        <f>ABS('Scenario 2 - Nut.Analysis'!C9-E7)*(B7*ABS('Population Figures'!G7-'Population Figures'!J7))*'Population Figures'!$C$8</f>
        <v>128891.70236160001</v>
      </c>
      <c r="AA7" s="92">
        <f>ABS('Scenario 2 - Nut.Analysis'!D9-F7)*(B7*ABS('Population Figures'!G7-'Population Figures'!J7)*'Population Figures'!$C$8)</f>
        <v>135336.28747968003</v>
      </c>
      <c r="AB7" s="353" t="str" cm="1">
        <f t="array" ref="AB7">IF('Population Figures'!H7&lt;&gt;"",IF(N7&lt;&gt;"",(C7-D7)*(ABS('Population Figures'!H7-'Population Figures'!K7)*B7*'Population Figures'!G7)*'Population Figures'!$C$8, IF(O7&lt;&gt;"", ABS('Scenario 2 - Nut.Analysis'!C9-E7)*(ABS('Population Figures'!H7-'Population Figures'!K7)*B7*'Population Figures'!G7)*'Population Figures'!$C$8, IF(P7&lt;&gt;"", AA*(B7*ABS('Population Figures'!H7-'Population Figures'!K7))*'Population Figures'!$C$7, "N/A"))), "N/A")</f>
        <v>N/A</v>
      </c>
      <c r="AC7" s="353" t="str" cm="1">
        <f t="array" ref="AC7">IF('Population Figures'!I7&lt;&gt;"",IF(O7&lt;&gt;"",(D7-E7)*(ABS('Population Figures'!I7-'Population Figures'!L7)*C7*'Population Figures'!H7)*'Population Figures'!$C$8, IF(P7&lt;&gt;"", ABS('Scenario 2 - Nut.Analysis'!D9-F7)*(ABS('Population Figures'!I7-'Population Figures'!L7)*C7*'Population Figures'!H7)*'Population Figures'!$C$8, IF(Q7&lt;&gt;"", AA*(C7*ABS('Population Figures'!I7-'Population Figures'!L7))*'Population Figures'!$C$7, "N/A"))), "N/A")</f>
        <v>N/A</v>
      </c>
      <c r="AD7" s="92">
        <f>Y7*'Population Figures'!$C$12</f>
        <v>36089.676661248006</v>
      </c>
      <c r="AE7" s="92" cm="1">
        <f t="array" ref="AE7">IF(Y7&lt;&gt;"", 'Population Figures'!P7*Y7*'Population Figures'!$C$13,
IF(Z&lt;&gt;"", 'Population Figures'!P7*Z7*'Population Figures'!$C$13,
IF(AA &lt;&gt;"",'Population Figures'!P7*AA7*'Population Figures'!$C$13, "N/A")))</f>
        <v>1856.0405140070407</v>
      </c>
      <c r="AF7" s="353" t="str">
        <f>IF('Population Figures'!Q7&lt;&gt;"",'Population Figures'!Q7*Y7*'Population Figures'!$C$13,"N/A")</f>
        <v>N/A</v>
      </c>
      <c r="AG7" s="353" t="str">
        <f>IF('Population Figures'!R7&lt;&gt;"",'Population Figures'!R7*Y7*'Population Figures'!$C$13,"N/A")</f>
        <v>N/A</v>
      </c>
      <c r="AH7" s="92">
        <f>B7*'Population Figures'!S7*'Scenario 2 - Nut.Analysis'!D9</f>
        <v>17019.150840000002</v>
      </c>
      <c r="AI7" s="92">
        <f>B7*'Population Figures'!S7</f>
        <v>141826.25700000001</v>
      </c>
      <c r="AJ7" s="92">
        <f>B7*'Population Figures'!S7*ABS('Scenario 2 - Nut.Analysis'!D9-G7)*'Population Figures'!$C$17</f>
        <v>11168.81773875</v>
      </c>
      <c r="AK7" s="92">
        <f>B7*'Population Figures'!S7*ABS('Scenario 2 - Nut.Analysis'!D9-G7)*'Population Figures'!$C$18</f>
        <v>14891.756985</v>
      </c>
      <c r="AL7" s="92">
        <f>B7*'Population Figures'!U7*'Scenario 2 Contributing Fact'!F10</f>
        <v>51057.452520000006</v>
      </c>
      <c r="AM7" s="353" t="str">
        <f>IF('Population Figures'!W7&lt;&gt;"",B7*'Population Figures'!U7*'Scenario 2 Contributing Fact'!F10*'Population Figures'!W7,"N/A")</f>
        <v>N/A</v>
      </c>
      <c r="AN7" s="353" t="str">
        <f>IF('Population Figures'!V7&lt;&gt;"",B7*'Population Figures'!U7*'Scenario 2 Contributing Fact'!F10*'Population Figures'!V7,"N/A")</f>
        <v>N/A</v>
      </c>
      <c r="AO7" s="92">
        <f>B7*'Population Figures'!U7</f>
        <v>283652.51400000002</v>
      </c>
      <c r="AP7" s="92">
        <f>B7*'Population Figures'!X7*'Scenario 2 Contributing Fact'!G10</f>
        <v>46802.664810000002</v>
      </c>
      <c r="AQ7" s="353" t="str">
        <f>IF('Population Figures'!Y7&lt;&gt;"", 'Population Figures'!Y7*B7*'Population Figures'!X7*'Scenario 2 Contributing Fact'!G10,"N/A")</f>
        <v>N/A</v>
      </c>
      <c r="AR7" s="353" t="str">
        <f>IF('Population Figures'!Z7&lt;&gt;"", 'Population Figures'!Z7*B7*'Population Figures'!X7*'Scenario 2 Contributing Fact'!G10,"N/A")</f>
        <v>N/A</v>
      </c>
      <c r="AS7" s="92">
        <f>I7*'Population Figures'!U7*'Scenario 3 - Nut. Analysis'!J6</f>
        <v>2223.8357097600001</v>
      </c>
      <c r="AT7" s="353" t="str">
        <f>IF('Population Figures'!AD7&lt;&gt;"",I7*'Population Figures'!W7*'Scenario 3 - Nut. Analysis'!J6,"N/A")</f>
        <v>N/A</v>
      </c>
      <c r="AU7" s="353" t="str">
        <f>IF('Population Figures'!AC7&lt;&gt;"",I7*'Population Figures'!V7*'Scenario 3 - Nut. Analysis'!J6,"N/A")</f>
        <v>N/A</v>
      </c>
      <c r="AV7" s="92">
        <f>I7*'Population Figures'!U7</f>
        <v>15884.540784000001</v>
      </c>
      <c r="AW7" s="92">
        <f>I7*'Population Figures'!X7*'Scenario 3 - Nut. Analysis'!K6</f>
        <v>3335.7535646400001</v>
      </c>
      <c r="AX7" s="353" t="str">
        <f>IF('Population Figures'!Y7&lt;&gt;"", I7*'Population Figures'!Y7*'Scenario 3 - Nut. Analysis'!K6,"N/A")</f>
        <v>N/A</v>
      </c>
      <c r="AY7" s="353" t="str">
        <f>IF('Population Figures'!Z7&lt;&gt;"", I7*'Population Figures'!Z7*'Scenario 3 - Nut. Analysis'!K6,"N/A")</f>
        <v>N/A</v>
      </c>
      <c r="AZ7" s="8"/>
      <c r="BA7" s="8"/>
      <c r="BB7" s="8"/>
      <c r="BC7" s="8"/>
      <c r="BD7" s="8"/>
      <c r="BE7" s="8"/>
      <c r="BF7" s="8"/>
      <c r="BG7" s="8"/>
      <c r="BH7" s="8"/>
      <c r="BI7" s="8"/>
      <c r="BJ7" s="8"/>
      <c r="BK7" s="8"/>
      <c r="BL7" s="8"/>
    </row>
    <row r="8" spans="1:64" s="9" customFormat="1" ht="15" x14ac:dyDescent="0.2">
      <c r="A8" s="89" t="str">
        <f>'Population Figures'!E8</f>
        <v>Balkh</v>
      </c>
      <c r="B8" s="91">
        <f>'Population Figures'!F8</f>
        <v>4142095.56</v>
      </c>
      <c r="C8" s="253">
        <v>0.05</v>
      </c>
      <c r="D8" s="253">
        <v>0.01</v>
      </c>
      <c r="E8" s="253">
        <v>0.02</v>
      </c>
      <c r="F8" s="253">
        <v>1.4999999999999999E-2</v>
      </c>
      <c r="G8" s="253">
        <v>1.4999999999999999E-2</v>
      </c>
      <c r="H8" s="92">
        <f>B8*('Population Figures'!G8)*C8</f>
        <v>33136.764480000005</v>
      </c>
      <c r="I8" s="92">
        <f>B8*('Population Figures'!G8)*'Scenario 2 - Nut.Analysis'!B10</f>
        <v>33136.764480000005</v>
      </c>
      <c r="J8" s="92">
        <f>B8*('Population Figures'!G8)*'Scenario 2 - Nut.Analysis'!C10</f>
        <v>0</v>
      </c>
      <c r="K8" s="353" t="str">
        <f>IF('Population Figures'!H8&lt;&gt;"",IF(H8&lt;&gt;"",B8*('Population Figures'!H8)*C8, IF(I8&lt;&gt;"", B8*('Population Figures'!H8)*'Scenario 2 - Nut.Analysis'!B10, IF(J8&lt;&gt;"", B8*('Population Figures'!H8)*'Scenario 2 - Nut.Analysis'!C10, "N/A"))), "N/A")</f>
        <v>N/A</v>
      </c>
      <c r="L8" s="353" t="str">
        <f>IF('Population Figures'!I8&lt;&gt;"",IF(H8&lt;&gt;"",B8*('Population Figures'!I8)*C8, IF(I8&lt;&gt;"", B8*('Population Figures'!I8)*'Scenario 2 - Nut.Analysis'!B10, IF(J8&lt;&gt;"", B8*('Population Figures'!I8)*'Scenario 2 - Nut.Analysis'!C10, "N/A"))), "N/A")</f>
        <v>N/A</v>
      </c>
      <c r="M8" s="92">
        <f>B8*('Population Figures'!G8)</f>
        <v>662735.28960000002</v>
      </c>
      <c r="N8" s="92">
        <f>D8*(B8*'Population Figures'!G8)*'Population Figures'!$C$7</f>
        <v>21207.529267200003</v>
      </c>
      <c r="O8" s="92">
        <f>E8*(B8*'Population Figures'!G8)*'Population Figures'!$C$7</f>
        <v>42415.058534400006</v>
      </c>
      <c r="P8" s="92">
        <f>F8*(B8*'Population Figures'!G8)*'Population Figures'!$C$7</f>
        <v>31811.293900800003</v>
      </c>
      <c r="Q8" s="353" t="str">
        <f>IF('Population Figures'!H8&lt;&gt;"",IF(N8&lt;&gt;"",D8*(B8*'Population Figures'!H8)*'Population Figures'!$C$7, IF(O8&lt;&gt;"", E8*(B8*'Population Figures'!H8)*'Population Figures'!$C$7, IF(P8&lt;&gt;"", F8*(B8*'Population Figures'!H8)*'Population Figures'!$C$7, "N/A"))), "N/A")</f>
        <v>N/A</v>
      </c>
      <c r="R8" s="353" t="str">
        <f>IF('Population Figures'!I8&lt;&gt;"",IF(N8&lt;&gt;"",D8*(B8*'Population Figures'!I8)*'Population Figures'!$C$7, IF(O8&lt;&gt;"", E8*(B8*'Population Figures'!I8)*'Population Figures'!$C$7, IF(P8&lt;&gt;"", F8*(B8*'Population Figures'!I8)*'Population Figures'!$C$7, "N/A"))), "N/A")</f>
        <v>N/A</v>
      </c>
      <c r="S8" s="92">
        <f>IF(N8&lt;&gt;"",N8*'Population Figures'!$C$10,IF(O8&lt;&gt;"",O8*'Population Figures'!$C$10,IF(P8&lt;&gt;"",P8*'Population Figures'!$C$10,"Key Values")))</f>
        <v>2120.7529267200002</v>
      </c>
      <c r="T8" s="353" t="str">
        <f>IF(Q8&lt;&gt;"N/A",Q8*'Population Figures'!$C$10,"N/A")</f>
        <v>N/A</v>
      </c>
      <c r="U8" s="353" t="str">
        <f>IF(R8&lt;&gt;"N/A",R8*'Population Figures'!$C$10,"N/A")</f>
        <v>N/A</v>
      </c>
      <c r="V8" s="92">
        <f>IF(N8&lt;&gt;"",
 D8*(B8*ABS('Population Figures'!G8-'Population Figures'!J8))*'Population Figures'!$C$7*'Population Figures'!$C$11,
IF(O8&lt;&gt;"",
E8*(B8*ABS('Population Figures'!G8-'Population Figures'!J8))*'Population Figures'!$C$7*'Population Figures'!$C$11,
IF(P8&lt;&gt;"",
F8*(B8*ABS('Population Figures'!G8-'Population Figures'!J8))*'Population Figures'!$C$7*'Population Figures'!$C$11, "Key Values")))</f>
        <v>16939.514002176002</v>
      </c>
      <c r="W8" s="353" t="str">
        <f>IF('Population Figures'!H8&lt;&gt;"",
IF(N8&lt;&gt;"",D8*(B8*ABS('Population Figures'!H8-'Population Figures'!K8))*'Population Figures'!$C$7,
 IF(O8&lt;&gt;"", E8*(B8*ABS('Population Figures'!H8-'Population Figures'!K8))*'Population Figures'!$C$7,
 IF(P8&lt;&gt;"", F8*(B8*ABS('Population Figures'!H8-'Population Figures'!K8))*'Population Figures'!$C$7, "N/A"))), "N/A")</f>
        <v>N/A</v>
      </c>
      <c r="X8" s="353" t="str">
        <f>IF('Population Figures'!H8&lt;&gt;"",
IF(N8&lt;&gt;"",D8*(B8*ABS('Population Figures'!I8-'Population Figures'!L8))*'Population Figures'!$C$7,
 IF(O8&lt;&gt;"", E8*(B8*ABS('Population Figures'!I8-'Population Figures'!L8))*'Population Figures'!$C$7,
 IF(P8&lt;&gt;"", F8*(B8*ABS('Population Figures'!I8-'Population Figures'!L8))*'Population Figures'!$C$7, "N/A"))), "N/A")</f>
        <v>N/A</v>
      </c>
      <c r="Y8" s="92">
        <f>(C8-D8)*(B8*ABS('Population Figures'!G8-'Population Figures'!J8)*'Population Figures'!$C$8)</f>
        <v>75286.728898560003</v>
      </c>
      <c r="Z8" s="92">
        <f>ABS('Scenario 2 - Nut.Analysis'!C10-E8)*(B8*ABS('Population Figures'!G8-'Population Figures'!J8))*'Population Figures'!$C$8</f>
        <v>37643.364449280001</v>
      </c>
      <c r="AA8" s="92">
        <f>ABS('Scenario 2 - Nut.Analysis'!D10-F8)*(B8*ABS('Population Figures'!G8-'Population Figures'!J8)*'Population Figures'!$C$8)</f>
        <v>423487.85005439998</v>
      </c>
      <c r="AB8" s="353" t="str" cm="1">
        <f t="array" ref="AB8">IF('Population Figures'!H8&lt;&gt;"",IF(N8&lt;&gt;"",(C8-D8)*(ABS('Population Figures'!H8-'Population Figures'!K8)*B8*'Population Figures'!G8)*'Population Figures'!$C$8, IF(O8&lt;&gt;"", ABS('Scenario 2 - Nut.Analysis'!C10-E8)*(ABS('Population Figures'!H8-'Population Figures'!K8)*B8*'Population Figures'!G8)*'Population Figures'!$C$8, IF(P8&lt;&gt;"", AA*(B8*ABS('Population Figures'!H8-'Population Figures'!K8))*'Population Figures'!$C$7, "N/A"))), "N/A")</f>
        <v>N/A</v>
      </c>
      <c r="AC8" s="353" t="str" cm="1">
        <f t="array" ref="AC8">IF('Population Figures'!I8&lt;&gt;"",IF(O8&lt;&gt;"",(D8-E8)*(ABS('Population Figures'!I8-'Population Figures'!L8)*C8*'Population Figures'!H8)*'Population Figures'!$C$8, IF(P8&lt;&gt;"", ABS('Scenario 2 - Nut.Analysis'!D10-F8)*(ABS('Population Figures'!I8-'Population Figures'!L8)*C8*'Population Figures'!H8)*'Population Figures'!$C$8, IF(Q8&lt;&gt;"", AA*(C8*ABS('Population Figures'!I8-'Population Figures'!L8))*'Population Figures'!$C$7, "N/A"))), "N/A")</f>
        <v>N/A</v>
      </c>
      <c r="AD8" s="92">
        <f>Y8*'Population Figures'!$C$12</f>
        <v>52700.710228992</v>
      </c>
      <c r="AE8" s="92" cm="1">
        <f t="array" ref="AE8">IF(Y8&lt;&gt;"", 'Population Figures'!P8*Y8*'Population Figures'!$C$13,
IF(Z&lt;&gt;"", 'Population Figures'!P8*Z8*'Population Figures'!$C$13,
IF(AA &lt;&gt;"",'Population Figures'!P8*AA8*'Population Figures'!$C$13, "N/A")))</f>
        <v>2710.32224034816</v>
      </c>
      <c r="AF8" s="353" t="str">
        <f>IF('Population Figures'!Q8&lt;&gt;"",'Population Figures'!Q8*Y8*'Population Figures'!$C$13,"N/A")</f>
        <v>N/A</v>
      </c>
      <c r="AG8" s="353" t="str">
        <f>IF('Population Figures'!R8&lt;&gt;"",'Population Figures'!R8*Y8*'Population Figures'!$C$13,"N/A")</f>
        <v>N/A</v>
      </c>
      <c r="AH8" s="92">
        <f>B8*'Population Figures'!S8*'Scenario 2 - Nut.Analysis'!D10</f>
        <v>49705.146720000004</v>
      </c>
      <c r="AI8" s="92">
        <f>B8*'Population Figures'!S8</f>
        <v>207104.77800000002</v>
      </c>
      <c r="AJ8" s="92">
        <f>B8*'Population Figures'!S8*ABS('Scenario 2 - Nut.Analysis'!D10-G8)*'Population Figures'!$C$17</f>
        <v>34948.931287500003</v>
      </c>
      <c r="AK8" s="92">
        <f>B8*'Population Figures'!S8*ABS('Scenario 2 - Nut.Analysis'!D10-G8)*'Population Figures'!$C$18</f>
        <v>46598.575049999999</v>
      </c>
      <c r="AL8" s="92">
        <f>B8*'Population Figures'!U8*'Scenario 2 Contributing Fact'!F11</f>
        <v>28994.668920000007</v>
      </c>
      <c r="AM8" s="353" t="str">
        <f>IF('Population Figures'!W8&lt;&gt;"",B8*'Population Figures'!U8*'Scenario 2 Contributing Fact'!F11*'Population Figures'!W8,"N/A")</f>
        <v>N/A</v>
      </c>
      <c r="AN8" s="353" t="str">
        <f>IF('Population Figures'!V8&lt;&gt;"",B8*'Population Figures'!U8*'Scenario 2 Contributing Fact'!F11*'Population Figures'!V8,"N/A")</f>
        <v>N/A</v>
      </c>
      <c r="AO8" s="92">
        <f>B8*'Population Figures'!U8</f>
        <v>414209.55600000004</v>
      </c>
      <c r="AP8" s="92">
        <f>B8*'Population Figures'!X8*'Scenario 2 Contributing Fact'!G11</f>
        <v>35111.680346705645</v>
      </c>
      <c r="AQ8" s="353" t="str">
        <f>IF('Population Figures'!Y8&lt;&gt;"", 'Population Figures'!Y8*B8*'Population Figures'!X8*'Scenario 2 Contributing Fact'!G11,"N/A")</f>
        <v>N/A</v>
      </c>
      <c r="AR8" s="353" t="str">
        <f>IF('Population Figures'!Z8&lt;&gt;"", 'Population Figures'!Z8*B8*'Population Figures'!X8*'Scenario 2 Contributing Fact'!G11,"N/A")</f>
        <v>N/A</v>
      </c>
      <c r="AS8" s="92">
        <f>I8*'Population Figures'!U8*'Scenario 3 - Nut. Analysis'!J7</f>
        <v>66.273528960000007</v>
      </c>
      <c r="AT8" s="353" t="str">
        <f>IF('Population Figures'!AD8&lt;&gt;"",I8*'Population Figures'!W8*'Scenario 3 - Nut. Analysis'!J7,"N/A")</f>
        <v>N/A</v>
      </c>
      <c r="AU8" s="353" t="str">
        <f>IF('Population Figures'!AC8&lt;&gt;"",I8*'Population Figures'!V8*'Scenario 3 - Nut. Analysis'!J7,"N/A")</f>
        <v>N/A</v>
      </c>
      <c r="AV8" s="92">
        <f>I8*'Population Figures'!U8</f>
        <v>3313.6764480000006</v>
      </c>
      <c r="AW8" s="92">
        <f>I8*'Population Figures'!X8*'Scenario 3 - Nut. Analysis'!K7</f>
        <v>99.410293440000004</v>
      </c>
      <c r="AX8" s="353" t="str">
        <f>IF('Population Figures'!Y8&lt;&gt;"", I8*'Population Figures'!Y8*'Scenario 3 - Nut. Analysis'!K7,"N/A")</f>
        <v>N/A</v>
      </c>
      <c r="AY8" s="353" t="str">
        <f>IF('Population Figures'!Z8&lt;&gt;"", I8*'Population Figures'!Z8*'Scenario 3 - Nut. Analysis'!K7,"N/A")</f>
        <v>N/A</v>
      </c>
      <c r="AZ8" s="8"/>
      <c r="BA8" s="8"/>
      <c r="BB8" s="8"/>
      <c r="BC8" s="8"/>
      <c r="BD8" s="8"/>
      <c r="BE8" s="8"/>
      <c r="BF8" s="8"/>
      <c r="BG8" s="8"/>
      <c r="BH8" s="8"/>
      <c r="BI8" s="8"/>
      <c r="BJ8" s="8"/>
      <c r="BK8" s="8"/>
      <c r="BL8" s="8"/>
    </row>
    <row r="9" spans="1:64" s="9" customFormat="1" ht="15" x14ac:dyDescent="0.2">
      <c r="A9" s="89" t="str">
        <f>'Population Figures'!E9</f>
        <v>Bamyan</v>
      </c>
      <c r="B9" s="91">
        <f>'Population Figures'!F9</f>
        <v>1391176.98</v>
      </c>
      <c r="C9" s="253">
        <v>0.05</v>
      </c>
      <c r="D9" s="253">
        <v>0.01</v>
      </c>
      <c r="E9" s="253">
        <v>0.02</v>
      </c>
      <c r="F9" s="253">
        <v>1.4999999999999999E-2</v>
      </c>
      <c r="G9" s="253">
        <v>1.4999999999999999E-2</v>
      </c>
      <c r="H9" s="92">
        <f>B9*('Population Figures'!G9)*C9</f>
        <v>11129.415840000001</v>
      </c>
      <c r="I9" s="92">
        <f>B9*('Population Figures'!G9)*'Scenario 2 - Nut.Analysis'!B11</f>
        <v>0</v>
      </c>
      <c r="J9" s="92">
        <f>B9*('Population Figures'!G9)*'Scenario 2 - Nut.Analysis'!C11</f>
        <v>0</v>
      </c>
      <c r="K9" s="353" t="str">
        <f>IF('Population Figures'!H9&lt;&gt;"",IF(H9&lt;&gt;"",B9*('Population Figures'!H9)*C9, IF(I9&lt;&gt;"", B9*('Population Figures'!H9)*'Scenario 2 - Nut.Analysis'!B11, IF(J9&lt;&gt;"", B9*('Population Figures'!H9)*'Scenario 2 - Nut.Analysis'!C11, "N/A"))), "N/A")</f>
        <v>N/A</v>
      </c>
      <c r="L9" s="353" t="str">
        <f>IF('Population Figures'!I9&lt;&gt;"",IF(H9&lt;&gt;"",B9*('Population Figures'!I9)*C9, IF(I9&lt;&gt;"", B9*('Population Figures'!I9)*'Scenario 2 - Nut.Analysis'!B11, IF(J9&lt;&gt;"", B9*('Population Figures'!I9)*'Scenario 2 - Nut.Analysis'!C11, "N/A"))), "N/A")</f>
        <v>N/A</v>
      </c>
      <c r="M9" s="92">
        <f>B9*('Population Figures'!G9)</f>
        <v>222588.3168</v>
      </c>
      <c r="N9" s="92">
        <f>D9*(B9*'Population Figures'!G9)*'Population Figures'!$C$7</f>
        <v>7122.8261376</v>
      </c>
      <c r="O9" s="92">
        <f>E9*(B9*'Population Figures'!G9)*'Population Figures'!$C$7</f>
        <v>14245.6522752</v>
      </c>
      <c r="P9" s="92">
        <f>F9*(B9*'Population Figures'!G9)*'Population Figures'!$C$7</f>
        <v>10684.239206400001</v>
      </c>
      <c r="Q9" s="353" t="str">
        <f>IF('Population Figures'!H9&lt;&gt;"",IF(N9&lt;&gt;"",D9*(B9*'Population Figures'!H9)*'Population Figures'!$C$7, IF(O9&lt;&gt;"", E9*(B9*'Population Figures'!H9)*'Population Figures'!$C$7, IF(P9&lt;&gt;"", F9*(B9*'Population Figures'!H9)*'Population Figures'!$C$7, "N/A"))), "N/A")</f>
        <v>N/A</v>
      </c>
      <c r="R9" s="353" t="str">
        <f>IF('Population Figures'!I9&lt;&gt;"",IF(N9&lt;&gt;"",D9*(B9*'Population Figures'!I9)*'Population Figures'!$C$7, IF(O9&lt;&gt;"", E9*(B9*'Population Figures'!I9)*'Population Figures'!$C$7, IF(P9&lt;&gt;"", F9*(B9*'Population Figures'!I9)*'Population Figures'!$C$7, "N/A"))), "N/A")</f>
        <v>N/A</v>
      </c>
      <c r="S9" s="92">
        <f>IF(N9&lt;&gt;"",N9*'Population Figures'!$C$10,IF(O9&lt;&gt;"",O9*'Population Figures'!$C$10,IF(P9&lt;&gt;"",P9*'Population Figures'!$C$10,"Key Values")))</f>
        <v>712.28261376</v>
      </c>
      <c r="T9" s="353" t="str">
        <f>IF(Q9&lt;&gt;"N/A",Q9*'Population Figures'!$C$10,"N/A")</f>
        <v>N/A</v>
      </c>
      <c r="U9" s="353" t="str">
        <f>IF(R9&lt;&gt;"N/A",R9*'Population Figures'!$C$10,"N/A")</f>
        <v>N/A</v>
      </c>
      <c r="V9" s="92">
        <f>IF(N9&lt;&gt;"",
 D9*(B9*ABS('Population Figures'!G9-'Population Figures'!J9))*'Population Figures'!$C$7*'Population Figures'!$C$11,
IF(O9&lt;&gt;"",
E9*(B9*ABS('Population Figures'!G9-'Population Figures'!J9))*'Population Figures'!$C$7*'Population Figures'!$C$11,
IF(P9&lt;&gt;"",
F9*(B9*ABS('Population Figures'!G9-'Population Figures'!J9))*'Population Figures'!$C$7*'Population Figures'!$C$11, "Key Values")))</f>
        <v>5689.3573774080014</v>
      </c>
      <c r="W9" s="353" t="str">
        <f>IF('Population Figures'!H9&lt;&gt;"",
IF(N9&lt;&gt;"",D9*(B9*ABS('Population Figures'!H9-'Population Figures'!K9))*'Population Figures'!$C$7,
 IF(O9&lt;&gt;"", E9*(B9*ABS('Population Figures'!H9-'Population Figures'!K9))*'Population Figures'!$C$7,
 IF(P9&lt;&gt;"", F9*(B9*ABS('Population Figures'!H9-'Population Figures'!K9))*'Population Figures'!$C$7, "N/A"))), "N/A")</f>
        <v>N/A</v>
      </c>
      <c r="X9" s="353" t="str">
        <f>IF('Population Figures'!H9&lt;&gt;"",
IF(N9&lt;&gt;"",D9*(B9*ABS('Population Figures'!I9-'Population Figures'!L9))*'Population Figures'!$C$7,
 IF(O9&lt;&gt;"", E9*(B9*ABS('Population Figures'!I9-'Population Figures'!L9))*'Population Figures'!$C$7,
 IF(P9&lt;&gt;"", F9*(B9*ABS('Population Figures'!I9-'Population Figures'!L9))*'Population Figures'!$C$7, "N/A"))), "N/A")</f>
        <v>N/A</v>
      </c>
      <c r="Y9" s="92">
        <f>(C9-D9)*(B9*ABS('Population Figures'!G9-'Population Figures'!J9)*'Population Figures'!$C$8)</f>
        <v>25286.032788480003</v>
      </c>
      <c r="Z9" s="92">
        <f>ABS('Scenario 2 - Nut.Analysis'!C11-E9)*(B9*ABS('Population Figures'!G9-'Population Figures'!J9))*'Population Figures'!$C$8</f>
        <v>12643.016394240003</v>
      </c>
      <c r="AA9" s="92">
        <f>ABS('Scenario 2 - Nut.Analysis'!D11-F9)*(B9*ABS('Population Figures'!G9-'Population Figures'!J9)*'Population Figures'!$C$8)</f>
        <v>180162.98361792002</v>
      </c>
      <c r="AB9" s="353" t="str" cm="1">
        <f t="array" ref="AB9">IF('Population Figures'!H9&lt;&gt;"",IF(N9&lt;&gt;"",(C9-D9)*(ABS('Population Figures'!H9-'Population Figures'!K9)*B9*'Population Figures'!G9)*'Population Figures'!$C$8, IF(O9&lt;&gt;"", ABS('Scenario 2 - Nut.Analysis'!C11-E9)*(ABS('Population Figures'!H9-'Population Figures'!K9)*B9*'Population Figures'!G9)*'Population Figures'!$C$8, IF(P9&lt;&gt;"", AA*(B9*ABS('Population Figures'!H9-'Population Figures'!K9))*'Population Figures'!$C$7, "N/A"))), "N/A")</f>
        <v>N/A</v>
      </c>
      <c r="AC9" s="353" t="str" cm="1">
        <f t="array" ref="AC9">IF('Population Figures'!I9&lt;&gt;"",IF(O9&lt;&gt;"",(D9-E9)*(ABS('Population Figures'!I9-'Population Figures'!L9)*C9*'Population Figures'!H9)*'Population Figures'!$C$8, IF(P9&lt;&gt;"", ABS('Scenario 2 - Nut.Analysis'!D11-F9)*(ABS('Population Figures'!I9-'Population Figures'!L9)*C9*'Population Figures'!H9)*'Population Figures'!$C$8, IF(Q9&lt;&gt;"", AA*(C9*ABS('Population Figures'!I9-'Population Figures'!L9))*'Population Figures'!$C$7, "N/A"))), "N/A")</f>
        <v>N/A</v>
      </c>
      <c r="AD9" s="92">
        <f>Y9*'Population Figures'!$C$12</f>
        <v>17700.222951936001</v>
      </c>
      <c r="AE9" s="92" cm="1">
        <f t="array" ref="AE9">IF(Y9&lt;&gt;"", 'Population Figures'!P9*Y9*'Population Figures'!$C$13,
IF(Z&lt;&gt;"", 'Population Figures'!P9*Z9*'Population Figures'!$C$13,
IF(AA &lt;&gt;"",'Population Figures'!P9*AA9*'Population Figures'!$C$13, "N/A")))</f>
        <v>910.29718038527994</v>
      </c>
      <c r="AF9" s="353" t="str">
        <f>IF('Population Figures'!Q9&lt;&gt;"",'Population Figures'!Q9*Y9*'Population Figures'!$C$13,"N/A")</f>
        <v>N/A</v>
      </c>
      <c r="AG9" s="353" t="str">
        <f>IF('Population Figures'!R9&lt;&gt;"",'Population Figures'!R9*Y9*'Population Figures'!$C$13,"N/A")</f>
        <v>N/A</v>
      </c>
      <c r="AH9" s="92">
        <f>B9*'Population Figures'!S9*'Scenario 2 - Nut.Analysis'!D11</f>
        <v>20867.654699999999</v>
      </c>
      <c r="AI9" s="92">
        <f>B9*'Population Figures'!S9</f>
        <v>69558.849000000002</v>
      </c>
      <c r="AJ9" s="92">
        <f>B9*'Population Figures'!S9*ABS('Scenario 2 - Nut.Analysis'!D11-G9)*'Population Figures'!$C$17</f>
        <v>14868.20397375</v>
      </c>
      <c r="AK9" s="92">
        <f>B9*'Population Figures'!S9*ABS('Scenario 2 - Nut.Analysis'!D11-G9)*'Population Figures'!$C$18</f>
        <v>19824.271965</v>
      </c>
      <c r="AL9" s="92">
        <f>B9*'Population Figures'!U9*'Scenario 2 Contributing Fact'!F12</f>
        <v>8347.0618799999993</v>
      </c>
      <c r="AM9" s="353" t="str">
        <f>IF('Population Figures'!W9&lt;&gt;"",B9*'Population Figures'!U9*'Scenario 2 Contributing Fact'!F12*'Population Figures'!W9,"N/A")</f>
        <v>N/A</v>
      </c>
      <c r="AN9" s="353" t="str">
        <f>IF('Population Figures'!V9&lt;&gt;"",B9*'Population Figures'!U9*'Scenario 2 Contributing Fact'!F12*'Population Figures'!V9,"N/A")</f>
        <v>N/A</v>
      </c>
      <c r="AO9" s="92">
        <f>B9*'Population Figures'!U9</f>
        <v>139117.698</v>
      </c>
      <c r="AP9" s="92">
        <f>B9*'Population Figures'!X9*'Scenario 2 Contributing Fact'!G12</f>
        <v>10393.589311967342</v>
      </c>
      <c r="AQ9" s="353" t="str">
        <f>IF('Population Figures'!Y9&lt;&gt;"", 'Population Figures'!Y9*B9*'Population Figures'!X9*'Scenario 2 Contributing Fact'!G12,"N/A")</f>
        <v>N/A</v>
      </c>
      <c r="AR9" s="353" t="str">
        <f>IF('Population Figures'!Z9&lt;&gt;"", 'Population Figures'!Z9*B9*'Population Figures'!X9*'Scenario 2 Contributing Fact'!G12,"N/A")</f>
        <v>N/A</v>
      </c>
      <c r="AS9" s="92">
        <f>I9*'Population Figures'!U9*'Scenario 3 - Nut. Analysis'!J8</f>
        <v>0</v>
      </c>
      <c r="AT9" s="353" t="str">
        <f>IF('Population Figures'!AD9&lt;&gt;"",I9*'Population Figures'!W9*'Scenario 3 - Nut. Analysis'!J8,"N/A")</f>
        <v>N/A</v>
      </c>
      <c r="AU9" s="353" t="str">
        <f>IF('Population Figures'!AC9&lt;&gt;"",I9*'Population Figures'!V9*'Scenario 3 - Nut. Analysis'!J8,"N/A")</f>
        <v>N/A</v>
      </c>
      <c r="AV9" s="92">
        <f>I9*'Population Figures'!U9</f>
        <v>0</v>
      </c>
      <c r="AW9" s="92">
        <f>I9*'Population Figures'!X9*'Scenario 3 - Nut. Analysis'!K8</f>
        <v>0</v>
      </c>
      <c r="AX9" s="353" t="str">
        <f>IF('Population Figures'!Y9&lt;&gt;"", I9*'Population Figures'!Y9*'Scenario 3 - Nut. Analysis'!K8,"N/A")</f>
        <v>N/A</v>
      </c>
      <c r="AY9" s="353" t="str">
        <f>IF('Population Figures'!Z9&lt;&gt;"", I9*'Population Figures'!Z9*'Scenario 3 - Nut. Analysis'!K8,"N/A")</f>
        <v>N/A</v>
      </c>
      <c r="AZ9" s="8"/>
      <c r="BA9" s="8"/>
      <c r="BB9" s="8"/>
      <c r="BC9" s="8"/>
      <c r="BD9" s="8"/>
      <c r="BE9" s="8"/>
      <c r="BF9" s="8"/>
      <c r="BG9" s="8"/>
      <c r="BH9" s="8"/>
      <c r="BI9" s="8"/>
      <c r="BJ9" s="8"/>
      <c r="BK9" s="8"/>
      <c r="BL9" s="8"/>
    </row>
    <row r="10" spans="1:64" s="9" customFormat="1" ht="15" x14ac:dyDescent="0.2">
      <c r="A10" s="89" t="str">
        <f>'Population Figures'!E10</f>
        <v>Dykundi</v>
      </c>
      <c r="B10" s="91">
        <f>'Population Figures'!F10</f>
        <v>1432624.68</v>
      </c>
      <c r="C10" s="253">
        <v>0.05</v>
      </c>
      <c r="D10" s="253">
        <v>0.01</v>
      </c>
      <c r="E10" s="253">
        <v>0.02</v>
      </c>
      <c r="F10" s="253">
        <v>1.4999999999999999E-2</v>
      </c>
      <c r="G10" s="253">
        <v>1.4999999999999999E-2</v>
      </c>
      <c r="H10" s="92">
        <f>B10*('Population Figures'!G10)*C10</f>
        <v>11460.997439999999</v>
      </c>
      <c r="I10" s="92">
        <f>B10*('Population Figures'!G10)*'Scenario 2 - Nut.Analysis'!B12</f>
        <v>11460.997439999999</v>
      </c>
      <c r="J10" s="92">
        <f>B10*('Population Figures'!G10)*'Scenario 2 - Nut.Analysis'!C12</f>
        <v>0</v>
      </c>
      <c r="K10" s="353" t="str">
        <f>IF('Population Figures'!H10&lt;&gt;"",IF(H10&lt;&gt;"",B10*('Population Figures'!H10)*C10, IF(I10&lt;&gt;"", B10*('Population Figures'!H10)*'Scenario 2 - Nut.Analysis'!B12, IF(J10&lt;&gt;"", B10*('Population Figures'!H10)*'Scenario 2 - Nut.Analysis'!C12, "N/A"))), "N/A")</f>
        <v>N/A</v>
      </c>
      <c r="L10" s="353" t="str">
        <f>IF('Population Figures'!I10&lt;&gt;"",IF(H10&lt;&gt;"",B10*('Population Figures'!I10)*C10, IF(I10&lt;&gt;"", B10*('Population Figures'!I10)*'Scenario 2 - Nut.Analysis'!B12, IF(J10&lt;&gt;"", B10*('Population Figures'!I10)*'Scenario 2 - Nut.Analysis'!C12, "N/A"))), "N/A")</f>
        <v>N/A</v>
      </c>
      <c r="M10" s="92">
        <f>B10*('Population Figures'!G10)</f>
        <v>229219.94879999998</v>
      </c>
      <c r="N10" s="92">
        <f>D10*(B10*'Population Figures'!G10)*'Population Figures'!$C$7</f>
        <v>7335.0383615999999</v>
      </c>
      <c r="O10" s="92">
        <f>E10*(B10*'Population Figures'!G10)*'Population Figures'!$C$7</f>
        <v>14670.0767232</v>
      </c>
      <c r="P10" s="92">
        <f>F10*(B10*'Population Figures'!G10)*'Population Figures'!$C$7</f>
        <v>11002.5575424</v>
      </c>
      <c r="Q10" s="353" t="str">
        <f>IF('Population Figures'!H10&lt;&gt;"",IF(N10&lt;&gt;"",D10*(B10*'Population Figures'!H10)*'Population Figures'!$C$7, IF(O10&lt;&gt;"", E10*(B10*'Population Figures'!H10)*'Population Figures'!$C$7, IF(P10&lt;&gt;"", F10*(B10*'Population Figures'!H10)*'Population Figures'!$C$7, "N/A"))), "N/A")</f>
        <v>N/A</v>
      </c>
      <c r="R10" s="353" t="str">
        <f>IF('Population Figures'!I10&lt;&gt;"",IF(N10&lt;&gt;"",D10*(B10*'Population Figures'!I10)*'Population Figures'!$C$7, IF(O10&lt;&gt;"", E10*(B10*'Population Figures'!I10)*'Population Figures'!$C$7, IF(P10&lt;&gt;"", F10*(B10*'Population Figures'!I10)*'Population Figures'!$C$7, "N/A"))), "N/A")</f>
        <v>N/A</v>
      </c>
      <c r="S10" s="92">
        <f>IF(N10&lt;&gt;"",N10*'Population Figures'!$C$10,IF(O10&lt;&gt;"",O10*'Population Figures'!$C$10,IF(P10&lt;&gt;"",P10*'Population Figures'!$C$10,"Key Values")))</f>
        <v>733.50383615999999</v>
      </c>
      <c r="T10" s="353" t="str">
        <f>IF(Q10&lt;&gt;"N/A",Q10*'Population Figures'!$C$10,"N/A")</f>
        <v>N/A</v>
      </c>
      <c r="U10" s="353" t="str">
        <f>IF(R10&lt;&gt;"N/A",R10*'Population Figures'!$C$10,"N/A")</f>
        <v>N/A</v>
      </c>
      <c r="V10" s="92">
        <f>IF(N10&lt;&gt;"",
 D10*(B10*ABS('Population Figures'!G10-'Population Figures'!J10))*'Population Figures'!$C$7*'Population Figures'!$C$11,
IF(O10&lt;&gt;"",
E10*(B10*ABS('Population Figures'!G10-'Population Figures'!J10))*'Population Figures'!$C$7*'Population Figures'!$C$11,
IF(P10&lt;&gt;"",
F10*(B10*ABS('Population Figures'!G10-'Population Figures'!J10))*'Population Figures'!$C$7*'Population Figures'!$C$11, "Key Values")))</f>
        <v>5858.8618913280015</v>
      </c>
      <c r="W10" s="353" t="str">
        <f>IF('Population Figures'!H10&lt;&gt;"",
IF(N10&lt;&gt;"",D10*(B10*ABS('Population Figures'!H10-'Population Figures'!K10))*'Population Figures'!$C$7,
 IF(O10&lt;&gt;"", E10*(B10*ABS('Population Figures'!H10-'Population Figures'!K10))*'Population Figures'!$C$7,
 IF(P10&lt;&gt;"", F10*(B10*ABS('Population Figures'!H10-'Population Figures'!K10))*'Population Figures'!$C$7, "N/A"))), "N/A")</f>
        <v>N/A</v>
      </c>
      <c r="X10" s="353" t="str">
        <f>IF('Population Figures'!H10&lt;&gt;"",
IF(N10&lt;&gt;"",D10*(B10*ABS('Population Figures'!I10-'Population Figures'!L10))*'Population Figures'!$C$7,
 IF(O10&lt;&gt;"", E10*(B10*ABS('Population Figures'!I10-'Population Figures'!L10))*'Population Figures'!$C$7,
 IF(P10&lt;&gt;"", F10*(B10*ABS('Population Figures'!I10-'Population Figures'!L10))*'Population Figures'!$C$7, "N/A"))), "N/A")</f>
        <v>N/A</v>
      </c>
      <c r="Y10" s="92">
        <f>(C10-D10)*(B10*ABS('Population Figures'!G10-'Population Figures'!J10)*'Population Figures'!$C$8)</f>
        <v>26039.386183680002</v>
      </c>
      <c r="Z10" s="92">
        <f>ABS('Scenario 2 - Nut.Analysis'!C12-E10)*(B10*ABS('Population Figures'!G10-'Population Figures'!J10))*'Population Figures'!$C$8</f>
        <v>13019.693091840003</v>
      </c>
      <c r="AA10" s="92">
        <f>ABS('Scenario 2 - Nut.Analysis'!D12-F10)*(B10*ABS('Population Figures'!G10-'Population Figures'!J10)*'Population Figures'!$C$8)</f>
        <v>9764.7698188800005</v>
      </c>
      <c r="AB10" s="353" t="str" cm="1">
        <f t="array" ref="AB10">IF('Population Figures'!H10&lt;&gt;"",IF(N10&lt;&gt;"",(C10-D10)*(ABS('Population Figures'!H10-'Population Figures'!K10)*B10*'Population Figures'!G10)*'Population Figures'!$C$8, IF(O10&lt;&gt;"", ABS('Scenario 2 - Nut.Analysis'!C12-E10)*(ABS('Population Figures'!H10-'Population Figures'!K10)*B10*'Population Figures'!G10)*'Population Figures'!$C$8, IF(P10&lt;&gt;"", AA*(B10*ABS('Population Figures'!H10-'Population Figures'!K10))*'Population Figures'!$C$7, "N/A"))), "N/A")</f>
        <v>N/A</v>
      </c>
      <c r="AC10" s="353" t="str" cm="1">
        <f t="array" ref="AC10">IF('Population Figures'!I10&lt;&gt;"",IF(O10&lt;&gt;"",(D10-E10)*(ABS('Population Figures'!I10-'Population Figures'!L10)*C10*'Population Figures'!H10)*'Population Figures'!$C$8, IF(P10&lt;&gt;"", ABS('Scenario 2 - Nut.Analysis'!D12-F10)*(ABS('Population Figures'!I10-'Population Figures'!L10)*C10*'Population Figures'!H10)*'Population Figures'!$C$8, IF(Q10&lt;&gt;"", AA*(C10*ABS('Population Figures'!I10-'Population Figures'!L10))*'Population Figures'!$C$7, "N/A"))), "N/A")</f>
        <v>N/A</v>
      </c>
      <c r="AD10" s="92">
        <f>Y10*'Population Figures'!$C$12</f>
        <v>18227.570328575999</v>
      </c>
      <c r="AE10" s="92" cm="1">
        <f t="array" ref="AE10">IF(Y10&lt;&gt;"", 'Population Figures'!P10*Y10*'Population Figures'!$C$13,
IF(Z&lt;&gt;"", 'Population Figures'!P10*Z10*'Population Figures'!$C$13,
IF(AA &lt;&gt;"",'Population Figures'!P10*AA10*'Population Figures'!$C$13, "N/A")))</f>
        <v>937.41790261248002</v>
      </c>
      <c r="AF10" s="353" t="str">
        <f>IF('Population Figures'!Q10&lt;&gt;"",'Population Figures'!Q10*Y10*'Population Figures'!$C$13,"N/A")</f>
        <v>N/A</v>
      </c>
      <c r="AG10" s="353" t="str">
        <f>IF('Population Figures'!R10&lt;&gt;"",'Population Figures'!R10*Y10*'Population Figures'!$C$13,"N/A")</f>
        <v>N/A</v>
      </c>
      <c r="AH10" s="92">
        <f>B10*'Population Figures'!S10*'Scenario 2 - Nut.Analysis'!D12</f>
        <v>0</v>
      </c>
      <c r="AI10" s="92">
        <f>B10*'Population Figures'!S10</f>
        <v>71631.233999999997</v>
      </c>
      <c r="AJ10" s="92">
        <f>B10*'Population Figures'!S10*ABS('Scenario 2 - Nut.Analysis'!D12-G10)*'Population Figures'!$C$17</f>
        <v>805.8513825</v>
      </c>
      <c r="AK10" s="92">
        <f>B10*'Population Figures'!S10*ABS('Scenario 2 - Nut.Analysis'!D12-G10)*'Population Figures'!$C$18</f>
        <v>1074.4685099999999</v>
      </c>
      <c r="AL10" s="92">
        <f>B10*'Population Figures'!U10*'Scenario 2 Contributing Fact'!F13</f>
        <v>7163.1234000000004</v>
      </c>
      <c r="AM10" s="353" t="str">
        <f>IF('Population Figures'!W10&lt;&gt;"",B10*'Population Figures'!U10*'Scenario 2 Contributing Fact'!F13*'Population Figures'!W10,"N/A")</f>
        <v>N/A</v>
      </c>
      <c r="AN10" s="353" t="str">
        <f>IF('Population Figures'!V10&lt;&gt;"",B10*'Population Figures'!U10*'Scenario 2 Contributing Fact'!F13*'Population Figures'!V10,"N/A")</f>
        <v>N/A</v>
      </c>
      <c r="AO10" s="92">
        <f>B10*'Population Figures'!U10</f>
        <v>143262.46799999999</v>
      </c>
      <c r="AP10" s="92">
        <f>B10*'Population Figures'!X10*'Scenario 2 Contributing Fact'!G13</f>
        <v>11348.685655890438</v>
      </c>
      <c r="AQ10" s="353" t="str">
        <f>IF('Population Figures'!Y10&lt;&gt;"", 'Population Figures'!Y10*B10*'Population Figures'!X10*'Scenario 2 Contributing Fact'!G13,"N/A")</f>
        <v>N/A</v>
      </c>
      <c r="AR10" s="353" t="str">
        <f>IF('Population Figures'!Z10&lt;&gt;"", 'Population Figures'!Z10*B10*'Population Figures'!X10*'Scenario 2 Contributing Fact'!G13,"N/A")</f>
        <v>N/A</v>
      </c>
      <c r="AS10" s="92">
        <f>I10*'Population Figures'!U10*'Scenario 3 - Nut. Analysis'!J9</f>
        <v>60.526323498082334</v>
      </c>
      <c r="AT10" s="353" t="str">
        <f>IF('Population Figures'!AD10&lt;&gt;"",I10*'Population Figures'!W10*'Scenario 3 - Nut. Analysis'!J9,"N/A")</f>
        <v>N/A</v>
      </c>
      <c r="AU10" s="353" t="str">
        <f>IF('Population Figures'!AC10&lt;&gt;"",I10*'Population Figures'!V10*'Scenario 3 - Nut. Analysis'!J9,"N/A")</f>
        <v>N/A</v>
      </c>
      <c r="AV10" s="92">
        <f>I10*'Population Figures'!U10</f>
        <v>1146.0997439999999</v>
      </c>
      <c r="AW10" s="92">
        <f>I10*'Population Figures'!X10*'Scenario 3 - Nut. Analysis'!K9</f>
        <v>90.789485247123508</v>
      </c>
      <c r="AX10" s="353" t="str">
        <f>IF('Population Figures'!Y10&lt;&gt;"", I10*'Population Figures'!Y10*'Scenario 3 - Nut. Analysis'!K9,"N/A")</f>
        <v>N/A</v>
      </c>
      <c r="AY10" s="353" t="str">
        <f>IF('Population Figures'!Z10&lt;&gt;"", I10*'Population Figures'!Z10*'Scenario 3 - Nut. Analysis'!K9,"N/A")</f>
        <v>N/A</v>
      </c>
      <c r="AZ10" s="8"/>
      <c r="BA10" s="8"/>
      <c r="BB10" s="8"/>
      <c r="BC10" s="8"/>
      <c r="BD10" s="8"/>
      <c r="BE10" s="8"/>
      <c r="BF10" s="8"/>
      <c r="BG10" s="8"/>
      <c r="BH10" s="8"/>
      <c r="BI10" s="8"/>
      <c r="BJ10" s="8"/>
      <c r="BK10" s="8"/>
      <c r="BL10" s="8"/>
    </row>
    <row r="11" spans="1:64" s="9" customFormat="1" ht="15" x14ac:dyDescent="0.2">
      <c r="A11" s="89" t="str">
        <f>'Population Figures'!E11</f>
        <v>Farah</v>
      </c>
      <c r="B11" s="91">
        <f>'Population Figures'!F11</f>
        <v>1578877.38</v>
      </c>
      <c r="C11" s="253">
        <v>0.05</v>
      </c>
      <c r="D11" s="253">
        <v>0.01</v>
      </c>
      <c r="E11" s="253">
        <v>0.02</v>
      </c>
      <c r="F11" s="253">
        <v>1.4999999999999999E-2</v>
      </c>
      <c r="G11" s="253">
        <v>1.4999999999999999E-2</v>
      </c>
      <c r="H11" s="92">
        <f>B11*('Population Figures'!G11)*C11</f>
        <v>12631.019039999999</v>
      </c>
      <c r="I11" s="92">
        <f>B11*('Population Figures'!G11)*'Scenario 2 - Nut.Analysis'!B13</f>
        <v>12631.019039999999</v>
      </c>
      <c r="J11" s="92">
        <f>B11*('Population Figures'!G11)*'Scenario 2 - Nut.Analysis'!C13</f>
        <v>0</v>
      </c>
      <c r="K11" s="353" t="str">
        <f>IF('Population Figures'!H11&lt;&gt;"",IF(H11&lt;&gt;"",B11*('Population Figures'!H11)*C11, IF(I11&lt;&gt;"", B11*('Population Figures'!H11)*'Scenario 2 - Nut.Analysis'!B13, IF(J11&lt;&gt;"", B11*('Population Figures'!H11)*'Scenario 2 - Nut.Analysis'!C13, "N/A"))), "N/A")</f>
        <v>N/A</v>
      </c>
      <c r="L11" s="353" t="str">
        <f>IF('Population Figures'!I11&lt;&gt;"",IF(H11&lt;&gt;"",B11*('Population Figures'!I11)*C11, IF(I11&lt;&gt;"", B11*('Population Figures'!I11)*'Scenario 2 - Nut.Analysis'!B13, IF(J11&lt;&gt;"", B11*('Population Figures'!I11)*'Scenario 2 - Nut.Analysis'!C13, "N/A"))), "N/A")</f>
        <v>N/A</v>
      </c>
      <c r="M11" s="92">
        <f>B11*('Population Figures'!G11)</f>
        <v>252620.38079999998</v>
      </c>
      <c r="N11" s="92">
        <f>D11*(B11*'Population Figures'!G11)*'Population Figures'!$C$7</f>
        <v>8083.8521855999998</v>
      </c>
      <c r="O11" s="92">
        <f>E11*(B11*'Population Figures'!G11)*'Population Figures'!$C$7</f>
        <v>16167.7043712</v>
      </c>
      <c r="P11" s="92">
        <f>F11*(B11*'Population Figures'!G11)*'Population Figures'!$C$7</f>
        <v>12125.778278399999</v>
      </c>
      <c r="Q11" s="353" t="str">
        <f>IF('Population Figures'!H11&lt;&gt;"",IF(N11&lt;&gt;"",D11*(B11*'Population Figures'!H11)*'Population Figures'!$C$7, IF(O11&lt;&gt;"", E11*(B11*'Population Figures'!H11)*'Population Figures'!$C$7, IF(P11&lt;&gt;"", F11*(B11*'Population Figures'!H11)*'Population Figures'!$C$7, "N/A"))), "N/A")</f>
        <v>N/A</v>
      </c>
      <c r="R11" s="353" t="str">
        <f>IF('Population Figures'!I11&lt;&gt;"",IF(N11&lt;&gt;"",D11*(B11*'Population Figures'!I11)*'Population Figures'!$C$7, IF(O11&lt;&gt;"", E11*(B11*'Population Figures'!I11)*'Population Figures'!$C$7, IF(P11&lt;&gt;"", F11*(B11*'Population Figures'!I11)*'Population Figures'!$C$7, "N/A"))), "N/A")</f>
        <v>N/A</v>
      </c>
      <c r="S11" s="92">
        <f>IF(N11&lt;&gt;"",N11*'Population Figures'!$C$10,IF(O11&lt;&gt;"",O11*'Population Figures'!$C$10,IF(P11&lt;&gt;"",P11*'Population Figures'!$C$10,"Key Values")))</f>
        <v>808.38521856</v>
      </c>
      <c r="T11" s="353" t="str">
        <f>IF(Q11&lt;&gt;"N/A",Q11*'Population Figures'!$C$10,"N/A")</f>
        <v>N/A</v>
      </c>
      <c r="U11" s="353" t="str">
        <f>IF(R11&lt;&gt;"N/A",R11*'Population Figures'!$C$10,"N/A")</f>
        <v>N/A</v>
      </c>
      <c r="V11" s="92">
        <f>IF(N11&lt;&gt;"",
 D11*(B11*ABS('Population Figures'!G11-'Population Figures'!J11))*'Population Figures'!$C$7*'Population Figures'!$C$11,
IF(O11&lt;&gt;"",
E11*(B11*ABS('Population Figures'!G11-'Population Figures'!J11))*'Population Figures'!$C$7*'Population Figures'!$C$11,
IF(P11&lt;&gt;"",
F11*(B11*ABS('Population Figures'!G11-'Population Figures'!J11))*'Population Figures'!$C$7*'Population Figures'!$C$11, "Key Values")))</f>
        <v>6456.9769332480009</v>
      </c>
      <c r="W11" s="353" t="str">
        <f>IF('Population Figures'!H11&lt;&gt;"",
IF(N11&lt;&gt;"",D11*(B11*ABS('Population Figures'!H11-'Population Figures'!K11))*'Population Figures'!$C$7,
 IF(O11&lt;&gt;"", E11*(B11*ABS('Population Figures'!H11-'Population Figures'!K11))*'Population Figures'!$C$7,
 IF(P11&lt;&gt;"", F11*(B11*ABS('Population Figures'!H11-'Population Figures'!K11))*'Population Figures'!$C$7, "N/A"))), "N/A")</f>
        <v>N/A</v>
      </c>
      <c r="X11" s="353" t="str">
        <f>IF('Population Figures'!H11&lt;&gt;"",
IF(N11&lt;&gt;"",D11*(B11*ABS('Population Figures'!I11-'Population Figures'!L11))*'Population Figures'!$C$7,
 IF(O11&lt;&gt;"", E11*(B11*ABS('Population Figures'!I11-'Population Figures'!L11))*'Population Figures'!$C$7,
 IF(P11&lt;&gt;"", F11*(B11*ABS('Population Figures'!I11-'Population Figures'!L11))*'Population Figures'!$C$7, "N/A"))), "N/A")</f>
        <v>N/A</v>
      </c>
      <c r="Y11" s="92">
        <f>(C11-D11)*(B11*ABS('Population Figures'!G11-'Population Figures'!J11)*'Population Figures'!$C$8)</f>
        <v>28697.675258880001</v>
      </c>
      <c r="Z11" s="92">
        <f>ABS('Scenario 2 - Nut.Analysis'!C13-E11)*(B11*ABS('Population Figures'!G11-'Population Figures'!J11))*'Population Figures'!$C$8</f>
        <v>14348.837629440002</v>
      </c>
      <c r="AA11" s="92">
        <f>ABS('Scenario 2 - Nut.Analysis'!D13-F11)*(B11*ABS('Population Figures'!G11-'Population Figures'!J11)*'Population Figures'!$C$8)</f>
        <v>10761.62822208</v>
      </c>
      <c r="AB11" s="353" t="str" cm="1">
        <f t="array" ref="AB11">IF('Population Figures'!H11&lt;&gt;"",IF(N11&lt;&gt;"",(C11-D11)*(ABS('Population Figures'!H11-'Population Figures'!K11)*B11*'Population Figures'!G11)*'Population Figures'!$C$8, IF(O11&lt;&gt;"", ABS('Scenario 2 - Nut.Analysis'!C13-E11)*(ABS('Population Figures'!H11-'Population Figures'!K11)*B11*'Population Figures'!G11)*'Population Figures'!$C$8, IF(P11&lt;&gt;"", AA*(B11*ABS('Population Figures'!H11-'Population Figures'!K11))*'Population Figures'!$C$7, "N/A"))), "N/A")</f>
        <v>N/A</v>
      </c>
      <c r="AC11" s="353" t="str" cm="1">
        <f t="array" ref="AC11">IF('Population Figures'!I11&lt;&gt;"",IF(O11&lt;&gt;"",(D11-E11)*(ABS('Population Figures'!I11-'Population Figures'!L11)*C11*'Population Figures'!H11)*'Population Figures'!$C$8, IF(P11&lt;&gt;"", ABS('Scenario 2 - Nut.Analysis'!D13-F11)*(ABS('Population Figures'!I11-'Population Figures'!L11)*C11*'Population Figures'!H11)*'Population Figures'!$C$8, IF(Q11&lt;&gt;"", AA*(C11*ABS('Population Figures'!I11-'Population Figures'!L11))*'Population Figures'!$C$7, "N/A"))), "N/A")</f>
        <v>N/A</v>
      </c>
      <c r="AD11" s="92">
        <f>Y11*'Population Figures'!$C$12</f>
        <v>20088.372681215998</v>
      </c>
      <c r="AE11" s="92" cm="1">
        <f t="array" ref="AE11">IF(Y11&lt;&gt;"", 'Population Figures'!P11*Y11*'Population Figures'!$C$13,
IF(Z&lt;&gt;"", 'Population Figures'!P11*Z11*'Population Figures'!$C$13,
IF(AA &lt;&gt;"",'Population Figures'!P11*AA11*'Population Figures'!$C$13, "N/A")))</f>
        <v>1033.1163093196799</v>
      </c>
      <c r="AF11" s="353" t="str">
        <f>IF('Population Figures'!Q11&lt;&gt;"",'Population Figures'!Q11*Y11*'Population Figures'!$C$13,"N/A")</f>
        <v>N/A</v>
      </c>
      <c r="AG11" s="353" t="str">
        <f>IF('Population Figures'!R11&lt;&gt;"",'Population Figures'!R11*Y11*'Population Figures'!$C$13,"N/A")</f>
        <v>N/A</v>
      </c>
      <c r="AH11" s="92">
        <f>B11*'Population Figures'!S11*'Scenario 2 - Nut.Analysis'!D13</f>
        <v>0</v>
      </c>
      <c r="AI11" s="92">
        <f>B11*'Population Figures'!S11</f>
        <v>78943.869000000006</v>
      </c>
      <c r="AJ11" s="92">
        <f>B11*'Population Figures'!S11*ABS('Scenario 2 - Nut.Analysis'!D13-G11)*'Population Figures'!$C$17</f>
        <v>888.11852625000006</v>
      </c>
      <c r="AK11" s="92">
        <f>B11*'Population Figures'!S11*ABS('Scenario 2 - Nut.Analysis'!D13-G11)*'Population Figures'!$C$18</f>
        <v>1184.1580350000002</v>
      </c>
      <c r="AL11" s="92">
        <f>B11*'Population Figures'!U11*'Scenario 2 Contributing Fact'!F14</f>
        <v>6315.5095200000005</v>
      </c>
      <c r="AM11" s="353" t="str">
        <f>IF('Population Figures'!W11&lt;&gt;"",B11*'Population Figures'!U11*'Scenario 2 Contributing Fact'!F14*'Population Figures'!W11,"N/A")</f>
        <v>N/A</v>
      </c>
      <c r="AN11" s="353" t="str">
        <f>IF('Population Figures'!V11&lt;&gt;"",B11*'Population Figures'!U11*'Scenario 2 Contributing Fact'!F14*'Population Figures'!V11,"N/A")</f>
        <v>N/A</v>
      </c>
      <c r="AO11" s="92">
        <f>B11*'Population Figures'!U11</f>
        <v>157887.73800000001</v>
      </c>
      <c r="AP11" s="92">
        <f>B11*'Population Figures'!X11*'Scenario 2 Contributing Fact'!G14</f>
        <v>9337.672751971817</v>
      </c>
      <c r="AQ11" s="353" t="str">
        <f>IF('Population Figures'!Y11&lt;&gt;"", 'Population Figures'!Y11*B11*'Population Figures'!X11*'Scenario 2 Contributing Fact'!G14,"N/A")</f>
        <v>N/A</v>
      </c>
      <c r="AR11" s="353" t="str">
        <f>IF('Population Figures'!Z11&lt;&gt;"", 'Population Figures'!Z11*B11*'Population Figures'!X11*'Scenario 2 Contributing Fact'!G14,"N/A")</f>
        <v>N/A</v>
      </c>
      <c r="AS11" s="92">
        <f>I11*'Population Figures'!U11*'Scenario 3 - Nut. Analysis'!J10</f>
        <v>25.262038080000004</v>
      </c>
      <c r="AT11" s="353" t="str">
        <f>IF('Population Figures'!AD11&lt;&gt;"",I11*'Population Figures'!W11*'Scenario 3 - Nut. Analysis'!J10,"N/A")</f>
        <v>N/A</v>
      </c>
      <c r="AU11" s="353" t="str">
        <f>IF('Population Figures'!AC11&lt;&gt;"",I11*'Population Figures'!V11*'Scenario 3 - Nut. Analysis'!J10,"N/A")</f>
        <v>N/A</v>
      </c>
      <c r="AV11" s="92">
        <f>I11*'Population Figures'!U11</f>
        <v>1263.1019040000001</v>
      </c>
      <c r="AW11" s="92">
        <f>I11*'Population Figures'!X11*'Scenario 3 - Nut. Analysis'!K10</f>
        <v>568.39585679999993</v>
      </c>
      <c r="AX11" s="353" t="str">
        <f>IF('Population Figures'!Y11&lt;&gt;"", I11*'Population Figures'!Y11*'Scenario 3 - Nut. Analysis'!K10,"N/A")</f>
        <v>N/A</v>
      </c>
      <c r="AY11" s="353" t="str">
        <f>IF('Population Figures'!Z11&lt;&gt;"", I11*'Population Figures'!Z11*'Scenario 3 - Nut. Analysis'!K10,"N/A")</f>
        <v>N/A</v>
      </c>
      <c r="AZ11" s="8"/>
      <c r="BA11" s="8"/>
      <c r="BB11" s="8"/>
      <c r="BC11" s="8"/>
      <c r="BD11" s="8"/>
      <c r="BE11" s="8"/>
      <c r="BF11" s="8"/>
      <c r="BG11" s="8"/>
      <c r="BH11" s="8"/>
      <c r="BI11" s="8"/>
      <c r="BJ11" s="8"/>
      <c r="BK11" s="8"/>
      <c r="BL11" s="8"/>
    </row>
    <row r="12" spans="1:64" s="9" customFormat="1" ht="15" x14ac:dyDescent="0.2">
      <c r="A12" s="89" t="str">
        <f>'Population Figures'!E12</f>
        <v>Faryab</v>
      </c>
      <c r="B12" s="91">
        <f>'Population Figures'!F12</f>
        <v>3106925.1</v>
      </c>
      <c r="C12" s="253">
        <v>0.05</v>
      </c>
      <c r="D12" s="253">
        <v>0.01</v>
      </c>
      <c r="E12" s="253">
        <v>0.02</v>
      </c>
      <c r="F12" s="253">
        <v>1.4999999999999999E-2</v>
      </c>
      <c r="G12" s="253">
        <v>1.4999999999999999E-2</v>
      </c>
      <c r="H12" s="92">
        <f>B12*('Population Figures'!G12)*C12</f>
        <v>24855.400800000003</v>
      </c>
      <c r="I12" s="92">
        <f>B12*('Population Figures'!G12)*'Scenario 2 - Nut.Analysis'!B14</f>
        <v>0</v>
      </c>
      <c r="J12" s="92">
        <f>B12*('Population Figures'!G12)*'Scenario 2 - Nut.Analysis'!C14</f>
        <v>69595.122240000012</v>
      </c>
      <c r="K12" s="353" t="str">
        <f>IF('Population Figures'!H12&lt;&gt;"",IF(H12&lt;&gt;"",B12*('Population Figures'!H12)*C12, IF(I12&lt;&gt;"", B12*('Population Figures'!H12)*'Scenario 2 - Nut.Analysis'!B14, IF(J12&lt;&gt;"", B12*('Population Figures'!H12)*'Scenario 2 - Nut.Analysis'!C14, "N/A"))), "N/A")</f>
        <v>N/A</v>
      </c>
      <c r="L12" s="353" t="str">
        <f>IF('Population Figures'!I12&lt;&gt;"",IF(H12&lt;&gt;"",B12*('Population Figures'!I12)*C12, IF(I12&lt;&gt;"", B12*('Population Figures'!I12)*'Scenario 2 - Nut.Analysis'!B14, IF(J12&lt;&gt;"", B12*('Population Figures'!I12)*'Scenario 2 - Nut.Analysis'!C14, "N/A"))), "N/A")</f>
        <v>N/A</v>
      </c>
      <c r="M12" s="92">
        <f>B12*('Population Figures'!G12)</f>
        <v>497108.016</v>
      </c>
      <c r="N12" s="92">
        <f>D12*(B12*'Population Figures'!G12)*'Population Figures'!$C$7</f>
        <v>15907.456512000002</v>
      </c>
      <c r="O12" s="92">
        <f>E12*(B12*'Population Figures'!G12)*'Population Figures'!$C$7</f>
        <v>31814.913024000005</v>
      </c>
      <c r="P12" s="92">
        <f>F12*(B12*'Population Figures'!G12)*'Population Figures'!$C$7</f>
        <v>23861.184768000003</v>
      </c>
      <c r="Q12" s="353" t="str">
        <f>IF('Population Figures'!H12&lt;&gt;"",IF(N12&lt;&gt;"",D12*(B12*'Population Figures'!H12)*'Population Figures'!$C$7, IF(O12&lt;&gt;"", E12*(B12*'Population Figures'!H12)*'Population Figures'!$C$7, IF(P12&lt;&gt;"", F12*(B12*'Population Figures'!H12)*'Population Figures'!$C$7, "N/A"))), "N/A")</f>
        <v>N/A</v>
      </c>
      <c r="R12" s="353" t="str">
        <f>IF('Population Figures'!I12&lt;&gt;"",IF(N12&lt;&gt;"",D12*(B12*'Population Figures'!I12)*'Population Figures'!$C$7, IF(O12&lt;&gt;"", E12*(B12*'Population Figures'!I12)*'Population Figures'!$C$7, IF(P12&lt;&gt;"", F12*(B12*'Population Figures'!I12)*'Population Figures'!$C$7, "N/A"))), "N/A")</f>
        <v>N/A</v>
      </c>
      <c r="S12" s="92">
        <f>IF(N12&lt;&gt;"",N12*'Population Figures'!$C$10,IF(O12&lt;&gt;"",O12*'Population Figures'!$C$10,IF(P12&lt;&gt;"",P12*'Population Figures'!$C$10,"Key Values")))</f>
        <v>1590.7456512000003</v>
      </c>
      <c r="T12" s="353" t="str">
        <f>IF(Q12&lt;&gt;"N/A",Q12*'Population Figures'!$C$10,"N/A")</f>
        <v>N/A</v>
      </c>
      <c r="U12" s="353" t="str">
        <f>IF(R12&lt;&gt;"N/A",R12*'Population Figures'!$C$10,"N/A")</f>
        <v>N/A</v>
      </c>
      <c r="V12" s="92">
        <f>IF(N12&lt;&gt;"",
 D12*(B12*ABS('Population Figures'!G12-'Population Figures'!J12))*'Population Figures'!$C$7*'Population Figures'!$C$11,
IF(O12&lt;&gt;"",
E12*(B12*ABS('Population Figures'!G12-'Population Figures'!J12))*'Population Figures'!$C$7*'Population Figures'!$C$11,
IF(P12&lt;&gt;"",
F12*(B12*ABS('Population Figures'!G12-'Population Figures'!J12))*'Population Figures'!$C$7*'Population Figures'!$C$11, "Key Values")))</f>
        <v>12706.080888960003</v>
      </c>
      <c r="W12" s="353" t="str">
        <f>IF('Population Figures'!H12&lt;&gt;"",
IF(N12&lt;&gt;"",D12*(B12*ABS('Population Figures'!H12-'Population Figures'!K12))*'Population Figures'!$C$7,
 IF(O12&lt;&gt;"", E12*(B12*ABS('Population Figures'!H12-'Population Figures'!K12))*'Population Figures'!$C$7,
 IF(P12&lt;&gt;"", F12*(B12*ABS('Population Figures'!H12-'Population Figures'!K12))*'Population Figures'!$C$7, "N/A"))), "N/A")</f>
        <v>N/A</v>
      </c>
      <c r="X12" s="353" t="str">
        <f>IF('Population Figures'!H12&lt;&gt;"",
IF(N12&lt;&gt;"",D12*(B12*ABS('Population Figures'!I12-'Population Figures'!L12))*'Population Figures'!$C$7,
 IF(O12&lt;&gt;"", E12*(B12*ABS('Population Figures'!I12-'Population Figures'!L12))*'Population Figures'!$C$7,
 IF(P12&lt;&gt;"", F12*(B12*ABS('Population Figures'!I12-'Population Figures'!L12))*'Population Figures'!$C$7, "N/A"))), "N/A")</f>
        <v>N/A</v>
      </c>
      <c r="Y12" s="92">
        <f>(C12-D12)*(B12*ABS('Population Figures'!G12-'Population Figures'!J12)*'Population Figures'!$C$8)</f>
        <v>56471.470617600011</v>
      </c>
      <c r="Z12" s="92">
        <f>ABS('Scenario 2 - Nut.Analysis'!C14-E12)*(B12*ABS('Population Figures'!G12-'Population Figures'!J12))*'Population Figures'!$C$8</f>
        <v>169414.41185280005</v>
      </c>
      <c r="AA12" s="92">
        <f>ABS('Scenario 2 - Nut.Analysis'!D14-F12)*(B12*ABS('Population Figures'!G12-'Population Figures'!J12)*'Population Figures'!$C$8)</f>
        <v>21176.801481600003</v>
      </c>
      <c r="AB12" s="353" t="str" cm="1">
        <f t="array" ref="AB12">IF('Population Figures'!H12&lt;&gt;"",IF(N12&lt;&gt;"",(C12-D12)*(ABS('Population Figures'!H12-'Population Figures'!K12)*B12*'Population Figures'!G12)*'Population Figures'!$C$8, IF(O12&lt;&gt;"", ABS('Scenario 2 - Nut.Analysis'!C14-E12)*(ABS('Population Figures'!H12-'Population Figures'!K12)*B12*'Population Figures'!G12)*'Population Figures'!$C$8, IF(P12&lt;&gt;"", AA*(B12*ABS('Population Figures'!H12-'Population Figures'!K12))*'Population Figures'!$C$7, "N/A"))), "N/A")</f>
        <v>N/A</v>
      </c>
      <c r="AC12" s="353" t="str" cm="1">
        <f t="array" ref="AC12">IF('Population Figures'!I12&lt;&gt;"",IF(O12&lt;&gt;"",(D12-E12)*(ABS('Population Figures'!I12-'Population Figures'!L12)*C12*'Population Figures'!H12)*'Population Figures'!$C$8, IF(P12&lt;&gt;"", ABS('Scenario 2 - Nut.Analysis'!D14-F12)*(ABS('Population Figures'!I12-'Population Figures'!L12)*C12*'Population Figures'!H12)*'Population Figures'!$C$8, IF(Q12&lt;&gt;"", AA*(C12*ABS('Population Figures'!I12-'Population Figures'!L12))*'Population Figures'!$C$7, "N/A"))), "N/A")</f>
        <v>N/A</v>
      </c>
      <c r="AD12" s="92">
        <f>Y12*'Population Figures'!$C$12</f>
        <v>39530.029432320007</v>
      </c>
      <c r="AE12" s="92" cm="1">
        <f t="array" ref="AE12">IF(Y12&lt;&gt;"", 'Population Figures'!P12*Y12*'Population Figures'!$C$13,
IF(Z&lt;&gt;"", 'Population Figures'!P12*Z12*'Population Figures'!$C$13,
IF(AA &lt;&gt;"",'Population Figures'!P12*AA12*'Population Figures'!$C$13, "N/A")))</f>
        <v>2032.9729422336004</v>
      </c>
      <c r="AF12" s="353" t="str">
        <f>IF('Population Figures'!Q12&lt;&gt;"",'Population Figures'!Q12*Y12*'Population Figures'!$C$13,"N/A")</f>
        <v>N/A</v>
      </c>
      <c r="AG12" s="353" t="str">
        <f>IF('Population Figures'!R12&lt;&gt;"",'Population Figures'!R12*Y12*'Population Figures'!$C$13,"N/A")</f>
        <v>N/A</v>
      </c>
      <c r="AH12" s="92">
        <f>B12*'Population Figures'!S12*'Scenario 2 - Nut.Analysis'!D14</f>
        <v>0</v>
      </c>
      <c r="AI12" s="92">
        <f>B12*'Population Figures'!S12</f>
        <v>155346.255</v>
      </c>
      <c r="AJ12" s="92">
        <f>B12*'Population Figures'!S12*ABS('Scenario 2 - Nut.Analysis'!D14-G12)*'Population Figures'!$C$17</f>
        <v>1747.6453687499998</v>
      </c>
      <c r="AK12" s="92">
        <f>B12*'Population Figures'!S12*ABS('Scenario 2 - Nut.Analysis'!D14-G12)*'Population Figures'!$C$18</f>
        <v>2330.1938249999998</v>
      </c>
      <c r="AL12" s="92">
        <f>B12*'Population Figures'!U12*'Scenario 2 Contributing Fact'!F15</f>
        <v>12427.700400000002</v>
      </c>
      <c r="AM12" s="353" t="str">
        <f>IF('Population Figures'!W12&lt;&gt;"",B12*'Population Figures'!U12*'Scenario 2 Contributing Fact'!F15*'Population Figures'!W12,"N/A")</f>
        <v>N/A</v>
      </c>
      <c r="AN12" s="353" t="str">
        <f>IF('Population Figures'!V12&lt;&gt;"",B12*'Population Figures'!U12*'Scenario 2 Contributing Fact'!F15*'Population Figures'!V12,"N/A")</f>
        <v>N/A</v>
      </c>
      <c r="AO12" s="92">
        <f>B12*'Population Figures'!U12</f>
        <v>310692.51</v>
      </c>
      <c r="AP12" s="92">
        <f>B12*'Population Figures'!X12*'Scenario 2 Contributing Fact'!G15</f>
        <v>17404.304913231197</v>
      </c>
      <c r="AQ12" s="353" t="str">
        <f>IF('Population Figures'!Y12&lt;&gt;"", 'Population Figures'!Y12*B12*'Population Figures'!X12*'Scenario 2 Contributing Fact'!G15,"N/A")</f>
        <v>N/A</v>
      </c>
      <c r="AR12" s="353" t="str">
        <f>IF('Population Figures'!Z12&lt;&gt;"", 'Population Figures'!Z12*B12*'Population Figures'!X12*'Scenario 2 Contributing Fact'!G15,"N/A")</f>
        <v>N/A</v>
      </c>
      <c r="AS12" s="92">
        <f>I12*'Population Figures'!U12*'Scenario 3 - Nut. Analysis'!J11</f>
        <v>0</v>
      </c>
      <c r="AT12" s="353" t="str">
        <f>IF('Population Figures'!AD12&lt;&gt;"",I12*'Population Figures'!W12*'Scenario 3 - Nut. Analysis'!J11,"N/A")</f>
        <v>N/A</v>
      </c>
      <c r="AU12" s="353" t="str">
        <f>IF('Population Figures'!AC12&lt;&gt;"",I12*'Population Figures'!V12*'Scenario 3 - Nut. Analysis'!J11,"N/A")</f>
        <v>N/A</v>
      </c>
      <c r="AV12" s="92">
        <f>I12*'Population Figures'!U12</f>
        <v>0</v>
      </c>
      <c r="AW12" s="92">
        <f>I12*'Population Figures'!X12*'Scenario 3 - Nut. Analysis'!K11</f>
        <v>0</v>
      </c>
      <c r="AX12" s="353" t="str">
        <f>IF('Population Figures'!Y12&lt;&gt;"", I12*'Population Figures'!Y12*'Scenario 3 - Nut. Analysis'!K11,"N/A")</f>
        <v>N/A</v>
      </c>
      <c r="AY12" s="353" t="str">
        <f>IF('Population Figures'!Z12&lt;&gt;"", I12*'Population Figures'!Z12*'Scenario 3 - Nut. Analysis'!K11,"N/A")</f>
        <v>N/A</v>
      </c>
      <c r="AZ12" s="8"/>
      <c r="BA12" s="8"/>
      <c r="BB12" s="8"/>
      <c r="BC12" s="8"/>
      <c r="BD12" s="8"/>
      <c r="BE12" s="8"/>
      <c r="BF12" s="8"/>
      <c r="BG12" s="8"/>
      <c r="BH12" s="8"/>
      <c r="BI12" s="8"/>
      <c r="BJ12" s="8"/>
      <c r="BK12" s="8"/>
      <c r="BL12" s="8"/>
    </row>
    <row r="13" spans="1:64" s="9" customFormat="1" ht="15" x14ac:dyDescent="0.2">
      <c r="A13" s="89" t="str">
        <f>'Population Figures'!E13</f>
        <v>Ghazni</v>
      </c>
      <c r="B13" s="91">
        <f>'Population Figures'!F13</f>
        <v>3823090.56</v>
      </c>
      <c r="C13" s="253">
        <v>0.05</v>
      </c>
      <c r="D13" s="253">
        <v>0.01</v>
      </c>
      <c r="E13" s="253">
        <v>0.02</v>
      </c>
      <c r="F13" s="253">
        <v>1.4999999999999999E-2</v>
      </c>
      <c r="G13" s="253">
        <v>1.4999999999999999E-2</v>
      </c>
      <c r="H13" s="92">
        <f>B13*('Population Figures'!G13)*C13</f>
        <v>30584.724480000001</v>
      </c>
      <c r="I13" s="92">
        <f>B13*('Population Figures'!G13)*'Scenario 2 - Nut.Analysis'!B15</f>
        <v>30584.724480000001</v>
      </c>
      <c r="J13" s="92">
        <f>B13*('Population Figures'!G13)*'Scenario 2 - Nut.Analysis'!C15</f>
        <v>0</v>
      </c>
      <c r="K13" s="353" t="str">
        <f>IF('Population Figures'!H13&lt;&gt;"",IF(H13&lt;&gt;"",B13*('Population Figures'!H13)*C13, IF(I13&lt;&gt;"", B13*('Population Figures'!H13)*'Scenario 2 - Nut.Analysis'!B15, IF(J13&lt;&gt;"", B13*('Population Figures'!H13)*'Scenario 2 - Nut.Analysis'!C15, "N/A"))), "N/A")</f>
        <v>N/A</v>
      </c>
      <c r="L13" s="353" t="str">
        <f>IF('Population Figures'!I13&lt;&gt;"",IF(H13&lt;&gt;"",B13*('Population Figures'!I13)*C13, IF(I13&lt;&gt;"", B13*('Population Figures'!I13)*'Scenario 2 - Nut.Analysis'!B15, IF(J13&lt;&gt;"", B13*('Population Figures'!I13)*'Scenario 2 - Nut.Analysis'!C15, "N/A"))), "N/A")</f>
        <v>N/A</v>
      </c>
      <c r="M13" s="92">
        <f>B13*('Population Figures'!G13)</f>
        <v>611694.48959999997</v>
      </c>
      <c r="N13" s="92">
        <f>D13*(B13*'Population Figures'!G13)*'Population Figures'!$C$7</f>
        <v>19574.2236672</v>
      </c>
      <c r="O13" s="92">
        <f>E13*(B13*'Population Figures'!G13)*'Population Figures'!$C$7</f>
        <v>39148.4473344</v>
      </c>
      <c r="P13" s="92">
        <f>F13*(B13*'Population Figures'!G13)*'Population Figures'!$C$7</f>
        <v>29361.3355008</v>
      </c>
      <c r="Q13" s="353" t="str">
        <f>IF('Population Figures'!H13&lt;&gt;"",IF(N13&lt;&gt;"",D13*(B13*'Population Figures'!H13)*'Population Figures'!$C$7, IF(O13&lt;&gt;"", E13*(B13*'Population Figures'!H13)*'Population Figures'!$C$7, IF(P13&lt;&gt;"", F13*(B13*'Population Figures'!H13)*'Population Figures'!$C$7, "N/A"))), "N/A")</f>
        <v>N/A</v>
      </c>
      <c r="R13" s="353" t="str">
        <f>IF('Population Figures'!I13&lt;&gt;"",IF(N13&lt;&gt;"",D13*(B13*'Population Figures'!I13)*'Population Figures'!$C$7, IF(O13&lt;&gt;"", E13*(B13*'Population Figures'!I13)*'Population Figures'!$C$7, IF(P13&lt;&gt;"", F13*(B13*'Population Figures'!I13)*'Population Figures'!$C$7, "N/A"))), "N/A")</f>
        <v>N/A</v>
      </c>
      <c r="S13" s="92">
        <f>IF(N13&lt;&gt;"",N13*'Population Figures'!$C$10,IF(O13&lt;&gt;"",O13*'Population Figures'!$C$10,IF(P13&lt;&gt;"",P13*'Population Figures'!$C$10,"Key Values")))</f>
        <v>1957.4223667200001</v>
      </c>
      <c r="T13" s="353" t="str">
        <f>IF(Q13&lt;&gt;"N/A",Q13*'Population Figures'!$C$10,"N/A")</f>
        <v>N/A</v>
      </c>
      <c r="U13" s="353" t="str">
        <f>IF(R13&lt;&gt;"N/A",R13*'Population Figures'!$C$10,"N/A")</f>
        <v>N/A</v>
      </c>
      <c r="V13" s="92">
        <f>IF(N13&lt;&gt;"",
 D13*(B13*ABS('Population Figures'!G13-'Population Figures'!J13))*'Population Figures'!$C$7*'Population Figures'!$C$11,
IF(O13&lt;&gt;"",
E13*(B13*ABS('Population Figures'!G13-'Population Figures'!J13))*'Population Figures'!$C$7*'Population Figures'!$C$11,
IF(P13&lt;&gt;"",
F13*(B13*ABS('Population Figures'!G13-'Population Figures'!J13))*'Population Figures'!$C$7*'Population Figures'!$C$11, "Key Values")))</f>
        <v>15634.911154176003</v>
      </c>
      <c r="W13" s="353" t="str">
        <f>IF('Population Figures'!H13&lt;&gt;"",
IF(N13&lt;&gt;"",D13*(B13*ABS('Population Figures'!H13-'Population Figures'!K13))*'Population Figures'!$C$7,
 IF(O13&lt;&gt;"", E13*(B13*ABS('Population Figures'!H13-'Population Figures'!K13))*'Population Figures'!$C$7,
 IF(P13&lt;&gt;"", F13*(B13*ABS('Population Figures'!H13-'Population Figures'!K13))*'Population Figures'!$C$7, "N/A"))), "N/A")</f>
        <v>N/A</v>
      </c>
      <c r="X13" s="353" t="str">
        <f>IF('Population Figures'!H13&lt;&gt;"",
IF(N13&lt;&gt;"",D13*(B13*ABS('Population Figures'!I13-'Population Figures'!L13))*'Population Figures'!$C$7,
 IF(O13&lt;&gt;"", E13*(B13*ABS('Population Figures'!I13-'Population Figures'!L13))*'Population Figures'!$C$7,
 IF(P13&lt;&gt;"", F13*(B13*ABS('Population Figures'!I13-'Population Figures'!L13))*'Population Figures'!$C$7, "N/A"))), "N/A")</f>
        <v>N/A</v>
      </c>
      <c r="Y13" s="92">
        <f>(C13-D13)*(B13*ABS('Population Figures'!G13-'Population Figures'!J13)*'Population Figures'!$C$8)</f>
        <v>69488.494018560014</v>
      </c>
      <c r="Z13" s="92">
        <f>ABS('Scenario 2 - Nut.Analysis'!C15-E13)*(B13*ABS('Population Figures'!G13-'Population Figures'!J13))*'Population Figures'!$C$8</f>
        <v>34744.247009280007</v>
      </c>
      <c r="AA13" s="92">
        <f>ABS('Scenario 2 - Nut.Analysis'!D15-F13)*(B13*ABS('Population Figures'!G13-'Population Figures'!J13)*'Population Figures'!$C$8)</f>
        <v>26058.185256960005</v>
      </c>
      <c r="AB13" s="353" t="str" cm="1">
        <f t="array" ref="AB13">IF('Population Figures'!H13&lt;&gt;"",IF(N13&lt;&gt;"",(C13-D13)*(ABS('Population Figures'!H13-'Population Figures'!K13)*B13*'Population Figures'!G13)*'Population Figures'!$C$8, IF(O13&lt;&gt;"", ABS('Scenario 2 - Nut.Analysis'!C15-E13)*(ABS('Population Figures'!H13-'Population Figures'!K13)*B13*'Population Figures'!G13)*'Population Figures'!$C$8, IF(P13&lt;&gt;"", AA*(B13*ABS('Population Figures'!H13-'Population Figures'!K13))*'Population Figures'!$C$7, "N/A"))), "N/A")</f>
        <v>N/A</v>
      </c>
      <c r="AC13" s="353" t="str" cm="1">
        <f t="array" ref="AC13">IF('Population Figures'!I13&lt;&gt;"",IF(O13&lt;&gt;"",(D13-E13)*(ABS('Population Figures'!I13-'Population Figures'!L13)*C13*'Population Figures'!H13)*'Population Figures'!$C$8, IF(P13&lt;&gt;"", ABS('Scenario 2 - Nut.Analysis'!D15-F13)*(ABS('Population Figures'!I13-'Population Figures'!L13)*C13*'Population Figures'!H13)*'Population Figures'!$C$8, IF(Q13&lt;&gt;"", AA*(C13*ABS('Population Figures'!I13-'Population Figures'!L13))*'Population Figures'!$C$7, "N/A"))), "N/A")</f>
        <v>N/A</v>
      </c>
      <c r="AD13" s="92">
        <f>Y13*'Population Figures'!$C$12</f>
        <v>48641.945812992009</v>
      </c>
      <c r="AE13" s="92" cm="1">
        <f t="array" ref="AE13">IF(Y13&lt;&gt;"", 'Population Figures'!P13*Y13*'Population Figures'!$C$13,
IF(Z&lt;&gt;"", 'Population Figures'!P13*Z13*'Population Figures'!$C$13,
IF(AA &lt;&gt;"",'Population Figures'!P13*AA13*'Population Figures'!$C$13, "N/A")))</f>
        <v>2501.5857846681602</v>
      </c>
      <c r="AF13" s="353" t="str">
        <f>IF('Population Figures'!Q13&lt;&gt;"",'Population Figures'!Q13*Y13*'Population Figures'!$C$13,"N/A")</f>
        <v>N/A</v>
      </c>
      <c r="AG13" s="353" t="str">
        <f>IF('Population Figures'!R13&lt;&gt;"",'Population Figures'!R13*Y13*'Population Figures'!$C$13,"N/A")</f>
        <v>N/A</v>
      </c>
      <c r="AH13" s="92">
        <f>B13*'Population Figures'!S13*'Scenario 2 - Nut.Analysis'!D15</f>
        <v>0</v>
      </c>
      <c r="AI13" s="92">
        <f>B13*'Population Figures'!S13</f>
        <v>191154.52800000002</v>
      </c>
      <c r="AJ13" s="92">
        <f>B13*'Population Figures'!S13*ABS('Scenario 2 - Nut.Analysis'!D15-G13)*'Population Figures'!$C$17</f>
        <v>2150.4884400000001</v>
      </c>
      <c r="AK13" s="92">
        <f>B13*'Population Figures'!S13*ABS('Scenario 2 - Nut.Analysis'!D15-G13)*'Population Figures'!$C$18</f>
        <v>2867.3179200000004</v>
      </c>
      <c r="AL13" s="92">
        <f>B13*'Population Figures'!U13*'Scenario 2 Contributing Fact'!F16</f>
        <v>84107.992320000005</v>
      </c>
      <c r="AM13" s="353" t="str">
        <f>IF('Population Figures'!W13&lt;&gt;"",B13*'Population Figures'!U13*'Scenario 2 Contributing Fact'!F16*'Population Figures'!W13,"N/A")</f>
        <v>N/A</v>
      </c>
      <c r="AN13" s="353" t="str">
        <f>IF('Population Figures'!V13&lt;&gt;"",B13*'Population Figures'!U13*'Scenario 2 Contributing Fact'!F16*'Population Figures'!V13,"N/A")</f>
        <v>N/A</v>
      </c>
      <c r="AO13" s="92">
        <f>B13*'Population Figures'!U13</f>
        <v>382309.05600000004</v>
      </c>
      <c r="AP13" s="92">
        <f>B13*'Population Figures'!X13*'Scenario 2 Contributing Fact'!G16</f>
        <v>112398.86246400001</v>
      </c>
      <c r="AQ13" s="353" t="str">
        <f>IF('Population Figures'!Y13&lt;&gt;"", 'Population Figures'!Y13*B13*'Population Figures'!X13*'Scenario 2 Contributing Fact'!G16,"N/A")</f>
        <v>N/A</v>
      </c>
      <c r="AR13" s="353" t="str">
        <f>IF('Population Figures'!Z13&lt;&gt;"", 'Population Figures'!Z13*B13*'Population Figures'!X13*'Scenario 2 Contributing Fact'!G16,"N/A")</f>
        <v>N/A</v>
      </c>
      <c r="AS13" s="92">
        <f>I13*'Population Figures'!U13*'Scenario 3 - Nut. Analysis'!J12</f>
        <v>61.169448960000011</v>
      </c>
      <c r="AT13" s="353" t="str">
        <f>IF('Population Figures'!AD13&lt;&gt;"",I13*'Population Figures'!W13*'Scenario 3 - Nut. Analysis'!J12,"N/A")</f>
        <v>N/A</v>
      </c>
      <c r="AU13" s="353" t="str">
        <f>IF('Population Figures'!AC13&lt;&gt;"",I13*'Population Figures'!V13*'Scenario 3 - Nut. Analysis'!J12,"N/A")</f>
        <v>N/A</v>
      </c>
      <c r="AV13" s="92">
        <f>I13*'Population Figures'!U13</f>
        <v>3058.4724480000004</v>
      </c>
      <c r="AW13" s="92">
        <f>I13*'Population Figures'!X13*'Scenario 3 - Nut. Analysis'!K12</f>
        <v>899.19089971200003</v>
      </c>
      <c r="AX13" s="353" t="str">
        <f>IF('Population Figures'!Y13&lt;&gt;"", I13*'Population Figures'!Y13*'Scenario 3 - Nut. Analysis'!K12,"N/A")</f>
        <v>N/A</v>
      </c>
      <c r="AY13" s="353" t="str">
        <f>IF('Population Figures'!Z13&lt;&gt;"", I13*'Population Figures'!Z13*'Scenario 3 - Nut. Analysis'!K12,"N/A")</f>
        <v>N/A</v>
      </c>
      <c r="AZ13" s="8"/>
      <c r="BA13" s="8"/>
      <c r="BB13" s="8"/>
      <c r="BC13" s="8"/>
      <c r="BD13" s="8"/>
      <c r="BE13" s="8"/>
      <c r="BF13" s="8"/>
      <c r="BG13" s="8"/>
      <c r="BH13" s="8"/>
      <c r="BI13" s="8"/>
      <c r="BJ13" s="8"/>
      <c r="BK13" s="8"/>
      <c r="BL13" s="8"/>
    </row>
    <row r="14" spans="1:64" s="9" customFormat="1" ht="15" x14ac:dyDescent="0.2">
      <c r="A14" s="89" t="str">
        <f>'Population Figures'!E14</f>
        <v>Ghor</v>
      </c>
      <c r="B14" s="91">
        <f>'Population Figures'!F14</f>
        <v>2147058.1800000002</v>
      </c>
      <c r="C14" s="253">
        <v>0.05</v>
      </c>
      <c r="D14" s="253">
        <v>0.01</v>
      </c>
      <c r="E14" s="253">
        <v>0.02</v>
      </c>
      <c r="F14" s="253">
        <v>1.4999999999999999E-2</v>
      </c>
      <c r="G14" s="253">
        <v>1.4999999999999999E-2</v>
      </c>
      <c r="H14" s="92">
        <f>B14*('Population Figures'!G14)*C14</f>
        <v>17176.465440000004</v>
      </c>
      <c r="I14" s="92">
        <f>B14*('Population Figures'!G14)*'Scenario 2 - Nut.Analysis'!B16</f>
        <v>0</v>
      </c>
      <c r="J14" s="92">
        <f>B14*('Population Figures'!G14)*'Scenario 2 - Nut.Analysis'!C16</f>
        <v>0</v>
      </c>
      <c r="K14" s="353" t="str">
        <f>IF('Population Figures'!H14&lt;&gt;"",IF(H14&lt;&gt;"",B14*('Population Figures'!H14)*C14, IF(I14&lt;&gt;"", B14*('Population Figures'!H14)*'Scenario 2 - Nut.Analysis'!B16, IF(J14&lt;&gt;"", B14*('Population Figures'!H14)*'Scenario 2 - Nut.Analysis'!C16, "N/A"))), "N/A")</f>
        <v>N/A</v>
      </c>
      <c r="L14" s="353" t="str">
        <f>IF('Population Figures'!I14&lt;&gt;"",IF(H14&lt;&gt;"",B14*('Population Figures'!I14)*C14, IF(I14&lt;&gt;"", B14*('Population Figures'!I14)*'Scenario 2 - Nut.Analysis'!B16, IF(J14&lt;&gt;"", B14*('Population Figures'!I14)*'Scenario 2 - Nut.Analysis'!C16, "N/A"))), "N/A")</f>
        <v>N/A</v>
      </c>
      <c r="M14" s="92">
        <f>B14*('Population Figures'!G14)</f>
        <v>343529.30880000006</v>
      </c>
      <c r="N14" s="92">
        <f>D14*(B14*'Population Figures'!G14)*'Population Figures'!$C$7</f>
        <v>10992.937881600003</v>
      </c>
      <c r="O14" s="92">
        <f>E14*(B14*'Population Figures'!G14)*'Population Figures'!$C$7</f>
        <v>21985.875763200005</v>
      </c>
      <c r="P14" s="92">
        <f>F14*(B14*'Population Figures'!G14)*'Population Figures'!$C$7</f>
        <v>16489.406822400004</v>
      </c>
      <c r="Q14" s="353" t="str">
        <f>IF('Population Figures'!H14&lt;&gt;"",IF(N14&lt;&gt;"",D14*(B14*'Population Figures'!H14)*'Population Figures'!$C$7, IF(O14&lt;&gt;"", E14*(B14*'Population Figures'!H14)*'Population Figures'!$C$7, IF(P14&lt;&gt;"", F14*(B14*'Population Figures'!H14)*'Population Figures'!$C$7, "N/A"))), "N/A")</f>
        <v>N/A</v>
      </c>
      <c r="R14" s="353" t="str">
        <f>IF('Population Figures'!I14&lt;&gt;"",IF(N14&lt;&gt;"",D14*(B14*'Population Figures'!I14)*'Population Figures'!$C$7, IF(O14&lt;&gt;"", E14*(B14*'Population Figures'!I14)*'Population Figures'!$C$7, IF(P14&lt;&gt;"", F14*(B14*'Population Figures'!I14)*'Population Figures'!$C$7, "N/A"))), "N/A")</f>
        <v>N/A</v>
      </c>
      <c r="S14" s="92">
        <f>IF(N14&lt;&gt;"",N14*'Population Figures'!$C$10,IF(O14&lt;&gt;"",O14*'Population Figures'!$C$10,IF(P14&lt;&gt;"",P14*'Population Figures'!$C$10,"Key Values")))</f>
        <v>1099.2937881600003</v>
      </c>
      <c r="T14" s="353" t="str">
        <f>IF(Q14&lt;&gt;"N/A",Q14*'Population Figures'!$C$10,"N/A")</f>
        <v>N/A</v>
      </c>
      <c r="U14" s="353" t="str">
        <f>IF(R14&lt;&gt;"N/A",R14*'Population Figures'!$C$10,"N/A")</f>
        <v>N/A</v>
      </c>
      <c r="V14" s="92">
        <f>IF(N14&lt;&gt;"",
 D14*(B14*ABS('Population Figures'!G14-'Population Figures'!J14))*'Population Figures'!$C$7*'Population Figures'!$C$11,
IF(O14&lt;&gt;"",
E14*(B14*ABS('Population Figures'!G14-'Population Figures'!J14))*'Population Figures'!$C$7*'Population Figures'!$C$11,
IF(P14&lt;&gt;"",
F14*(B14*ABS('Population Figures'!G14-'Population Figures'!J14))*'Population Figures'!$C$7*'Population Figures'!$C$11, "Key Values")))</f>
        <v>8780.6091329280043</v>
      </c>
      <c r="W14" s="353" t="str">
        <f>IF('Population Figures'!H14&lt;&gt;"",
IF(N14&lt;&gt;"",D14*(B14*ABS('Population Figures'!H14-'Population Figures'!K14))*'Population Figures'!$C$7,
 IF(O14&lt;&gt;"", E14*(B14*ABS('Population Figures'!H14-'Population Figures'!K14))*'Population Figures'!$C$7,
 IF(P14&lt;&gt;"", F14*(B14*ABS('Population Figures'!H14-'Population Figures'!K14))*'Population Figures'!$C$7, "N/A"))), "N/A")</f>
        <v>N/A</v>
      </c>
      <c r="X14" s="353" t="str">
        <f>IF('Population Figures'!H14&lt;&gt;"",
IF(N14&lt;&gt;"",D14*(B14*ABS('Population Figures'!I14-'Population Figures'!L14))*'Population Figures'!$C$7,
 IF(O14&lt;&gt;"", E14*(B14*ABS('Population Figures'!I14-'Population Figures'!L14))*'Population Figures'!$C$7,
 IF(P14&lt;&gt;"", F14*(B14*ABS('Population Figures'!I14-'Population Figures'!L14))*'Population Figures'!$C$7, "N/A"))), "N/A")</f>
        <v>N/A</v>
      </c>
      <c r="Y14" s="92">
        <f>(C14-D14)*(B14*ABS('Population Figures'!G14-'Population Figures'!J14)*'Population Figures'!$C$8)</f>
        <v>39024.92947968001</v>
      </c>
      <c r="Z14" s="92">
        <f>ABS('Scenario 2 - Nut.Analysis'!C16-E14)*(B14*ABS('Population Figures'!G14-'Population Figures'!J14))*'Population Figures'!$C$8</f>
        <v>19512.464739840008</v>
      </c>
      <c r="AA14" s="92">
        <f>ABS('Scenario 2 - Nut.Analysis'!D16-F14)*(B14*ABS('Population Figures'!G14-'Population Figures'!J14)*'Population Figures'!$C$8)</f>
        <v>326833.78439232003</v>
      </c>
      <c r="AB14" s="353" t="str" cm="1">
        <f t="array" ref="AB14">IF('Population Figures'!H14&lt;&gt;"",IF(N14&lt;&gt;"",(C14-D14)*(ABS('Population Figures'!H14-'Population Figures'!K14)*B14*'Population Figures'!G14)*'Population Figures'!$C$8, IF(O14&lt;&gt;"", ABS('Scenario 2 - Nut.Analysis'!C16-E14)*(ABS('Population Figures'!H14-'Population Figures'!K14)*B14*'Population Figures'!G14)*'Population Figures'!$C$8, IF(P14&lt;&gt;"", AA*(B14*ABS('Population Figures'!H14-'Population Figures'!K14))*'Population Figures'!$C$7, "N/A"))), "N/A")</f>
        <v>N/A</v>
      </c>
      <c r="AC14" s="353" t="str" cm="1">
        <f t="array" ref="AC14">IF('Population Figures'!I14&lt;&gt;"",IF(O14&lt;&gt;"",(D14-E14)*(ABS('Population Figures'!I14-'Population Figures'!L14)*C14*'Population Figures'!H14)*'Population Figures'!$C$8, IF(P14&lt;&gt;"", ABS('Scenario 2 - Nut.Analysis'!D16-F14)*(ABS('Population Figures'!I14-'Population Figures'!L14)*C14*'Population Figures'!H14)*'Population Figures'!$C$8, IF(Q14&lt;&gt;"", AA*(C14*ABS('Population Figures'!I14-'Population Figures'!L14))*'Population Figures'!$C$7, "N/A"))), "N/A")</f>
        <v>N/A</v>
      </c>
      <c r="AD14" s="92">
        <f>Y14*'Population Figures'!$C$12</f>
        <v>27317.450635776004</v>
      </c>
      <c r="AE14" s="92" cm="1">
        <f t="array" ref="AE14">IF(Y14&lt;&gt;"", 'Population Figures'!P14*Y14*'Population Figures'!$C$13,
IF(Z&lt;&gt;"", 'Population Figures'!P14*Z14*'Population Figures'!$C$13,
IF(AA &lt;&gt;"",'Population Figures'!P14*AA14*'Population Figures'!$C$13, "N/A")))</f>
        <v>1404.8974612684801</v>
      </c>
      <c r="AF14" s="353" t="str">
        <f>IF('Population Figures'!Q14&lt;&gt;"",'Population Figures'!Q14*Y14*'Population Figures'!$C$13,"N/A")</f>
        <v>N/A</v>
      </c>
      <c r="AG14" s="353" t="str">
        <f>IF('Population Figures'!R14&lt;&gt;"",'Population Figures'!R14*Y14*'Population Figures'!$C$13,"N/A")</f>
        <v>N/A</v>
      </c>
      <c r="AH14" s="92">
        <f>B14*'Population Figures'!S14*'Scenario 2 - Nut.Analysis'!D16</f>
        <v>37573.518150000004</v>
      </c>
      <c r="AI14" s="92">
        <f>B14*'Population Figures'!S14</f>
        <v>107352.90900000001</v>
      </c>
      <c r="AJ14" s="92">
        <f>B14*'Population Figures'!S14*ABS('Scenario 2 - Nut.Analysis'!D16-G14)*'Population Figures'!$C$17</f>
        <v>26972.418386249999</v>
      </c>
      <c r="AK14" s="92">
        <f>B14*'Population Figures'!S14*ABS('Scenario 2 - Nut.Analysis'!D16-G14)*'Population Figures'!$C$18</f>
        <v>35963.224515000002</v>
      </c>
      <c r="AL14" s="92">
        <f>B14*'Population Figures'!U14*'Scenario 2 Contributing Fact'!F17</f>
        <v>30058.814520000007</v>
      </c>
      <c r="AM14" s="353" t="str">
        <f>IF('Population Figures'!W14&lt;&gt;"",B14*'Population Figures'!U14*'Scenario 2 Contributing Fact'!F17*'Population Figures'!W14,"N/A")</f>
        <v>N/A</v>
      </c>
      <c r="AN14" s="353" t="str">
        <f>IF('Population Figures'!V14&lt;&gt;"",B14*'Population Figures'!U14*'Scenario 2 Contributing Fact'!F17*'Population Figures'!V14,"N/A")</f>
        <v>N/A</v>
      </c>
      <c r="AO14" s="92">
        <f>B14*'Population Figures'!U14</f>
        <v>214705.81800000003</v>
      </c>
      <c r="AP14" s="92">
        <f>B14*'Population Figures'!X14*'Scenario 2 Contributing Fact'!G17</f>
        <v>66666.156489000001</v>
      </c>
      <c r="AQ14" s="353" t="str">
        <f>IF('Population Figures'!Y14&lt;&gt;"", 'Population Figures'!Y14*B14*'Population Figures'!X14*'Scenario 2 Contributing Fact'!G17,"N/A")</f>
        <v>N/A</v>
      </c>
      <c r="AR14" s="353" t="str">
        <f>IF('Population Figures'!Z14&lt;&gt;"", 'Population Figures'!Z14*B14*'Population Figures'!X14*'Scenario 2 Contributing Fact'!G17,"N/A")</f>
        <v>N/A</v>
      </c>
      <c r="AS14" s="92">
        <f>I14*'Population Figures'!U14*'Scenario 3 - Nut. Analysis'!J13</f>
        <v>0</v>
      </c>
      <c r="AT14" s="353" t="str">
        <f>IF('Population Figures'!AD14&lt;&gt;"",I14*'Population Figures'!W14*'Scenario 3 - Nut. Analysis'!J13,"N/A")</f>
        <v>N/A</v>
      </c>
      <c r="AU14" s="353" t="str">
        <f>IF('Population Figures'!AC14&lt;&gt;"",I14*'Population Figures'!V14*'Scenario 3 - Nut. Analysis'!J13,"N/A")</f>
        <v>N/A</v>
      </c>
      <c r="AV14" s="92">
        <f>I14*'Population Figures'!U14</f>
        <v>0</v>
      </c>
      <c r="AW14" s="92">
        <f>I14*'Population Figures'!X14*'Scenario 3 - Nut. Analysis'!K13</f>
        <v>0</v>
      </c>
      <c r="AX14" s="353" t="str">
        <f>IF('Population Figures'!Y14&lt;&gt;"", I14*'Population Figures'!Y14*'Scenario 3 - Nut. Analysis'!K13,"N/A")</f>
        <v>N/A</v>
      </c>
      <c r="AY14" s="353" t="str">
        <f>IF('Population Figures'!Z14&lt;&gt;"", I14*'Population Figures'!Z14*'Scenario 3 - Nut. Analysis'!K13,"N/A")</f>
        <v>N/A</v>
      </c>
      <c r="AZ14" s="8"/>
      <c r="BA14" s="8"/>
      <c r="BB14" s="8"/>
      <c r="BC14" s="8"/>
      <c r="BD14" s="8"/>
      <c r="BE14" s="8"/>
      <c r="BF14" s="8"/>
      <c r="BG14" s="8"/>
      <c r="BH14" s="8"/>
      <c r="BI14" s="8"/>
      <c r="BJ14" s="8"/>
      <c r="BK14" s="8"/>
      <c r="BL14" s="8"/>
    </row>
    <row r="15" spans="1:64" s="9" customFormat="1" ht="15" x14ac:dyDescent="0.2">
      <c r="A15" s="89" t="str">
        <f>'Population Figures'!E15</f>
        <v>Helmand</v>
      </c>
      <c r="B15" s="91">
        <f>'Population Figures'!F15</f>
        <v>2877125.2199999997</v>
      </c>
      <c r="C15" s="253">
        <v>0.05</v>
      </c>
      <c r="D15" s="253">
        <v>0.01</v>
      </c>
      <c r="E15" s="253">
        <v>0.02</v>
      </c>
      <c r="F15" s="253">
        <v>1.4999999999999999E-2</v>
      </c>
      <c r="G15" s="253">
        <v>1.4999999999999999E-2</v>
      </c>
      <c r="H15" s="92">
        <f>B15*('Population Figures'!G15)*C15</f>
        <v>23017.001759999999</v>
      </c>
      <c r="I15" s="92">
        <f>B15*('Population Figures'!G15)*'Scenario 2 - Nut.Analysis'!B17</f>
        <v>23017.001759999999</v>
      </c>
      <c r="J15" s="92">
        <f>B15*('Population Figures'!G15)*'Scenario 2 - Nut.Analysis'!C17</f>
        <v>0</v>
      </c>
      <c r="K15" s="353" t="str">
        <f>IF('Population Figures'!H15&lt;&gt;"",IF(H15&lt;&gt;"",B15*('Population Figures'!H15)*C15, IF(I15&lt;&gt;"", B15*('Population Figures'!H15)*'Scenario 2 - Nut.Analysis'!B17, IF(J15&lt;&gt;"", B15*('Population Figures'!H15)*'Scenario 2 - Nut.Analysis'!C17, "N/A"))), "N/A")</f>
        <v>N/A</v>
      </c>
      <c r="L15" s="353" t="str">
        <f>IF('Population Figures'!I15&lt;&gt;"",IF(H15&lt;&gt;"",B15*('Population Figures'!I15)*C15, IF(I15&lt;&gt;"", B15*('Population Figures'!I15)*'Scenario 2 - Nut.Analysis'!B17, IF(J15&lt;&gt;"", B15*('Population Figures'!I15)*'Scenario 2 - Nut.Analysis'!C17, "N/A"))), "N/A")</f>
        <v>N/A</v>
      </c>
      <c r="M15" s="92">
        <f>B15*('Population Figures'!G15)</f>
        <v>460340.03519999998</v>
      </c>
      <c r="N15" s="92">
        <f>D15*(B15*'Population Figures'!G15)*'Population Figures'!$C$7</f>
        <v>14730.8811264</v>
      </c>
      <c r="O15" s="92">
        <f>E15*(B15*'Population Figures'!G15)*'Population Figures'!$C$7</f>
        <v>29461.762252799999</v>
      </c>
      <c r="P15" s="92">
        <f>F15*(B15*'Population Figures'!G15)*'Population Figures'!$C$7</f>
        <v>22096.321689600001</v>
      </c>
      <c r="Q15" s="353" t="str">
        <f>IF('Population Figures'!H15&lt;&gt;"",IF(N15&lt;&gt;"",D15*(B15*'Population Figures'!H15)*'Population Figures'!$C$7, IF(O15&lt;&gt;"", E15*(B15*'Population Figures'!H15)*'Population Figures'!$C$7, IF(P15&lt;&gt;"", F15*(B15*'Population Figures'!H15)*'Population Figures'!$C$7, "N/A"))), "N/A")</f>
        <v>N/A</v>
      </c>
      <c r="R15" s="353" t="str">
        <f>IF('Population Figures'!I15&lt;&gt;"",IF(N15&lt;&gt;"",D15*(B15*'Population Figures'!I15)*'Population Figures'!$C$7, IF(O15&lt;&gt;"", E15*(B15*'Population Figures'!I15)*'Population Figures'!$C$7, IF(P15&lt;&gt;"", F15*(B15*'Population Figures'!I15)*'Population Figures'!$C$7, "N/A"))), "N/A")</f>
        <v>N/A</v>
      </c>
      <c r="S15" s="92">
        <f>IF(N15&lt;&gt;"",N15*'Population Figures'!$C$10,IF(O15&lt;&gt;"",O15*'Population Figures'!$C$10,IF(P15&lt;&gt;"",P15*'Population Figures'!$C$10,"Key Values")))</f>
        <v>1473.08811264</v>
      </c>
      <c r="T15" s="353" t="str">
        <f>IF(Q15&lt;&gt;"N/A",Q15*'Population Figures'!$C$10,"N/A")</f>
        <v>N/A</v>
      </c>
      <c r="U15" s="353" t="str">
        <f>IF(R15&lt;&gt;"N/A",R15*'Population Figures'!$C$10,"N/A")</f>
        <v>N/A</v>
      </c>
      <c r="V15" s="92">
        <f>IF(N15&lt;&gt;"",
 D15*(B15*ABS('Population Figures'!G15-'Population Figures'!J15))*'Population Figures'!$C$7*'Population Figures'!$C$11,
IF(O15&lt;&gt;"",
E15*(B15*ABS('Population Figures'!G15-'Population Figures'!J15))*'Population Figures'!$C$7*'Population Figures'!$C$11,
IF(P15&lt;&gt;"",
F15*(B15*ABS('Population Figures'!G15-'Population Figures'!J15))*'Population Figures'!$C$7*'Population Figures'!$C$11, "Key Values")))</f>
        <v>11766.291299712</v>
      </c>
      <c r="W15" s="353" t="str">
        <f>IF('Population Figures'!H15&lt;&gt;"",
IF(N15&lt;&gt;"",D15*(B15*ABS('Population Figures'!H15-'Population Figures'!K15))*'Population Figures'!$C$7,
 IF(O15&lt;&gt;"", E15*(B15*ABS('Population Figures'!H15-'Population Figures'!K15))*'Population Figures'!$C$7,
 IF(P15&lt;&gt;"", F15*(B15*ABS('Population Figures'!H15-'Population Figures'!K15))*'Population Figures'!$C$7, "N/A"))), "N/A")</f>
        <v>N/A</v>
      </c>
      <c r="X15" s="353" t="str">
        <f>IF('Population Figures'!H15&lt;&gt;"",
IF(N15&lt;&gt;"",D15*(B15*ABS('Population Figures'!I15-'Population Figures'!L15))*'Population Figures'!$C$7,
 IF(O15&lt;&gt;"", E15*(B15*ABS('Population Figures'!I15-'Population Figures'!L15))*'Population Figures'!$C$7,
 IF(P15&lt;&gt;"", F15*(B15*ABS('Population Figures'!I15-'Population Figures'!L15))*'Population Figures'!$C$7, "N/A"))), "N/A")</f>
        <v>N/A</v>
      </c>
      <c r="Y15" s="92">
        <f>(C15-D15)*(B15*ABS('Population Figures'!G15-'Population Figures'!J15)*'Population Figures'!$C$8)</f>
        <v>52294.627998719996</v>
      </c>
      <c r="Z15" s="92">
        <f>ABS('Scenario 2 - Nut.Analysis'!C17-E15)*(B15*ABS('Population Figures'!G15-'Population Figures'!J15))*'Population Figures'!$C$8</f>
        <v>26147.313999360002</v>
      </c>
      <c r="AA15" s="92">
        <f>ABS('Scenario 2 - Nut.Analysis'!D17-F15)*(B15*ABS('Population Figures'!G15-'Population Figures'!J15)*'Population Figures'!$C$8)</f>
        <v>19610.485499519997</v>
      </c>
      <c r="AB15" s="353" t="str" cm="1">
        <f t="array" ref="AB15">IF('Population Figures'!H15&lt;&gt;"",IF(N15&lt;&gt;"",(C15-D15)*(ABS('Population Figures'!H15-'Population Figures'!K15)*B15*'Population Figures'!G15)*'Population Figures'!$C$8, IF(O15&lt;&gt;"", ABS('Scenario 2 - Nut.Analysis'!C17-E15)*(ABS('Population Figures'!H15-'Population Figures'!K15)*B15*'Population Figures'!G15)*'Population Figures'!$C$8, IF(P15&lt;&gt;"", AA*(B15*ABS('Population Figures'!H15-'Population Figures'!K15))*'Population Figures'!$C$7, "N/A"))), "N/A")</f>
        <v>N/A</v>
      </c>
      <c r="AC15" s="353" t="str" cm="1">
        <f t="array" ref="AC15">IF('Population Figures'!I15&lt;&gt;"",IF(O15&lt;&gt;"",(D15-E15)*(ABS('Population Figures'!I15-'Population Figures'!L15)*C15*'Population Figures'!H15)*'Population Figures'!$C$8, IF(P15&lt;&gt;"", ABS('Scenario 2 - Nut.Analysis'!D17-F15)*(ABS('Population Figures'!I15-'Population Figures'!L15)*C15*'Population Figures'!H15)*'Population Figures'!$C$8, IF(Q15&lt;&gt;"", AA*(C15*ABS('Population Figures'!I15-'Population Figures'!L15))*'Population Figures'!$C$7, "N/A"))), "N/A")</f>
        <v>N/A</v>
      </c>
      <c r="AD15" s="92">
        <f>Y15*'Population Figures'!$C$12</f>
        <v>36606.239599103996</v>
      </c>
      <c r="AE15" s="92" cm="1">
        <f t="array" ref="AE15">IF(Y15&lt;&gt;"", 'Population Figures'!P15*Y15*'Population Figures'!$C$13,
IF(Z&lt;&gt;"", 'Population Figures'!P15*Z15*'Population Figures'!$C$13,
IF(AA &lt;&gt;"",'Population Figures'!P15*AA15*'Population Figures'!$C$13, "N/A")))</f>
        <v>1882.6066079539198</v>
      </c>
      <c r="AF15" s="353" t="str">
        <f>IF('Population Figures'!Q15&lt;&gt;"",'Population Figures'!Q15*Y15*'Population Figures'!$C$13,"N/A")</f>
        <v>N/A</v>
      </c>
      <c r="AG15" s="353" t="str">
        <f>IF('Population Figures'!R15&lt;&gt;"",'Population Figures'!R15*Y15*'Population Figures'!$C$13,"N/A")</f>
        <v>N/A</v>
      </c>
      <c r="AH15" s="92">
        <f>B15*'Population Figures'!S15*'Scenario 2 - Nut.Analysis'!D17</f>
        <v>0</v>
      </c>
      <c r="AI15" s="92">
        <f>B15*'Population Figures'!S15</f>
        <v>143856.261</v>
      </c>
      <c r="AJ15" s="92">
        <f>B15*'Population Figures'!S15*ABS('Scenario 2 - Nut.Analysis'!D17-G15)*'Population Figures'!$C$17</f>
        <v>1618.3829362500001</v>
      </c>
      <c r="AK15" s="92">
        <f>B15*'Population Figures'!S15*ABS('Scenario 2 - Nut.Analysis'!D17-G15)*'Population Figures'!$C$18</f>
        <v>2157.8439149999999</v>
      </c>
      <c r="AL15" s="92">
        <f>B15*'Population Figures'!U15*'Scenario 2 Contributing Fact'!F18</f>
        <v>31648.377420000001</v>
      </c>
      <c r="AM15" s="353" t="str">
        <f>IF('Population Figures'!W15&lt;&gt;"",B15*'Population Figures'!U15*'Scenario 2 Contributing Fact'!F18*'Population Figures'!W15,"N/A")</f>
        <v>N/A</v>
      </c>
      <c r="AN15" s="353" t="str">
        <f>IF('Population Figures'!V15&lt;&gt;"",B15*'Population Figures'!U15*'Scenario 2 Contributing Fact'!F18*'Population Figures'!V15,"N/A")</f>
        <v>N/A</v>
      </c>
      <c r="AO15" s="92">
        <f>B15*'Population Figures'!U15</f>
        <v>287712.522</v>
      </c>
      <c r="AP15" s="92">
        <f>B15*'Population Figures'!X15*'Scenario 2 Contributing Fact'!G18</f>
        <v>54809.23544099999</v>
      </c>
      <c r="AQ15" s="353" t="str">
        <f>IF('Population Figures'!Y15&lt;&gt;"", 'Population Figures'!Y15*B15*'Population Figures'!X15*'Scenario 2 Contributing Fact'!G18,"N/A")</f>
        <v>N/A</v>
      </c>
      <c r="AR15" s="353" t="str">
        <f>IF('Population Figures'!Z15&lt;&gt;"", 'Population Figures'!Z15*B15*'Population Figures'!X15*'Scenario 2 Contributing Fact'!G18,"N/A")</f>
        <v>N/A</v>
      </c>
      <c r="AS15" s="92">
        <f>I15*'Population Figures'!U15*'Scenario 3 - Nut. Analysis'!J14</f>
        <v>292.31592235199997</v>
      </c>
      <c r="AT15" s="353" t="str">
        <f>IF('Population Figures'!AD15&lt;&gt;"",I15*'Population Figures'!W15*'Scenario 3 - Nut. Analysis'!J14,"N/A")</f>
        <v>N/A</v>
      </c>
      <c r="AU15" s="353" t="str">
        <f>IF('Population Figures'!AC15&lt;&gt;"",I15*'Population Figures'!V15*'Scenario 3 - Nut. Analysis'!J14,"N/A")</f>
        <v>N/A</v>
      </c>
      <c r="AV15" s="92">
        <f>I15*'Population Figures'!U15</f>
        <v>2301.7001759999998</v>
      </c>
      <c r="AW15" s="92">
        <f>I15*'Population Figures'!X15*'Scenario 3 - Nut. Analysis'!K14</f>
        <v>438.47388352799999</v>
      </c>
      <c r="AX15" s="353" t="str">
        <f>IF('Population Figures'!Y15&lt;&gt;"", I15*'Population Figures'!Y15*'Scenario 3 - Nut. Analysis'!K14,"N/A")</f>
        <v>N/A</v>
      </c>
      <c r="AY15" s="353" t="str">
        <f>IF('Population Figures'!Z15&lt;&gt;"", I15*'Population Figures'!Z15*'Scenario 3 - Nut. Analysis'!K14,"N/A")</f>
        <v>N/A</v>
      </c>
      <c r="AZ15" s="8"/>
      <c r="BA15" s="8"/>
      <c r="BB15" s="8"/>
      <c r="BC15" s="8"/>
      <c r="BD15" s="8"/>
      <c r="BE15" s="8"/>
      <c r="BF15" s="8"/>
      <c r="BG15" s="8"/>
      <c r="BH15" s="8"/>
      <c r="BI15" s="8"/>
      <c r="BJ15" s="8"/>
      <c r="BK15" s="8"/>
      <c r="BL15" s="8"/>
    </row>
    <row r="16" spans="1:64" s="9" customFormat="1" ht="15" x14ac:dyDescent="0.2">
      <c r="A16" s="89" t="str">
        <f>'Population Figures'!E16</f>
        <v>Hirat</v>
      </c>
      <c r="B16" s="91">
        <f>'Population Figures'!F16</f>
        <v>5900680.6200000001</v>
      </c>
      <c r="C16" s="253">
        <v>0.05</v>
      </c>
      <c r="D16" s="253">
        <v>0.01</v>
      </c>
      <c r="E16" s="253">
        <v>0.02</v>
      </c>
      <c r="F16" s="253">
        <v>1.4999999999999999E-2</v>
      </c>
      <c r="G16" s="253">
        <v>1.4999999999999999E-2</v>
      </c>
      <c r="H16" s="92">
        <f>B16*('Population Figures'!G16)*C16</f>
        <v>47205.444960000001</v>
      </c>
      <c r="I16" s="92">
        <f>B16*('Population Figures'!G16)*'Scenario 2 - Nut.Analysis'!B18</f>
        <v>47205.444960000001</v>
      </c>
      <c r="J16" s="92">
        <f>B16*('Population Figures'!G16)*'Scenario 2 - Nut.Analysis'!C18</f>
        <v>0</v>
      </c>
      <c r="K16" s="353" t="str">
        <f>IF('Population Figures'!H16&lt;&gt;"",IF(H16&lt;&gt;"",B16*('Population Figures'!H16)*C16, IF(I16&lt;&gt;"", B16*('Population Figures'!H16)*'Scenario 2 - Nut.Analysis'!B18, IF(J16&lt;&gt;"", B16*('Population Figures'!H16)*'Scenario 2 - Nut.Analysis'!C18, "N/A"))), "N/A")</f>
        <v>N/A</v>
      </c>
      <c r="L16" s="353" t="str">
        <f>IF('Population Figures'!I16&lt;&gt;"",IF(H16&lt;&gt;"",B16*('Population Figures'!I16)*C16, IF(I16&lt;&gt;"", B16*('Population Figures'!I16)*'Scenario 2 - Nut.Analysis'!B18, IF(J16&lt;&gt;"", B16*('Population Figures'!I16)*'Scenario 2 - Nut.Analysis'!C18, "N/A"))), "N/A")</f>
        <v>N/A</v>
      </c>
      <c r="M16" s="92">
        <f>B16*('Population Figures'!G16)</f>
        <v>944108.89919999999</v>
      </c>
      <c r="N16" s="92">
        <f>D16*(B16*'Population Figures'!G16)*'Population Figures'!$C$7</f>
        <v>30211.484774400004</v>
      </c>
      <c r="O16" s="92">
        <f>E16*(B16*'Population Figures'!G16)*'Population Figures'!$C$7</f>
        <v>60422.969548800007</v>
      </c>
      <c r="P16" s="92">
        <f>F16*(B16*'Population Figures'!G16)*'Population Figures'!$C$7</f>
        <v>45317.2271616</v>
      </c>
      <c r="Q16" s="353" t="str">
        <f>IF('Population Figures'!H16&lt;&gt;"",IF(N16&lt;&gt;"",D16*(B16*'Population Figures'!H16)*'Population Figures'!$C$7, IF(O16&lt;&gt;"", E16*(B16*'Population Figures'!H16)*'Population Figures'!$C$7, IF(P16&lt;&gt;"", F16*(B16*'Population Figures'!H16)*'Population Figures'!$C$7, "N/A"))), "N/A")</f>
        <v>N/A</v>
      </c>
      <c r="R16" s="353" t="str">
        <f>IF('Population Figures'!I16&lt;&gt;"",IF(N16&lt;&gt;"",D16*(B16*'Population Figures'!I16)*'Population Figures'!$C$7, IF(O16&lt;&gt;"", E16*(B16*'Population Figures'!I16)*'Population Figures'!$C$7, IF(P16&lt;&gt;"", F16*(B16*'Population Figures'!I16)*'Population Figures'!$C$7, "N/A"))), "N/A")</f>
        <v>N/A</v>
      </c>
      <c r="S16" s="92">
        <f>IF(N16&lt;&gt;"",N16*'Population Figures'!$C$10,IF(O16&lt;&gt;"",O16*'Population Figures'!$C$10,IF(P16&lt;&gt;"",P16*'Population Figures'!$C$10,"Key Values")))</f>
        <v>3021.1484774400005</v>
      </c>
      <c r="T16" s="353" t="str">
        <f>IF(Q16&lt;&gt;"N/A",Q16*'Population Figures'!$C$10,"N/A")</f>
        <v>N/A</v>
      </c>
      <c r="U16" s="353" t="str">
        <f>IF(R16&lt;&gt;"N/A",R16*'Population Figures'!$C$10,"N/A")</f>
        <v>N/A</v>
      </c>
      <c r="V16" s="92">
        <f>IF(N16&lt;&gt;"",
 D16*(B16*ABS('Population Figures'!G16-'Population Figures'!J16))*'Population Figures'!$C$7*'Population Figures'!$C$11,
IF(O16&lt;&gt;"",
E16*(B16*ABS('Population Figures'!G16-'Population Figures'!J16))*'Population Figures'!$C$7*'Population Figures'!$C$11,
IF(P16&lt;&gt;"",
F16*(B16*ABS('Population Figures'!G16-'Population Figures'!J16))*'Population Figures'!$C$7*'Population Figures'!$C$11, "Key Values")))</f>
        <v>24131.423463552008</v>
      </c>
      <c r="W16" s="353" t="str">
        <f>IF('Population Figures'!H16&lt;&gt;"",
IF(N16&lt;&gt;"",D16*(B16*ABS('Population Figures'!H16-'Population Figures'!K16))*'Population Figures'!$C$7,
 IF(O16&lt;&gt;"", E16*(B16*ABS('Population Figures'!H16-'Population Figures'!K16))*'Population Figures'!$C$7,
 IF(P16&lt;&gt;"", F16*(B16*ABS('Population Figures'!H16-'Population Figures'!K16))*'Population Figures'!$C$7, "N/A"))), "N/A")</f>
        <v>N/A</v>
      </c>
      <c r="X16" s="353" t="str">
        <f>IF('Population Figures'!H16&lt;&gt;"",
IF(N16&lt;&gt;"",D16*(B16*ABS('Population Figures'!I16-'Population Figures'!L16))*'Population Figures'!$C$7,
 IF(O16&lt;&gt;"", E16*(B16*ABS('Population Figures'!I16-'Population Figures'!L16))*'Population Figures'!$C$7,
 IF(P16&lt;&gt;"", F16*(B16*ABS('Population Figures'!I16-'Population Figures'!L16))*'Population Figures'!$C$7, "N/A"))), "N/A")</f>
        <v>N/A</v>
      </c>
      <c r="Y16" s="92">
        <f>(C16-D16)*(B16*ABS('Population Figures'!G16-'Population Figures'!J16)*'Population Figures'!$C$8)</f>
        <v>107250.77094912002</v>
      </c>
      <c r="Z16" s="92">
        <f>ABS('Scenario 2 - Nut.Analysis'!C18-E16)*(B16*ABS('Population Figures'!G16-'Population Figures'!J16))*'Population Figures'!$C$8</f>
        <v>53625.385474560018</v>
      </c>
      <c r="AA16" s="92">
        <f>ABS('Scenario 2 - Nut.Analysis'!D18-F16)*(B16*ABS('Population Figures'!G16-'Population Figures'!J16)*'Population Figures'!$C$8)</f>
        <v>40219.039105920005</v>
      </c>
      <c r="AB16" s="353" t="str" cm="1">
        <f t="array" ref="AB16">IF('Population Figures'!H16&lt;&gt;"",IF(N16&lt;&gt;"",(C16-D16)*(ABS('Population Figures'!H16-'Population Figures'!K16)*B16*'Population Figures'!G16)*'Population Figures'!$C$8, IF(O16&lt;&gt;"", ABS('Scenario 2 - Nut.Analysis'!C18-E16)*(ABS('Population Figures'!H16-'Population Figures'!K16)*B16*'Population Figures'!G16)*'Population Figures'!$C$8, IF(P16&lt;&gt;"", AA*(B16*ABS('Population Figures'!H16-'Population Figures'!K16))*'Population Figures'!$C$7, "N/A"))), "N/A")</f>
        <v>N/A</v>
      </c>
      <c r="AC16" s="353" t="str" cm="1">
        <f t="array" ref="AC16">IF('Population Figures'!I16&lt;&gt;"",IF(O16&lt;&gt;"",(D16-E16)*(ABS('Population Figures'!I16-'Population Figures'!L16)*C16*'Population Figures'!H16)*'Population Figures'!$C$8, IF(P16&lt;&gt;"", ABS('Scenario 2 - Nut.Analysis'!D18-F16)*(ABS('Population Figures'!I16-'Population Figures'!L16)*C16*'Population Figures'!H16)*'Population Figures'!$C$8, IF(Q16&lt;&gt;"", AA*(C16*ABS('Population Figures'!I16-'Population Figures'!L16))*'Population Figures'!$C$7, "N/A"))), "N/A")</f>
        <v>N/A</v>
      </c>
      <c r="AD16" s="92">
        <f>Y16*'Population Figures'!$C$12</f>
        <v>75075.539664384007</v>
      </c>
      <c r="AE16" s="92" cm="1">
        <f t="array" ref="AE16">IF(Y16&lt;&gt;"", 'Population Figures'!P16*Y16*'Population Figures'!$C$13,
IF(Z&lt;&gt;"", 'Population Figures'!P16*Z16*'Population Figures'!$C$13,
IF(AA &lt;&gt;"",'Population Figures'!P16*AA16*'Population Figures'!$C$13, "N/A")))</f>
        <v>3861.0277541683208</v>
      </c>
      <c r="AF16" s="353" t="str">
        <f>IF('Population Figures'!Q16&lt;&gt;"",'Population Figures'!Q16*Y16*'Population Figures'!$C$13,"N/A")</f>
        <v>N/A</v>
      </c>
      <c r="AG16" s="353" t="str">
        <f>IF('Population Figures'!R16&lt;&gt;"",'Population Figures'!R16*Y16*'Population Figures'!$C$13,"N/A")</f>
        <v>N/A</v>
      </c>
      <c r="AH16" s="92">
        <f>B16*'Population Figures'!S16*'Scenario 2 - Nut.Analysis'!D18</f>
        <v>0</v>
      </c>
      <c r="AI16" s="92">
        <f>B16*'Population Figures'!S16</f>
        <v>295034.03100000002</v>
      </c>
      <c r="AJ16" s="92">
        <f>B16*'Population Figures'!S16*ABS('Scenario 2 - Nut.Analysis'!D18-G16)*'Population Figures'!$C$17</f>
        <v>3319.1328487500004</v>
      </c>
      <c r="AK16" s="92">
        <f>B16*'Population Figures'!S16*ABS('Scenario 2 - Nut.Analysis'!D18-G16)*'Population Figures'!$C$18</f>
        <v>4425.5104650000003</v>
      </c>
      <c r="AL16" s="92">
        <f>B16*'Population Figures'!U16*'Scenario 2 Contributing Fact'!F19</f>
        <v>70808.167440000005</v>
      </c>
      <c r="AM16" s="353" t="str">
        <f>IF('Population Figures'!W16&lt;&gt;"",B16*'Population Figures'!U16*'Scenario 2 Contributing Fact'!F19*'Population Figures'!W16,"N/A")</f>
        <v>N/A</v>
      </c>
      <c r="AN16" s="353" t="str">
        <f>IF('Population Figures'!V16&lt;&gt;"",B16*'Population Figures'!U16*'Scenario 2 Contributing Fact'!F19*'Population Figures'!V16,"N/A")</f>
        <v>N/A</v>
      </c>
      <c r="AO16" s="92">
        <f>B16*'Population Figures'!U16</f>
        <v>590068.06200000003</v>
      </c>
      <c r="AP16" s="92">
        <f>B16*'Population Figures'!X16*'Scenario 2 Contributing Fact'!G19</f>
        <v>96476.128136999992</v>
      </c>
      <c r="AQ16" s="353" t="str">
        <f>IF('Population Figures'!Y16&lt;&gt;"", 'Population Figures'!Y16*B16*'Population Figures'!X16*'Scenario 2 Contributing Fact'!G19,"N/A")</f>
        <v>N/A</v>
      </c>
      <c r="AR16" s="353" t="str">
        <f>IF('Population Figures'!Z16&lt;&gt;"", 'Population Figures'!Z16*B16*'Population Figures'!X16*'Scenario 2 Contributing Fact'!G19,"N/A")</f>
        <v>N/A</v>
      </c>
      <c r="AS16" s="92">
        <f>I16*'Population Figures'!U16*'Scenario 3 - Nut. Analysis'!J15</f>
        <v>118.01361240000001</v>
      </c>
      <c r="AT16" s="353" t="str">
        <f>IF('Population Figures'!AD16&lt;&gt;"",I16*'Population Figures'!W16*'Scenario 3 - Nut. Analysis'!J15,"N/A")</f>
        <v>N/A</v>
      </c>
      <c r="AU16" s="353" t="str">
        <f>IF('Population Figures'!AC16&lt;&gt;"",I16*'Population Figures'!V16*'Scenario 3 - Nut. Analysis'!J15,"N/A")</f>
        <v>N/A</v>
      </c>
      <c r="AV16" s="92">
        <f>I16*'Population Figures'!U16</f>
        <v>4720.5444960000004</v>
      </c>
      <c r="AW16" s="92">
        <f>I16*'Population Figures'!X16*'Scenario 3 - Nut. Analysis'!K15</f>
        <v>177.0204186</v>
      </c>
      <c r="AX16" s="353" t="str">
        <f>IF('Population Figures'!Y16&lt;&gt;"", I16*'Population Figures'!Y16*'Scenario 3 - Nut. Analysis'!K15,"N/A")</f>
        <v>N/A</v>
      </c>
      <c r="AY16" s="353" t="str">
        <f>IF('Population Figures'!Z16&lt;&gt;"", I16*'Population Figures'!Z16*'Scenario 3 - Nut. Analysis'!K15,"N/A")</f>
        <v>N/A</v>
      </c>
      <c r="AZ16" s="8"/>
      <c r="BA16" s="8"/>
      <c r="BB16" s="8"/>
      <c r="BC16" s="8"/>
      <c r="BD16" s="8"/>
      <c r="BE16" s="8"/>
      <c r="BF16" s="8"/>
      <c r="BG16" s="8"/>
      <c r="BH16" s="8"/>
      <c r="BI16" s="8"/>
      <c r="BJ16" s="8"/>
      <c r="BK16" s="8"/>
      <c r="BL16" s="8"/>
    </row>
    <row r="17" spans="1:64" s="9" customFormat="1" ht="15" x14ac:dyDescent="0.2">
      <c r="A17" s="89" t="str">
        <f>'Population Figures'!E17</f>
        <v>Jawzjan</v>
      </c>
      <c r="B17" s="91">
        <f>'Population Figures'!F17</f>
        <v>1682694</v>
      </c>
      <c r="C17" s="253">
        <v>0.05</v>
      </c>
      <c r="D17" s="253">
        <v>0.01</v>
      </c>
      <c r="E17" s="253">
        <v>0.02</v>
      </c>
      <c r="F17" s="253">
        <v>1.4999999999999999E-2</v>
      </c>
      <c r="G17" s="253">
        <v>1.4999999999999999E-2</v>
      </c>
      <c r="H17" s="92">
        <f>B17*('Population Figures'!G17)*C17</f>
        <v>13461.552</v>
      </c>
      <c r="I17" s="92">
        <f>B17*('Population Figures'!G17)*'Scenario 2 - Nut.Analysis'!B19</f>
        <v>13461.552</v>
      </c>
      <c r="J17" s="92">
        <f>B17*('Population Figures'!G17)*'Scenario 2 - Nut.Analysis'!C19</f>
        <v>0</v>
      </c>
      <c r="K17" s="353" t="str">
        <f>IF('Population Figures'!H17&lt;&gt;"",IF(H17&lt;&gt;"",B17*('Population Figures'!H17)*C17, IF(I17&lt;&gt;"", B17*('Population Figures'!H17)*'Scenario 2 - Nut.Analysis'!B19, IF(J17&lt;&gt;"", B17*('Population Figures'!H17)*'Scenario 2 - Nut.Analysis'!C19, "N/A"))), "N/A")</f>
        <v>N/A</v>
      </c>
      <c r="L17" s="353" t="str">
        <f>IF('Population Figures'!I17&lt;&gt;"",IF(H17&lt;&gt;"",B17*('Population Figures'!I17)*C17, IF(I17&lt;&gt;"", B17*('Population Figures'!I17)*'Scenario 2 - Nut.Analysis'!B19, IF(J17&lt;&gt;"", B17*('Population Figures'!I17)*'Scenario 2 - Nut.Analysis'!C19, "N/A"))), "N/A")</f>
        <v>N/A</v>
      </c>
      <c r="M17" s="92">
        <f>B17*('Population Figures'!G17)</f>
        <v>269231.03999999998</v>
      </c>
      <c r="N17" s="92">
        <f>D17*(B17*'Population Figures'!G17)*'Population Figures'!$C$7</f>
        <v>8615.3932800000002</v>
      </c>
      <c r="O17" s="92">
        <f>E17*(B17*'Population Figures'!G17)*'Population Figures'!$C$7</f>
        <v>17230.78656</v>
      </c>
      <c r="P17" s="92">
        <f>F17*(B17*'Population Figures'!G17)*'Population Figures'!$C$7</f>
        <v>12923.089919999999</v>
      </c>
      <c r="Q17" s="353" t="str">
        <f>IF('Population Figures'!H17&lt;&gt;"",IF(N17&lt;&gt;"",D17*(B17*'Population Figures'!H17)*'Population Figures'!$C$7, IF(O17&lt;&gt;"", E17*(B17*'Population Figures'!H17)*'Population Figures'!$C$7, IF(P17&lt;&gt;"", F17*(B17*'Population Figures'!H17)*'Population Figures'!$C$7, "N/A"))), "N/A")</f>
        <v>N/A</v>
      </c>
      <c r="R17" s="353" t="str">
        <f>IF('Population Figures'!I17&lt;&gt;"",IF(N17&lt;&gt;"",D17*(B17*'Population Figures'!I17)*'Population Figures'!$C$7, IF(O17&lt;&gt;"", E17*(B17*'Population Figures'!I17)*'Population Figures'!$C$7, IF(P17&lt;&gt;"", F17*(B17*'Population Figures'!I17)*'Population Figures'!$C$7, "N/A"))), "N/A")</f>
        <v>N/A</v>
      </c>
      <c r="S17" s="92">
        <f>IF(N17&lt;&gt;"",N17*'Population Figures'!$C$10,IF(O17&lt;&gt;"",O17*'Population Figures'!$C$10,IF(P17&lt;&gt;"",P17*'Population Figures'!$C$10,"Key Values")))</f>
        <v>861.53932800000007</v>
      </c>
      <c r="T17" s="353" t="str">
        <f>IF(Q17&lt;&gt;"N/A",Q17*'Population Figures'!$C$10,"N/A")</f>
        <v>N/A</v>
      </c>
      <c r="U17" s="353" t="str">
        <f>IF(R17&lt;&gt;"N/A",R17*'Population Figures'!$C$10,"N/A")</f>
        <v>N/A</v>
      </c>
      <c r="V17" s="92">
        <f>IF(N17&lt;&gt;"",
 D17*(B17*ABS('Population Figures'!G17-'Population Figures'!J17))*'Population Figures'!$C$7*'Population Figures'!$C$11,
IF(O17&lt;&gt;"",
E17*(B17*ABS('Population Figures'!G17-'Population Figures'!J17))*'Population Figures'!$C$7*'Population Figures'!$C$11,
IF(P17&lt;&gt;"",
F17*(B17*ABS('Population Figures'!G17-'Population Figures'!J17))*'Population Figures'!$C$7*'Population Figures'!$C$11, "Key Values")))</f>
        <v>6881.5453824000015</v>
      </c>
      <c r="W17" s="353" t="str">
        <f>IF('Population Figures'!H17&lt;&gt;"",
IF(N17&lt;&gt;"",D17*(B17*ABS('Population Figures'!H17-'Population Figures'!K17))*'Population Figures'!$C$7,
 IF(O17&lt;&gt;"", E17*(B17*ABS('Population Figures'!H17-'Population Figures'!K17))*'Population Figures'!$C$7,
 IF(P17&lt;&gt;"", F17*(B17*ABS('Population Figures'!H17-'Population Figures'!K17))*'Population Figures'!$C$7, "N/A"))), "N/A")</f>
        <v>N/A</v>
      </c>
      <c r="X17" s="353" t="str">
        <f>IF('Population Figures'!H17&lt;&gt;"",
IF(N17&lt;&gt;"",D17*(B17*ABS('Population Figures'!I17-'Population Figures'!L17))*'Population Figures'!$C$7,
 IF(O17&lt;&gt;"", E17*(B17*ABS('Population Figures'!I17-'Population Figures'!L17))*'Population Figures'!$C$7,
 IF(P17&lt;&gt;"", F17*(B17*ABS('Population Figures'!I17-'Population Figures'!L17))*'Population Figures'!$C$7, "N/A"))), "N/A")</f>
        <v>N/A</v>
      </c>
      <c r="Y17" s="92">
        <f>(C17-D17)*(B17*ABS('Population Figures'!G17-'Population Figures'!J17)*'Population Figures'!$C$8)</f>
        <v>30584.646144000009</v>
      </c>
      <c r="Z17" s="92">
        <f>ABS('Scenario 2 - Nut.Analysis'!C19-E17)*(B17*ABS('Population Figures'!G17-'Population Figures'!J17))*'Population Figures'!$C$8</f>
        <v>15292.323072000003</v>
      </c>
      <c r="AA17" s="92">
        <f>ABS('Scenario 2 - Nut.Analysis'!D19-F17)*(B17*ABS('Population Figures'!G17-'Population Figures'!J17)*'Population Figures'!$C$8)</f>
        <v>11469.242304000003</v>
      </c>
      <c r="AB17" s="353" t="str" cm="1">
        <f t="array" ref="AB17">IF('Population Figures'!H17&lt;&gt;"",IF(N17&lt;&gt;"",(C17-D17)*(ABS('Population Figures'!H17-'Population Figures'!K17)*B17*'Population Figures'!G17)*'Population Figures'!$C$8, IF(O17&lt;&gt;"", ABS('Scenario 2 - Nut.Analysis'!C19-E17)*(ABS('Population Figures'!H17-'Population Figures'!K17)*B17*'Population Figures'!G17)*'Population Figures'!$C$8, IF(P17&lt;&gt;"", AA*(B17*ABS('Population Figures'!H17-'Population Figures'!K17))*'Population Figures'!$C$7, "N/A"))), "N/A")</f>
        <v>N/A</v>
      </c>
      <c r="AC17" s="353" t="str" cm="1">
        <f t="array" ref="AC17">IF('Population Figures'!I17&lt;&gt;"",IF(O17&lt;&gt;"",(D17-E17)*(ABS('Population Figures'!I17-'Population Figures'!L17)*C17*'Population Figures'!H17)*'Population Figures'!$C$8, IF(P17&lt;&gt;"", ABS('Scenario 2 - Nut.Analysis'!D19-F17)*(ABS('Population Figures'!I17-'Population Figures'!L17)*C17*'Population Figures'!H17)*'Population Figures'!$C$8, IF(Q17&lt;&gt;"", AA*(C17*ABS('Population Figures'!I17-'Population Figures'!L17))*'Population Figures'!$C$7, "N/A"))), "N/A")</f>
        <v>N/A</v>
      </c>
      <c r="AD17" s="92">
        <f>Y17*'Population Figures'!$C$12</f>
        <v>21409.252300800006</v>
      </c>
      <c r="AE17" s="92" cm="1">
        <f t="array" ref="AE17">IF(Y17&lt;&gt;"", 'Population Figures'!P17*Y17*'Population Figures'!$C$13,
IF(Z&lt;&gt;"", 'Population Figures'!P17*Z17*'Population Figures'!$C$13,
IF(AA &lt;&gt;"",'Population Figures'!P17*AA17*'Population Figures'!$C$13, "N/A")))</f>
        <v>1101.0472611840003</v>
      </c>
      <c r="AF17" s="353" t="str">
        <f>IF('Population Figures'!Q17&lt;&gt;"",'Population Figures'!Q17*Y17*'Population Figures'!$C$13,"N/A")</f>
        <v>N/A</v>
      </c>
      <c r="AG17" s="353" t="str">
        <f>IF('Population Figures'!R17&lt;&gt;"",'Population Figures'!R17*Y17*'Population Figures'!$C$13,"N/A")</f>
        <v>N/A</v>
      </c>
      <c r="AH17" s="92">
        <f>B17*'Population Figures'!S17*'Scenario 2 - Nut.Analysis'!D19</f>
        <v>0</v>
      </c>
      <c r="AI17" s="92">
        <f>B17*'Population Figures'!S17</f>
        <v>84134.700000000012</v>
      </c>
      <c r="AJ17" s="92">
        <f>B17*'Population Figures'!S17*ABS('Scenario 2 - Nut.Analysis'!D19-G17)*'Population Figures'!$C$17</f>
        <v>946.51537500000006</v>
      </c>
      <c r="AK17" s="92">
        <f>B17*'Population Figures'!S17*ABS('Scenario 2 - Nut.Analysis'!D19-G17)*'Population Figures'!$C$18</f>
        <v>1262.0205000000001</v>
      </c>
      <c r="AL17" s="92">
        <f>B17*'Population Figures'!U17*'Scenario 2 Contributing Fact'!F20</f>
        <v>13461.552000000001</v>
      </c>
      <c r="AM17" s="353" t="str">
        <f>IF('Population Figures'!W17&lt;&gt;"",B17*'Population Figures'!U17*'Scenario 2 Contributing Fact'!F20*'Population Figures'!W17,"N/A")</f>
        <v>N/A</v>
      </c>
      <c r="AN17" s="353" t="str">
        <f>IF('Population Figures'!V17&lt;&gt;"",B17*'Population Figures'!U17*'Scenario 2 Contributing Fact'!F20*'Population Figures'!V17,"N/A")</f>
        <v>N/A</v>
      </c>
      <c r="AO17" s="92">
        <f>B17*'Population Figures'!U17</f>
        <v>168269.40000000002</v>
      </c>
      <c r="AP17" s="92">
        <f>B17*'Population Figures'!X17*'Scenario 2 Contributing Fact'!G20</f>
        <v>15815.294897959368</v>
      </c>
      <c r="AQ17" s="353" t="str">
        <f>IF('Population Figures'!Y17&lt;&gt;"", 'Population Figures'!Y17*B17*'Population Figures'!X17*'Scenario 2 Contributing Fact'!G20,"N/A")</f>
        <v>N/A</v>
      </c>
      <c r="AR17" s="353" t="str">
        <f>IF('Population Figures'!Z17&lt;&gt;"", 'Population Figures'!Z17*B17*'Population Figures'!X17*'Scenario 2 Contributing Fact'!G20,"N/A")</f>
        <v>N/A</v>
      </c>
      <c r="AS17" s="92">
        <f>I17*'Population Figures'!U17*'Scenario 3 - Nut. Analysis'!J16</f>
        <v>84.348239455783315</v>
      </c>
      <c r="AT17" s="353" t="str">
        <f>IF('Population Figures'!AD17&lt;&gt;"",I17*'Population Figures'!W17*'Scenario 3 - Nut. Analysis'!J16,"N/A")</f>
        <v>N/A</v>
      </c>
      <c r="AU17" s="353" t="str">
        <f>IF('Population Figures'!AC17&lt;&gt;"",I17*'Population Figures'!V17*'Scenario 3 - Nut. Analysis'!J16,"N/A")</f>
        <v>N/A</v>
      </c>
      <c r="AV17" s="92">
        <f>I17*'Population Figures'!U17</f>
        <v>1346.1552000000001</v>
      </c>
      <c r="AW17" s="92">
        <f>I17*'Population Figures'!X17*'Scenario 3 - Nut. Analysis'!K16</f>
        <v>126.52235918367494</v>
      </c>
      <c r="AX17" s="353" t="str">
        <f>IF('Population Figures'!Y17&lt;&gt;"", I17*'Population Figures'!Y17*'Scenario 3 - Nut. Analysis'!K16,"N/A")</f>
        <v>N/A</v>
      </c>
      <c r="AY17" s="353" t="str">
        <f>IF('Population Figures'!Z17&lt;&gt;"", I17*'Population Figures'!Z17*'Scenario 3 - Nut. Analysis'!K16,"N/A")</f>
        <v>N/A</v>
      </c>
      <c r="AZ17" s="8"/>
      <c r="BA17" s="8"/>
      <c r="BB17" s="8"/>
      <c r="BC17" s="8"/>
      <c r="BD17" s="8"/>
      <c r="BE17" s="8"/>
      <c r="BF17" s="8"/>
      <c r="BG17" s="8"/>
      <c r="BH17" s="8"/>
      <c r="BI17" s="8"/>
      <c r="BJ17" s="8"/>
      <c r="BK17" s="8"/>
      <c r="BL17" s="8"/>
    </row>
    <row r="18" spans="1:64" s="9" customFormat="1" ht="15" x14ac:dyDescent="0.2">
      <c r="A18" s="89" t="str">
        <f>'Population Figures'!E18</f>
        <v>Kabul</v>
      </c>
      <c r="B18" s="91">
        <f>'Population Figures'!F18</f>
        <v>13842577.080000002</v>
      </c>
      <c r="C18" s="253">
        <v>0.05</v>
      </c>
      <c r="D18" s="253">
        <v>0.01</v>
      </c>
      <c r="E18" s="253">
        <v>0.02</v>
      </c>
      <c r="F18" s="253">
        <v>1.4999999999999999E-2</v>
      </c>
      <c r="G18" s="253">
        <v>1.4999999999999999E-2</v>
      </c>
      <c r="H18" s="92">
        <f>B18*('Population Figures'!G18)*C18</f>
        <v>110740.61664000002</v>
      </c>
      <c r="I18" s="92">
        <f>B18*('Population Figures'!G18)*'Scenario 2 - Nut.Analysis'!B20</f>
        <v>442962.46656000009</v>
      </c>
      <c r="J18" s="92">
        <f>B18*('Population Figures'!G18)*'Scenario 2 - Nut.Analysis'!C20</f>
        <v>0</v>
      </c>
      <c r="K18" s="353" t="str">
        <f>IF('Population Figures'!H18&lt;&gt;"",IF(H18&lt;&gt;"",B18*('Population Figures'!H18)*C18, IF(I18&lt;&gt;"", B18*('Population Figures'!H18)*'Scenario 2 - Nut.Analysis'!B20, IF(J18&lt;&gt;"", B18*('Population Figures'!H18)*'Scenario 2 - Nut.Analysis'!C20, "N/A"))), "N/A")</f>
        <v>N/A</v>
      </c>
      <c r="L18" s="353" t="str">
        <f>IF('Population Figures'!I18&lt;&gt;"",IF(H18&lt;&gt;"",B18*('Population Figures'!I18)*C18, IF(I18&lt;&gt;"", B18*('Population Figures'!I18)*'Scenario 2 - Nut.Analysis'!B20, IF(J18&lt;&gt;"", B18*('Population Figures'!I18)*'Scenario 2 - Nut.Analysis'!C20, "N/A"))), "N/A")</f>
        <v>N/A</v>
      </c>
      <c r="M18" s="92">
        <f>B18*('Population Figures'!G18)</f>
        <v>2214812.3328000004</v>
      </c>
      <c r="N18" s="92">
        <f>D18*(B18*'Population Figures'!G18)*'Population Figures'!$C$7</f>
        <v>70873.994649600019</v>
      </c>
      <c r="O18" s="92">
        <f>E18*(B18*'Population Figures'!G18)*'Population Figures'!$C$7</f>
        <v>141747.98929920004</v>
      </c>
      <c r="P18" s="92">
        <f>F18*(B18*'Population Figures'!G18)*'Population Figures'!$C$7</f>
        <v>106310.99197440001</v>
      </c>
      <c r="Q18" s="353" t="str">
        <f>IF('Population Figures'!H18&lt;&gt;"",IF(N18&lt;&gt;"",D18*(B18*'Population Figures'!H18)*'Population Figures'!$C$7, IF(O18&lt;&gt;"", E18*(B18*'Population Figures'!H18)*'Population Figures'!$C$7, IF(P18&lt;&gt;"", F18*(B18*'Population Figures'!H18)*'Population Figures'!$C$7, "N/A"))), "N/A")</f>
        <v>N/A</v>
      </c>
      <c r="R18" s="353" t="str">
        <f>IF('Population Figures'!I18&lt;&gt;"",IF(N18&lt;&gt;"",D18*(B18*'Population Figures'!I18)*'Population Figures'!$C$7, IF(O18&lt;&gt;"", E18*(B18*'Population Figures'!I18)*'Population Figures'!$C$7, IF(P18&lt;&gt;"", F18*(B18*'Population Figures'!I18)*'Population Figures'!$C$7, "N/A"))), "N/A")</f>
        <v>N/A</v>
      </c>
      <c r="S18" s="92">
        <f>IF(N18&lt;&gt;"",N18*'Population Figures'!$C$10,IF(O18&lt;&gt;"",O18*'Population Figures'!$C$10,IF(P18&lt;&gt;"",P18*'Population Figures'!$C$10,"Key Values")))</f>
        <v>7087.3994649600027</v>
      </c>
      <c r="T18" s="353" t="str">
        <f>IF(Q18&lt;&gt;"N/A",Q18*'Population Figures'!$C$10,"N/A")</f>
        <v>N/A</v>
      </c>
      <c r="U18" s="353" t="str">
        <f>IF(R18&lt;&gt;"N/A",R18*'Population Figures'!$C$10,"N/A")</f>
        <v>N/A</v>
      </c>
      <c r="V18" s="92">
        <f>IF(N18&lt;&gt;"",
 D18*(B18*ABS('Population Figures'!G18-'Population Figures'!J18))*'Population Figures'!$C$7*'Population Figures'!$C$11,
IF(O18&lt;&gt;"",
E18*(B18*ABS('Population Figures'!G18-'Population Figures'!J18))*'Population Figures'!$C$7*'Population Figures'!$C$11,
IF(P18&lt;&gt;"",
F18*(B18*ABS('Population Figures'!G18-'Population Figures'!J18))*'Population Figures'!$C$7*'Population Figures'!$C$11, "Key Values")))</f>
        <v>56610.603226368017</v>
      </c>
      <c r="W18" s="353" t="str">
        <f>IF('Population Figures'!H18&lt;&gt;"",
IF(N18&lt;&gt;"",D18*(B18*ABS('Population Figures'!H18-'Population Figures'!K18))*'Population Figures'!$C$7,
 IF(O18&lt;&gt;"", E18*(B18*ABS('Population Figures'!H18-'Population Figures'!K18))*'Population Figures'!$C$7,
 IF(P18&lt;&gt;"", F18*(B18*ABS('Population Figures'!H18-'Population Figures'!K18))*'Population Figures'!$C$7, "N/A"))), "N/A")</f>
        <v>N/A</v>
      </c>
      <c r="X18" s="353" t="str">
        <f>IF('Population Figures'!H18&lt;&gt;"",
IF(N18&lt;&gt;"",D18*(B18*ABS('Population Figures'!I18-'Population Figures'!L18))*'Population Figures'!$C$7,
 IF(O18&lt;&gt;"", E18*(B18*ABS('Population Figures'!I18-'Population Figures'!L18))*'Population Figures'!$C$7,
 IF(P18&lt;&gt;"", F18*(B18*ABS('Population Figures'!I18-'Population Figures'!L18))*'Population Figures'!$C$7, "N/A"))), "N/A")</f>
        <v>N/A</v>
      </c>
      <c r="Y18" s="92">
        <f>(C18-D18)*(B18*ABS('Population Figures'!G18-'Population Figures'!J18)*'Population Figures'!$C$8)</f>
        <v>251602.68100608006</v>
      </c>
      <c r="Z18" s="92">
        <f>ABS('Scenario 2 - Nut.Analysis'!C20-E18)*(B18*ABS('Population Figures'!G18-'Population Figures'!J18))*'Population Figures'!$C$8</f>
        <v>125801.34050304003</v>
      </c>
      <c r="AA18" s="92">
        <f>ABS('Scenario 2 - Nut.Analysis'!D20-F18)*(B18*ABS('Population Figures'!G18-'Population Figures'!J18)*'Population Figures'!$C$8)</f>
        <v>94351.005377280017</v>
      </c>
      <c r="AB18" s="353" t="str" cm="1">
        <f t="array" ref="AB18">IF('Population Figures'!H18&lt;&gt;"",IF(N18&lt;&gt;"",(C18-D18)*(ABS('Population Figures'!H18-'Population Figures'!K18)*B18*'Population Figures'!G18)*'Population Figures'!$C$8, IF(O18&lt;&gt;"", ABS('Scenario 2 - Nut.Analysis'!C20-E18)*(ABS('Population Figures'!H18-'Population Figures'!K18)*B18*'Population Figures'!G18)*'Population Figures'!$C$8, IF(P18&lt;&gt;"", AA*(B18*ABS('Population Figures'!H18-'Population Figures'!K18))*'Population Figures'!$C$7, "N/A"))), "N/A")</f>
        <v>N/A</v>
      </c>
      <c r="AC18" s="353" t="str" cm="1">
        <f t="array" ref="AC18">IF('Population Figures'!I18&lt;&gt;"",IF(O18&lt;&gt;"",(D18-E18)*(ABS('Population Figures'!I18-'Population Figures'!L18)*C18*'Population Figures'!H18)*'Population Figures'!$C$8, IF(P18&lt;&gt;"", ABS('Scenario 2 - Nut.Analysis'!D20-F18)*(ABS('Population Figures'!I18-'Population Figures'!L18)*C18*'Population Figures'!H18)*'Population Figures'!$C$8, IF(Q18&lt;&gt;"", AA*(C18*ABS('Population Figures'!I18-'Population Figures'!L18))*'Population Figures'!$C$7, "N/A"))), "N/A")</f>
        <v>N/A</v>
      </c>
      <c r="AD18" s="92">
        <f>Y18*'Population Figures'!$C$12</f>
        <v>176121.87670425602</v>
      </c>
      <c r="AE18" s="92" cm="1">
        <f t="array" ref="AE18">IF(Y18&lt;&gt;"", 'Population Figures'!P18*Y18*'Population Figures'!$C$13,
IF(Z&lt;&gt;"", 'Population Figures'!P18*Z18*'Population Figures'!$C$13,
IF(AA &lt;&gt;"",'Population Figures'!P18*AA18*'Population Figures'!$C$13, "N/A")))</f>
        <v>9057.6965162188826</v>
      </c>
      <c r="AF18" s="353" t="str">
        <f>IF('Population Figures'!Q18&lt;&gt;"",'Population Figures'!Q18*Y18*'Population Figures'!$C$13,"N/A")</f>
        <v>N/A</v>
      </c>
      <c r="AG18" s="353" t="str">
        <f>IF('Population Figures'!R18&lt;&gt;"",'Population Figures'!R18*Y18*'Population Figures'!$C$13,"N/A")</f>
        <v>N/A</v>
      </c>
      <c r="AH18" s="92">
        <f>B18*'Population Figures'!S18*'Scenario 2 - Nut.Analysis'!D20</f>
        <v>0</v>
      </c>
      <c r="AI18" s="92">
        <f>B18*'Population Figures'!S18</f>
        <v>692128.85400000017</v>
      </c>
      <c r="AJ18" s="92">
        <f>B18*'Population Figures'!S18*ABS('Scenario 2 - Nut.Analysis'!D20-G18)*'Population Figures'!$C$17</f>
        <v>7786.4496075000015</v>
      </c>
      <c r="AK18" s="92">
        <f>B18*'Population Figures'!S18*ABS('Scenario 2 - Nut.Analysis'!D20-G18)*'Population Figures'!$C$18</f>
        <v>10381.932810000002</v>
      </c>
      <c r="AL18" s="92">
        <f>B18*'Population Figures'!U18*'Scenario 2 Contributing Fact'!F21</f>
        <v>110740.61664000002</v>
      </c>
      <c r="AM18" s="353" t="str">
        <f>IF('Population Figures'!W18&lt;&gt;"",B18*'Population Figures'!U18*'Scenario 2 Contributing Fact'!F21*'Population Figures'!W18,"N/A")</f>
        <v>N/A</v>
      </c>
      <c r="AN18" s="353" t="str">
        <f>IF('Population Figures'!V18&lt;&gt;"",B18*'Population Figures'!U18*'Scenario 2 Contributing Fact'!F21*'Population Figures'!V18,"N/A")</f>
        <v>N/A</v>
      </c>
      <c r="AO18" s="92">
        <f>B18*'Population Figures'!U18</f>
        <v>1384257.7080000003</v>
      </c>
      <c r="AP18" s="92">
        <f>B18*'Population Figures'!X18*'Scenario 2 Contributing Fact'!G21</f>
        <v>135711.7262458374</v>
      </c>
      <c r="AQ18" s="353" t="str">
        <f>IF('Population Figures'!Y18&lt;&gt;"", 'Population Figures'!Y18*B18*'Population Figures'!X18*'Scenario 2 Contributing Fact'!G21,"N/A")</f>
        <v>N/A</v>
      </c>
      <c r="AR18" s="353" t="str">
        <f>IF('Population Figures'!Z18&lt;&gt;"", 'Population Figures'!Z18*B18*'Population Figures'!X18*'Scenario 2 Contributing Fact'!G21,"N/A")</f>
        <v>N/A</v>
      </c>
      <c r="AS18" s="92">
        <f>I18*'Population Figures'!U18*'Scenario 3 - Nut. Analysis'!J17</f>
        <v>2895.1834932445317</v>
      </c>
      <c r="AT18" s="353" t="str">
        <f>IF('Population Figures'!AD18&lt;&gt;"",I18*'Population Figures'!W18*'Scenario 3 - Nut. Analysis'!J17,"N/A")</f>
        <v>N/A</v>
      </c>
      <c r="AU18" s="353" t="str">
        <f>IF('Population Figures'!AC18&lt;&gt;"",I18*'Population Figures'!V18*'Scenario 3 - Nut. Analysis'!J17,"N/A")</f>
        <v>N/A</v>
      </c>
      <c r="AV18" s="92">
        <f>I18*'Population Figures'!U18</f>
        <v>44296.24665600001</v>
      </c>
      <c r="AW18" s="92">
        <f>I18*'Population Figures'!X18*'Scenario 3 - Nut. Analysis'!K17</f>
        <v>4342.7752398667972</v>
      </c>
      <c r="AX18" s="353" t="str">
        <f>IF('Population Figures'!Y18&lt;&gt;"", I18*'Population Figures'!Y18*'Scenario 3 - Nut. Analysis'!K17,"N/A")</f>
        <v>N/A</v>
      </c>
      <c r="AY18" s="353" t="str">
        <f>IF('Population Figures'!Z18&lt;&gt;"", I18*'Population Figures'!Z18*'Scenario 3 - Nut. Analysis'!K17,"N/A")</f>
        <v>N/A</v>
      </c>
      <c r="AZ18" s="8"/>
      <c r="BA18" s="8"/>
      <c r="BB18" s="8"/>
      <c r="BC18" s="8"/>
      <c r="BD18" s="8"/>
      <c r="BE18" s="8"/>
      <c r="BF18" s="8"/>
      <c r="BG18" s="8"/>
      <c r="BH18" s="8"/>
      <c r="BI18" s="8"/>
      <c r="BJ18" s="8"/>
      <c r="BK18" s="8"/>
      <c r="BL18" s="8"/>
    </row>
    <row r="19" spans="1:64" s="9" customFormat="1" ht="15" x14ac:dyDescent="0.2">
      <c r="A19" s="89" t="str">
        <f>'Population Figures'!E19</f>
        <v>Kandahar</v>
      </c>
      <c r="B19" s="91">
        <f>'Population Figures'!F19</f>
        <v>3833525.16</v>
      </c>
      <c r="C19" s="253">
        <v>0.05</v>
      </c>
      <c r="D19" s="253">
        <v>0.01</v>
      </c>
      <c r="E19" s="253">
        <v>0.02</v>
      </c>
      <c r="F19" s="253">
        <v>1.4999999999999999E-2</v>
      </c>
      <c r="G19" s="253">
        <v>1.4999999999999999E-2</v>
      </c>
      <c r="H19" s="92">
        <f>B19*('Population Figures'!G19)*C19</f>
        <v>30668.201280000005</v>
      </c>
      <c r="I19" s="92">
        <f>B19*('Population Figures'!G19)*'Scenario 2 - Nut.Analysis'!B21</f>
        <v>30668.201280000005</v>
      </c>
      <c r="J19" s="92">
        <f>B19*('Population Figures'!G19)*'Scenario 2 - Nut.Analysis'!C21</f>
        <v>0</v>
      </c>
      <c r="K19" s="353" t="str">
        <f>IF('Population Figures'!H19&lt;&gt;"",IF(H19&lt;&gt;"",B19*('Population Figures'!H19)*C19, IF(I19&lt;&gt;"", B19*('Population Figures'!H19)*'Scenario 2 - Nut.Analysis'!B21, IF(J19&lt;&gt;"", B19*('Population Figures'!H19)*'Scenario 2 - Nut.Analysis'!C21, "N/A"))), "N/A")</f>
        <v>N/A</v>
      </c>
      <c r="L19" s="353" t="str">
        <f>IF('Population Figures'!I19&lt;&gt;"",IF(H19&lt;&gt;"",B19*('Population Figures'!I19)*C19, IF(I19&lt;&gt;"", B19*('Population Figures'!I19)*'Scenario 2 - Nut.Analysis'!B21, IF(J19&lt;&gt;"", B19*('Population Figures'!I19)*'Scenario 2 - Nut.Analysis'!C21, "N/A"))), "N/A")</f>
        <v>N/A</v>
      </c>
      <c r="M19" s="92">
        <f>B19*('Population Figures'!G19)</f>
        <v>613364.02560000005</v>
      </c>
      <c r="N19" s="92">
        <f>D19*(B19*'Population Figures'!G19)*'Population Figures'!$C$7</f>
        <v>19627.648819200003</v>
      </c>
      <c r="O19" s="92">
        <f>E19*(B19*'Population Figures'!G19)*'Population Figures'!$C$7</f>
        <v>39255.297638400007</v>
      </c>
      <c r="P19" s="92">
        <f>F19*(B19*'Population Figures'!G19)*'Population Figures'!$C$7</f>
        <v>29441.473228800001</v>
      </c>
      <c r="Q19" s="353" t="str">
        <f>IF('Population Figures'!H19&lt;&gt;"",IF(N19&lt;&gt;"",D19*(B19*'Population Figures'!H19)*'Population Figures'!$C$7, IF(O19&lt;&gt;"", E19*(B19*'Population Figures'!H19)*'Population Figures'!$C$7, IF(P19&lt;&gt;"", F19*(B19*'Population Figures'!H19)*'Population Figures'!$C$7, "N/A"))), "N/A")</f>
        <v>N/A</v>
      </c>
      <c r="R19" s="353" t="str">
        <f>IF('Population Figures'!I19&lt;&gt;"",IF(N19&lt;&gt;"",D19*(B19*'Population Figures'!I19)*'Population Figures'!$C$7, IF(O19&lt;&gt;"", E19*(B19*'Population Figures'!I19)*'Population Figures'!$C$7, IF(P19&lt;&gt;"", F19*(B19*'Population Figures'!I19)*'Population Figures'!$C$7, "N/A"))), "N/A")</f>
        <v>N/A</v>
      </c>
      <c r="S19" s="92">
        <f>IF(N19&lt;&gt;"",N19*'Population Figures'!$C$10,IF(O19&lt;&gt;"",O19*'Population Figures'!$C$10,IF(P19&lt;&gt;"",P19*'Population Figures'!$C$10,"Key Values")))</f>
        <v>1962.7648819200003</v>
      </c>
      <c r="T19" s="353" t="str">
        <f>IF(Q19&lt;&gt;"N/A",Q19*'Population Figures'!$C$10,"N/A")</f>
        <v>N/A</v>
      </c>
      <c r="U19" s="353" t="str">
        <f>IF(R19&lt;&gt;"N/A",R19*'Population Figures'!$C$10,"N/A")</f>
        <v>N/A</v>
      </c>
      <c r="V19" s="92">
        <f>IF(N19&lt;&gt;"",
 D19*(B19*ABS('Population Figures'!G19-'Population Figures'!J19))*'Population Figures'!$C$7*'Population Figures'!$C$11,
IF(O19&lt;&gt;"",
E19*(B19*ABS('Population Figures'!G19-'Population Figures'!J19))*'Population Figures'!$C$7*'Population Figures'!$C$11,
IF(P19&lt;&gt;"",
F19*(B19*ABS('Population Figures'!G19-'Population Figures'!J19))*'Population Figures'!$C$7*'Population Figures'!$C$11, "Key Values")))</f>
        <v>15677.584494336003</v>
      </c>
      <c r="W19" s="353" t="str">
        <f>IF('Population Figures'!H19&lt;&gt;"",
IF(N19&lt;&gt;"",D19*(B19*ABS('Population Figures'!H19-'Population Figures'!K19))*'Population Figures'!$C$7,
 IF(O19&lt;&gt;"", E19*(B19*ABS('Population Figures'!H19-'Population Figures'!K19))*'Population Figures'!$C$7,
 IF(P19&lt;&gt;"", F19*(B19*ABS('Population Figures'!H19-'Population Figures'!K19))*'Population Figures'!$C$7, "N/A"))), "N/A")</f>
        <v>N/A</v>
      </c>
      <c r="X19" s="353" t="str">
        <f>IF('Population Figures'!H19&lt;&gt;"",
IF(N19&lt;&gt;"",D19*(B19*ABS('Population Figures'!I19-'Population Figures'!L19))*'Population Figures'!$C$7,
 IF(O19&lt;&gt;"", E19*(B19*ABS('Population Figures'!I19-'Population Figures'!L19))*'Population Figures'!$C$7,
 IF(P19&lt;&gt;"", F19*(B19*ABS('Population Figures'!I19-'Population Figures'!L19))*'Population Figures'!$C$7, "N/A"))), "N/A")</f>
        <v>N/A</v>
      </c>
      <c r="Y19" s="92">
        <f>(C19-D19)*(B19*ABS('Population Figures'!G19-'Population Figures'!J19)*'Population Figures'!$C$8)</f>
        <v>69678.153308160006</v>
      </c>
      <c r="Z19" s="92">
        <f>ABS('Scenario 2 - Nut.Analysis'!C21-E19)*(B19*ABS('Population Figures'!G19-'Population Figures'!J19))*'Population Figures'!$C$8</f>
        <v>34839.076654080003</v>
      </c>
      <c r="AA19" s="92">
        <f>ABS('Scenario 2 - Nut.Analysis'!D21-F19)*(B19*ABS('Population Figures'!G19-'Population Figures'!J19)*'Population Figures'!$C$8)</f>
        <v>26129.307490560001</v>
      </c>
      <c r="AB19" s="353" t="str" cm="1">
        <f t="array" ref="AB19">IF('Population Figures'!H19&lt;&gt;"",IF(N19&lt;&gt;"",(C19-D19)*(ABS('Population Figures'!H19-'Population Figures'!K19)*B19*'Population Figures'!G19)*'Population Figures'!$C$8, IF(O19&lt;&gt;"", ABS('Scenario 2 - Nut.Analysis'!C21-E19)*(ABS('Population Figures'!H19-'Population Figures'!K19)*B19*'Population Figures'!G19)*'Population Figures'!$C$8, IF(P19&lt;&gt;"", AA*(B19*ABS('Population Figures'!H19-'Population Figures'!K19))*'Population Figures'!$C$7, "N/A"))), "N/A")</f>
        <v>N/A</v>
      </c>
      <c r="AC19" s="353" t="str" cm="1">
        <f t="array" ref="AC19">IF('Population Figures'!I19&lt;&gt;"",IF(O19&lt;&gt;"",(D19-E19)*(ABS('Population Figures'!I19-'Population Figures'!L19)*C19*'Population Figures'!H19)*'Population Figures'!$C$8, IF(P19&lt;&gt;"", ABS('Scenario 2 - Nut.Analysis'!D21-F19)*(ABS('Population Figures'!I19-'Population Figures'!L19)*C19*'Population Figures'!H19)*'Population Figures'!$C$8, IF(Q19&lt;&gt;"", AA*(C19*ABS('Population Figures'!I19-'Population Figures'!L19))*'Population Figures'!$C$7, "N/A"))), "N/A")</f>
        <v>N/A</v>
      </c>
      <c r="AD19" s="92">
        <f>Y19*'Population Figures'!$C$12</f>
        <v>48774.707315712003</v>
      </c>
      <c r="AE19" s="92" cm="1">
        <f t="array" ref="AE19">IF(Y19&lt;&gt;"", 'Population Figures'!P19*Y19*'Population Figures'!$C$13,
IF(Z&lt;&gt;"", 'Population Figures'!P19*Z19*'Population Figures'!$C$13,
IF(AA &lt;&gt;"",'Population Figures'!P19*AA19*'Population Figures'!$C$13, "N/A")))</f>
        <v>2508.41351909376</v>
      </c>
      <c r="AF19" s="353" t="str">
        <f>IF('Population Figures'!Q19&lt;&gt;"",'Population Figures'!Q19*Y19*'Population Figures'!$C$13,"N/A")</f>
        <v>N/A</v>
      </c>
      <c r="AG19" s="353" t="str">
        <f>IF('Population Figures'!R19&lt;&gt;"",'Population Figures'!R19*Y19*'Population Figures'!$C$13,"N/A")</f>
        <v>N/A</v>
      </c>
      <c r="AH19" s="92">
        <f>B19*'Population Figures'!S19*'Scenario 2 - Nut.Analysis'!D21</f>
        <v>0</v>
      </c>
      <c r="AI19" s="92">
        <f>B19*'Population Figures'!S19</f>
        <v>191676.25800000003</v>
      </c>
      <c r="AJ19" s="92">
        <f>B19*'Population Figures'!S19*ABS('Scenario 2 - Nut.Analysis'!D21-G19)*'Population Figures'!$C$17</f>
        <v>2156.3579025000004</v>
      </c>
      <c r="AK19" s="92">
        <f>B19*'Population Figures'!S19*ABS('Scenario 2 - Nut.Analysis'!D21-G19)*'Population Figures'!$C$18</f>
        <v>2875.1438700000003</v>
      </c>
      <c r="AL19" s="92">
        <f>B19*'Population Figures'!U19*'Scenario 2 Contributing Fact'!F22</f>
        <v>69003.452880000012</v>
      </c>
      <c r="AM19" s="353" t="str">
        <f>IF('Population Figures'!W19&lt;&gt;"",B19*'Population Figures'!U19*'Scenario 2 Contributing Fact'!F22*'Population Figures'!W19,"N/A")</f>
        <v>N/A</v>
      </c>
      <c r="AN19" s="353" t="str">
        <f>IF('Population Figures'!V19&lt;&gt;"",B19*'Population Figures'!U19*'Scenario 2 Contributing Fact'!F22*'Population Figures'!V19,"N/A")</f>
        <v>N/A</v>
      </c>
      <c r="AO19" s="92">
        <f>B19*'Population Figures'!U19</f>
        <v>383352.51600000006</v>
      </c>
      <c r="AP19" s="92">
        <f>B19*'Population Figures'!X19*'Scenario 2 Contributing Fact'!G22</f>
        <v>105230.265642</v>
      </c>
      <c r="AQ19" s="353" t="str">
        <f>IF('Population Figures'!Y19&lt;&gt;"", 'Population Figures'!Y19*B19*'Population Figures'!X19*'Scenario 2 Contributing Fact'!G22,"N/A")</f>
        <v>N/A</v>
      </c>
      <c r="AR19" s="353" t="str">
        <f>IF('Population Figures'!Z19&lt;&gt;"", 'Population Figures'!Z19*B19*'Population Figures'!X19*'Scenario 2 Contributing Fact'!G22,"N/A")</f>
        <v>N/A</v>
      </c>
      <c r="AS19" s="92">
        <f>I19*'Population Figures'!U19*'Scenario 3 - Nut. Analysis'!J18</f>
        <v>561.22808342400015</v>
      </c>
      <c r="AT19" s="353" t="str">
        <f>IF('Population Figures'!AD19&lt;&gt;"",I19*'Population Figures'!W19*'Scenario 3 - Nut. Analysis'!J18,"N/A")</f>
        <v>N/A</v>
      </c>
      <c r="AU19" s="353" t="str">
        <f>IF('Population Figures'!AC19&lt;&gt;"",I19*'Population Figures'!V19*'Scenario 3 - Nut. Analysis'!J18,"N/A")</f>
        <v>N/A</v>
      </c>
      <c r="AV19" s="92">
        <f>I19*'Population Figures'!U19</f>
        <v>3066.8201280000008</v>
      </c>
      <c r="AW19" s="92">
        <f>I19*'Population Figures'!X19*'Scenario 3 - Nut. Analysis'!K18</f>
        <v>841.84212513600016</v>
      </c>
      <c r="AX19" s="353" t="str">
        <f>IF('Population Figures'!Y19&lt;&gt;"", I19*'Population Figures'!Y19*'Scenario 3 - Nut. Analysis'!K18,"N/A")</f>
        <v>N/A</v>
      </c>
      <c r="AY19" s="353" t="str">
        <f>IF('Population Figures'!Z19&lt;&gt;"", I19*'Population Figures'!Z19*'Scenario 3 - Nut. Analysis'!K18,"N/A")</f>
        <v>N/A</v>
      </c>
      <c r="AZ19" s="8"/>
      <c r="BA19" s="8"/>
      <c r="BB19" s="8"/>
      <c r="BC19" s="8"/>
      <c r="BD19" s="8"/>
      <c r="BE19" s="8"/>
      <c r="BF19" s="8"/>
      <c r="BG19" s="8"/>
      <c r="BH19" s="8"/>
      <c r="BI19" s="8"/>
      <c r="BJ19" s="8"/>
      <c r="BK19" s="8"/>
      <c r="BL19" s="8"/>
    </row>
    <row r="20" spans="1:64" s="9" customFormat="1" ht="15" x14ac:dyDescent="0.2">
      <c r="A20" s="89" t="str">
        <f>'Population Figures'!E20</f>
        <v>Kapisa</v>
      </c>
      <c r="B20" s="91">
        <f>'Population Figures'!F20</f>
        <v>1371629.7000000002</v>
      </c>
      <c r="C20" s="253">
        <v>0.05</v>
      </c>
      <c r="D20" s="253">
        <v>0.01</v>
      </c>
      <c r="E20" s="253">
        <v>0.02</v>
      </c>
      <c r="F20" s="253">
        <v>1.4999999999999999E-2</v>
      </c>
      <c r="G20" s="253">
        <v>1.4999999999999999E-2</v>
      </c>
      <c r="H20" s="92">
        <f>B20*('Population Figures'!G20)*C20</f>
        <v>10973.037600000003</v>
      </c>
      <c r="I20" s="92">
        <f>B20*('Population Figures'!G20)*'Scenario 2 - Nut.Analysis'!B22</f>
        <v>10973.037600000003</v>
      </c>
      <c r="J20" s="92">
        <f>B20*('Population Figures'!G20)*'Scenario 2 - Nut.Analysis'!C22</f>
        <v>0</v>
      </c>
      <c r="K20" s="353" t="str">
        <f>IF('Population Figures'!H20&lt;&gt;"",IF(H20&lt;&gt;"",B20*('Population Figures'!H20)*C20, IF(I20&lt;&gt;"", B20*('Population Figures'!H20)*'Scenario 2 - Nut.Analysis'!B22, IF(J20&lt;&gt;"", B20*('Population Figures'!H20)*'Scenario 2 - Nut.Analysis'!C22, "N/A"))), "N/A")</f>
        <v>N/A</v>
      </c>
      <c r="L20" s="353" t="str">
        <f>IF('Population Figures'!I20&lt;&gt;"",IF(H20&lt;&gt;"",B20*('Population Figures'!I20)*C20, IF(I20&lt;&gt;"", B20*('Population Figures'!I20)*'Scenario 2 - Nut.Analysis'!B22, IF(J20&lt;&gt;"", B20*('Population Figures'!I20)*'Scenario 2 - Nut.Analysis'!C22, "N/A"))), "N/A")</f>
        <v>N/A</v>
      </c>
      <c r="M20" s="92">
        <f>B20*('Population Figures'!G20)</f>
        <v>219460.75200000004</v>
      </c>
      <c r="N20" s="92">
        <f>D20*(B20*'Population Figures'!G20)*'Population Figures'!$C$7</f>
        <v>7022.7440640000023</v>
      </c>
      <c r="O20" s="92">
        <f>E20*(B20*'Population Figures'!G20)*'Population Figures'!$C$7</f>
        <v>14045.488128000005</v>
      </c>
      <c r="P20" s="92">
        <f>F20*(B20*'Population Figures'!G20)*'Population Figures'!$C$7</f>
        <v>10534.116096000002</v>
      </c>
      <c r="Q20" s="353" t="str">
        <f>IF('Population Figures'!H20&lt;&gt;"",IF(N20&lt;&gt;"",D20*(B20*'Population Figures'!H20)*'Population Figures'!$C$7, IF(O20&lt;&gt;"", E20*(B20*'Population Figures'!H20)*'Population Figures'!$C$7, IF(P20&lt;&gt;"", F20*(B20*'Population Figures'!H20)*'Population Figures'!$C$7, "N/A"))), "N/A")</f>
        <v>N/A</v>
      </c>
      <c r="R20" s="353" t="str">
        <f>IF('Population Figures'!I20&lt;&gt;"",IF(N20&lt;&gt;"",D20*(B20*'Population Figures'!I20)*'Population Figures'!$C$7, IF(O20&lt;&gt;"", E20*(B20*'Population Figures'!I20)*'Population Figures'!$C$7, IF(P20&lt;&gt;"", F20*(B20*'Population Figures'!I20)*'Population Figures'!$C$7, "N/A"))), "N/A")</f>
        <v>N/A</v>
      </c>
      <c r="S20" s="92">
        <f>IF(N20&lt;&gt;"",N20*'Population Figures'!$C$10,IF(O20&lt;&gt;"",O20*'Population Figures'!$C$10,IF(P20&lt;&gt;"",P20*'Population Figures'!$C$10,"Key Values")))</f>
        <v>702.27440640000032</v>
      </c>
      <c r="T20" s="353" t="str">
        <f>IF(Q20&lt;&gt;"N/A",Q20*'Population Figures'!$C$10,"N/A")</f>
        <v>N/A</v>
      </c>
      <c r="U20" s="353" t="str">
        <f>IF(R20&lt;&gt;"N/A",R20*'Population Figures'!$C$10,"N/A")</f>
        <v>N/A</v>
      </c>
      <c r="V20" s="92">
        <f>IF(N20&lt;&gt;"",
 D20*(B20*ABS('Population Figures'!G20-'Population Figures'!J20))*'Population Figures'!$C$7*'Population Figures'!$C$11,
IF(O20&lt;&gt;"",
E20*(B20*ABS('Population Figures'!G20-'Population Figures'!J20))*'Population Figures'!$C$7*'Population Figures'!$C$11,
IF(P20&lt;&gt;"",
F20*(B20*ABS('Population Figures'!G20-'Population Figures'!J20))*'Population Figures'!$C$7*'Population Figures'!$C$11, "Key Values")))</f>
        <v>5609.4168211200013</v>
      </c>
      <c r="W20" s="353" t="str">
        <f>IF('Population Figures'!H20&lt;&gt;"",
IF(N20&lt;&gt;"",D20*(B20*ABS('Population Figures'!H20-'Population Figures'!K20))*'Population Figures'!$C$7,
 IF(O20&lt;&gt;"", E20*(B20*ABS('Population Figures'!H20-'Population Figures'!K20))*'Population Figures'!$C$7,
 IF(P20&lt;&gt;"", F20*(B20*ABS('Population Figures'!H20-'Population Figures'!K20))*'Population Figures'!$C$7, "N/A"))), "N/A")</f>
        <v>N/A</v>
      </c>
      <c r="X20" s="353" t="str">
        <f>IF('Population Figures'!H20&lt;&gt;"",
IF(N20&lt;&gt;"",D20*(B20*ABS('Population Figures'!I20-'Population Figures'!L20))*'Population Figures'!$C$7,
 IF(O20&lt;&gt;"", E20*(B20*ABS('Population Figures'!I20-'Population Figures'!L20))*'Population Figures'!$C$7,
 IF(P20&lt;&gt;"", F20*(B20*ABS('Population Figures'!I20-'Population Figures'!L20))*'Population Figures'!$C$7, "N/A"))), "N/A")</f>
        <v>N/A</v>
      </c>
      <c r="Y20" s="92">
        <f>(C20-D20)*(B20*ABS('Population Figures'!G20-'Population Figures'!J20)*'Population Figures'!$C$8)</f>
        <v>24930.741427200002</v>
      </c>
      <c r="Z20" s="92">
        <f>ABS('Scenario 2 - Nut.Analysis'!C22-E20)*(B20*ABS('Population Figures'!G20-'Population Figures'!J20))*'Population Figures'!$C$8</f>
        <v>12465.370713600003</v>
      </c>
      <c r="AA20" s="92">
        <f>ABS('Scenario 2 - Nut.Analysis'!D22-F20)*(B20*ABS('Population Figures'!G20-'Population Figures'!J20)*'Population Figures'!$C$8)</f>
        <v>9349.0280352000009</v>
      </c>
      <c r="AB20" s="353" t="str" cm="1">
        <f t="array" ref="AB20">IF('Population Figures'!H20&lt;&gt;"",IF(N20&lt;&gt;"",(C20-D20)*(ABS('Population Figures'!H20-'Population Figures'!K20)*B20*'Population Figures'!G20)*'Population Figures'!$C$8, IF(O20&lt;&gt;"", ABS('Scenario 2 - Nut.Analysis'!C22-E20)*(ABS('Population Figures'!H20-'Population Figures'!K20)*B20*'Population Figures'!G20)*'Population Figures'!$C$8, IF(P20&lt;&gt;"", AA*(B20*ABS('Population Figures'!H20-'Population Figures'!K20))*'Population Figures'!$C$7, "N/A"))), "N/A")</f>
        <v>N/A</v>
      </c>
      <c r="AC20" s="353" t="str" cm="1">
        <f t="array" ref="AC20">IF('Population Figures'!I20&lt;&gt;"",IF(O20&lt;&gt;"",(D20-E20)*(ABS('Population Figures'!I20-'Population Figures'!L20)*C20*'Population Figures'!H20)*'Population Figures'!$C$8, IF(P20&lt;&gt;"", ABS('Scenario 2 - Nut.Analysis'!D22-F20)*(ABS('Population Figures'!I20-'Population Figures'!L20)*C20*'Population Figures'!H20)*'Population Figures'!$C$8, IF(Q20&lt;&gt;"", AA*(C20*ABS('Population Figures'!I20-'Population Figures'!L20))*'Population Figures'!$C$7, "N/A"))), "N/A")</f>
        <v>N/A</v>
      </c>
      <c r="AD20" s="92">
        <f>Y20*'Population Figures'!$C$12</f>
        <v>17451.518999039999</v>
      </c>
      <c r="AE20" s="92" cm="1">
        <f t="array" ref="AE20">IF(Y20&lt;&gt;"", 'Population Figures'!P20*Y20*'Population Figures'!$C$13,
IF(Z&lt;&gt;"", 'Population Figures'!P20*Z20*'Population Figures'!$C$13,
IF(AA &lt;&gt;"",'Population Figures'!P20*AA20*'Population Figures'!$C$13, "N/A")))</f>
        <v>897.50669137919999</v>
      </c>
      <c r="AF20" s="353" t="str">
        <f>IF('Population Figures'!Q20&lt;&gt;"",'Population Figures'!Q20*Y20*'Population Figures'!$C$13,"N/A")</f>
        <v>N/A</v>
      </c>
      <c r="AG20" s="353" t="str">
        <f>IF('Population Figures'!R20&lt;&gt;"",'Population Figures'!R20*Y20*'Population Figures'!$C$13,"N/A")</f>
        <v>N/A</v>
      </c>
      <c r="AH20" s="92">
        <f>B20*'Population Figures'!S20*'Scenario 2 - Nut.Analysis'!D22</f>
        <v>0</v>
      </c>
      <c r="AI20" s="92">
        <f>B20*'Population Figures'!S20</f>
        <v>68581.485000000015</v>
      </c>
      <c r="AJ20" s="92">
        <f>B20*'Population Figures'!S20*ABS('Scenario 2 - Nut.Analysis'!D22-G20)*'Population Figures'!$C$17</f>
        <v>771.54170625000006</v>
      </c>
      <c r="AK20" s="92">
        <f>B20*'Population Figures'!S20*ABS('Scenario 2 - Nut.Analysis'!D22-G20)*'Population Figures'!$C$18</f>
        <v>1028.7222750000001</v>
      </c>
      <c r="AL20" s="92">
        <f>B20*'Population Figures'!U20*'Scenario 2 Contributing Fact'!F23</f>
        <v>16459.556400000001</v>
      </c>
      <c r="AM20" s="353" t="str">
        <f>IF('Population Figures'!W20&lt;&gt;"",B20*'Population Figures'!U20*'Scenario 2 Contributing Fact'!F23*'Population Figures'!W20,"N/A")</f>
        <v>N/A</v>
      </c>
      <c r="AN20" s="353" t="str">
        <f>IF('Population Figures'!V20&lt;&gt;"",B20*'Population Figures'!U20*'Scenario 2 Contributing Fact'!F23*'Population Figures'!V20,"N/A")</f>
        <v>N/A</v>
      </c>
      <c r="AO20" s="92">
        <f>B20*'Population Figures'!U20</f>
        <v>137162.97000000003</v>
      </c>
      <c r="AP20" s="92">
        <f>B20*'Population Figures'!X20*'Scenario 2 Contributing Fact'!G23</f>
        <v>15293.997426123331</v>
      </c>
      <c r="AQ20" s="353" t="str">
        <f>IF('Population Figures'!Y20&lt;&gt;"", 'Population Figures'!Y20*B20*'Population Figures'!X20*'Scenario 2 Contributing Fact'!G23,"N/A")</f>
        <v>N/A</v>
      </c>
      <c r="AR20" s="353" t="str">
        <f>IF('Population Figures'!Z20&lt;&gt;"", 'Population Figures'!Z20*B20*'Population Figures'!X20*'Scenario 2 Contributing Fact'!G23,"N/A")</f>
        <v>N/A</v>
      </c>
      <c r="AS20" s="92">
        <f>I20*'Population Figures'!U20*'Scenario 3 - Nut. Analysis'!J19</f>
        <v>81.567986272657791</v>
      </c>
      <c r="AT20" s="353" t="str">
        <f>IF('Population Figures'!AD20&lt;&gt;"",I20*'Population Figures'!W20*'Scenario 3 - Nut. Analysis'!J19,"N/A")</f>
        <v>N/A</v>
      </c>
      <c r="AU20" s="353" t="str">
        <f>IF('Population Figures'!AC20&lt;&gt;"",I20*'Population Figures'!V20*'Scenario 3 - Nut. Analysis'!J19,"N/A")</f>
        <v>N/A</v>
      </c>
      <c r="AV20" s="92">
        <f>I20*'Population Figures'!U20</f>
        <v>1097.3037600000005</v>
      </c>
      <c r="AW20" s="92">
        <f>I20*'Population Figures'!X20*'Scenario 3 - Nut. Analysis'!K19</f>
        <v>122.35197940898667</v>
      </c>
      <c r="AX20" s="353" t="str">
        <f>IF('Population Figures'!Y20&lt;&gt;"", I20*'Population Figures'!Y20*'Scenario 3 - Nut. Analysis'!K19,"N/A")</f>
        <v>N/A</v>
      </c>
      <c r="AY20" s="353" t="str">
        <f>IF('Population Figures'!Z20&lt;&gt;"", I20*'Population Figures'!Z20*'Scenario 3 - Nut. Analysis'!K19,"N/A")</f>
        <v>N/A</v>
      </c>
      <c r="AZ20" s="8"/>
      <c r="BA20" s="8"/>
      <c r="BB20" s="8"/>
      <c r="BC20" s="8"/>
      <c r="BD20" s="8"/>
      <c r="BE20" s="8"/>
      <c r="BF20" s="8"/>
      <c r="BG20" s="8"/>
      <c r="BH20" s="8"/>
      <c r="BI20" s="8"/>
      <c r="BJ20" s="8"/>
      <c r="BK20" s="8"/>
      <c r="BL20" s="8"/>
    </row>
    <row r="21" spans="1:64" s="9" customFormat="1" ht="15" x14ac:dyDescent="0.2">
      <c r="A21" s="89" t="str">
        <f>'Population Figures'!E21</f>
        <v>Khost</v>
      </c>
      <c r="B21" s="91">
        <f>'Population Figures'!F21</f>
        <v>1787269.5</v>
      </c>
      <c r="C21" s="253">
        <v>0.05</v>
      </c>
      <c r="D21" s="253">
        <v>0.01</v>
      </c>
      <c r="E21" s="253">
        <v>0.02</v>
      </c>
      <c r="F21" s="253">
        <v>1.4999999999999999E-2</v>
      </c>
      <c r="G21" s="253">
        <v>1.4999999999999999E-2</v>
      </c>
      <c r="H21" s="92">
        <f>B21*('Population Figures'!G21)*C21</f>
        <v>14298.156000000001</v>
      </c>
      <c r="I21" s="92">
        <f>B21*('Population Figures'!G21)*'Scenario 2 - Nut.Analysis'!B23</f>
        <v>14298.156000000001</v>
      </c>
      <c r="J21" s="92">
        <f>B21*('Population Figures'!G21)*'Scenario 2 - Nut.Analysis'!C23</f>
        <v>0</v>
      </c>
      <c r="K21" s="353" t="str">
        <f>IF('Population Figures'!H21&lt;&gt;"",IF(H21&lt;&gt;"",B21*('Population Figures'!H21)*C21, IF(I21&lt;&gt;"", B21*('Population Figures'!H21)*'Scenario 2 - Nut.Analysis'!B23, IF(J21&lt;&gt;"", B21*('Population Figures'!H21)*'Scenario 2 - Nut.Analysis'!C23, "N/A"))), "N/A")</f>
        <v>N/A</v>
      </c>
      <c r="L21" s="353" t="str">
        <f>IF('Population Figures'!I21&lt;&gt;"",IF(H21&lt;&gt;"",B21*('Population Figures'!I21)*C21, IF(I21&lt;&gt;"", B21*('Population Figures'!I21)*'Scenario 2 - Nut.Analysis'!B23, IF(J21&lt;&gt;"", B21*('Population Figures'!I21)*'Scenario 2 - Nut.Analysis'!C23, "N/A"))), "N/A")</f>
        <v>N/A</v>
      </c>
      <c r="M21" s="92">
        <f>B21*('Population Figures'!G21)</f>
        <v>285963.12</v>
      </c>
      <c r="N21" s="92">
        <f>D21*(B21*'Population Figures'!G21)*'Population Figures'!$C$7</f>
        <v>9150.8198400000001</v>
      </c>
      <c r="O21" s="92">
        <f>E21*(B21*'Population Figures'!G21)*'Population Figures'!$C$7</f>
        <v>18301.63968</v>
      </c>
      <c r="P21" s="92">
        <f>F21*(B21*'Population Figures'!G21)*'Population Figures'!$C$7</f>
        <v>13726.22976</v>
      </c>
      <c r="Q21" s="353" t="str">
        <f>IF('Population Figures'!H21&lt;&gt;"",IF(N21&lt;&gt;"",D21*(B21*'Population Figures'!H21)*'Population Figures'!$C$7, IF(O21&lt;&gt;"", E21*(B21*'Population Figures'!H21)*'Population Figures'!$C$7, IF(P21&lt;&gt;"", F21*(B21*'Population Figures'!H21)*'Population Figures'!$C$7, "N/A"))), "N/A")</f>
        <v>N/A</v>
      </c>
      <c r="R21" s="353" t="str">
        <f>IF('Population Figures'!I21&lt;&gt;"",IF(N21&lt;&gt;"",D21*(B21*'Population Figures'!I21)*'Population Figures'!$C$7, IF(O21&lt;&gt;"", E21*(B21*'Population Figures'!I21)*'Population Figures'!$C$7, IF(P21&lt;&gt;"", F21*(B21*'Population Figures'!I21)*'Population Figures'!$C$7, "N/A"))), "N/A")</f>
        <v>N/A</v>
      </c>
      <c r="S21" s="92">
        <f>IF(N21&lt;&gt;"",N21*'Population Figures'!$C$10,IF(O21&lt;&gt;"",O21*'Population Figures'!$C$10,IF(P21&lt;&gt;"",P21*'Population Figures'!$C$10,"Key Values")))</f>
        <v>915.08198400000003</v>
      </c>
      <c r="T21" s="353" t="str">
        <f>IF(Q21&lt;&gt;"N/A",Q21*'Population Figures'!$C$10,"N/A")</f>
        <v>N/A</v>
      </c>
      <c r="U21" s="353" t="str">
        <f>IF(R21&lt;&gt;"N/A",R21*'Population Figures'!$C$10,"N/A")</f>
        <v>N/A</v>
      </c>
      <c r="V21" s="92">
        <f>IF(N21&lt;&gt;"",
 D21*(B21*ABS('Population Figures'!G21-'Population Figures'!J21))*'Population Figures'!$C$7*'Population Figures'!$C$11,
IF(O21&lt;&gt;"",
E21*(B21*ABS('Population Figures'!G21-'Population Figures'!J21))*'Population Figures'!$C$7*'Population Figures'!$C$11,
IF(P21&lt;&gt;"",
F21*(B21*ABS('Population Figures'!G21-'Population Figures'!J21))*'Population Figures'!$C$7*'Population Figures'!$C$11, "Key Values")))</f>
        <v>7309.2173472000013</v>
      </c>
      <c r="W21" s="353" t="str">
        <f>IF('Population Figures'!H21&lt;&gt;"",
IF(N21&lt;&gt;"",D21*(B21*ABS('Population Figures'!H21-'Population Figures'!K21))*'Population Figures'!$C$7,
 IF(O21&lt;&gt;"", E21*(B21*ABS('Population Figures'!H21-'Population Figures'!K21))*'Population Figures'!$C$7,
 IF(P21&lt;&gt;"", F21*(B21*ABS('Population Figures'!H21-'Population Figures'!K21))*'Population Figures'!$C$7, "N/A"))), "N/A")</f>
        <v>N/A</v>
      </c>
      <c r="X21" s="353" t="str">
        <f>IF('Population Figures'!H21&lt;&gt;"",
IF(N21&lt;&gt;"",D21*(B21*ABS('Population Figures'!I21-'Population Figures'!L21))*'Population Figures'!$C$7,
 IF(O21&lt;&gt;"", E21*(B21*ABS('Population Figures'!I21-'Population Figures'!L21))*'Population Figures'!$C$7,
 IF(P21&lt;&gt;"", F21*(B21*ABS('Population Figures'!I21-'Population Figures'!L21))*'Population Figures'!$C$7, "N/A"))), "N/A")</f>
        <v>N/A</v>
      </c>
      <c r="Y21" s="92">
        <f>(C21-D21)*(B21*ABS('Population Figures'!G21-'Population Figures'!J21)*'Population Figures'!$C$8)</f>
        <v>32485.410432000008</v>
      </c>
      <c r="Z21" s="92">
        <f>ABS('Scenario 2 - Nut.Analysis'!C23-E21)*(B21*ABS('Population Figures'!G21-'Population Figures'!J21))*'Population Figures'!$C$8</f>
        <v>16242.705216000002</v>
      </c>
      <c r="AA21" s="92">
        <f>ABS('Scenario 2 - Nut.Analysis'!D23-F21)*(B21*ABS('Population Figures'!G21-'Population Figures'!J21)*'Population Figures'!$C$8)</f>
        <v>12182.028912000002</v>
      </c>
      <c r="AB21" s="353" t="str" cm="1">
        <f t="array" ref="AB21">IF('Population Figures'!H21&lt;&gt;"",IF(N21&lt;&gt;"",(C21-D21)*(ABS('Population Figures'!H21-'Population Figures'!K21)*B21*'Population Figures'!G21)*'Population Figures'!$C$8, IF(O21&lt;&gt;"", ABS('Scenario 2 - Nut.Analysis'!C23-E21)*(ABS('Population Figures'!H21-'Population Figures'!K21)*B21*'Population Figures'!G21)*'Population Figures'!$C$8, IF(P21&lt;&gt;"", AA*(B21*ABS('Population Figures'!H21-'Population Figures'!K21))*'Population Figures'!$C$7, "N/A"))), "N/A")</f>
        <v>N/A</v>
      </c>
      <c r="AC21" s="353" t="str" cm="1">
        <f t="array" ref="AC21">IF('Population Figures'!I21&lt;&gt;"",IF(O21&lt;&gt;"",(D21-E21)*(ABS('Population Figures'!I21-'Population Figures'!L21)*C21*'Population Figures'!H21)*'Population Figures'!$C$8, IF(P21&lt;&gt;"", ABS('Scenario 2 - Nut.Analysis'!D23-F21)*(ABS('Population Figures'!I21-'Population Figures'!L21)*C21*'Population Figures'!H21)*'Population Figures'!$C$8, IF(Q21&lt;&gt;"", AA*(C21*ABS('Population Figures'!I21-'Population Figures'!L21))*'Population Figures'!$C$7, "N/A"))), "N/A")</f>
        <v>N/A</v>
      </c>
      <c r="AD21" s="92">
        <f>Y21*'Population Figures'!$C$12</f>
        <v>22739.787302400004</v>
      </c>
      <c r="AE21" s="92" cm="1">
        <f t="array" ref="AE21">IF(Y21&lt;&gt;"", 'Population Figures'!P21*Y21*'Population Figures'!$C$13,
IF(Z&lt;&gt;"", 'Population Figures'!P21*Z21*'Population Figures'!$C$13,
IF(AA &lt;&gt;"",'Population Figures'!P21*AA21*'Population Figures'!$C$13, "N/A")))</f>
        <v>1169.4747755520002</v>
      </c>
      <c r="AF21" s="353" t="str">
        <f>IF('Population Figures'!Q21&lt;&gt;"",'Population Figures'!Q21*Y21*'Population Figures'!$C$13,"N/A")</f>
        <v>N/A</v>
      </c>
      <c r="AG21" s="353" t="str">
        <f>IF('Population Figures'!R21&lt;&gt;"",'Population Figures'!R21*Y21*'Population Figures'!$C$13,"N/A")</f>
        <v>N/A</v>
      </c>
      <c r="AH21" s="92">
        <f>B21*'Population Figures'!S21*'Scenario 2 - Nut.Analysis'!D23</f>
        <v>0</v>
      </c>
      <c r="AI21" s="92">
        <f>B21*'Population Figures'!S21</f>
        <v>89363.475000000006</v>
      </c>
      <c r="AJ21" s="92">
        <f>B21*'Population Figures'!S21*ABS('Scenario 2 - Nut.Analysis'!D23-G21)*'Population Figures'!$C$17</f>
        <v>1005.3390937500001</v>
      </c>
      <c r="AK21" s="92">
        <f>B21*'Population Figures'!S21*ABS('Scenario 2 - Nut.Analysis'!D23-G21)*'Population Figures'!$C$18</f>
        <v>1340.452125</v>
      </c>
      <c r="AL21" s="92">
        <f>B21*'Population Figures'!U21*'Scenario 2 Contributing Fact'!F24</f>
        <v>25021.773000000005</v>
      </c>
      <c r="AM21" s="353" t="str">
        <f>IF('Population Figures'!W21&lt;&gt;"",B21*'Population Figures'!U21*'Scenario 2 Contributing Fact'!F24*'Population Figures'!W21,"N/A")</f>
        <v>N/A</v>
      </c>
      <c r="AN21" s="353" t="str">
        <f>IF('Population Figures'!V21&lt;&gt;"",B21*'Population Figures'!U21*'Scenario 2 Contributing Fact'!F24*'Population Figures'!V21,"N/A")</f>
        <v>N/A</v>
      </c>
      <c r="AO21" s="92">
        <f>B21*'Population Figures'!U21</f>
        <v>178726.95</v>
      </c>
      <c r="AP21" s="92">
        <f>B21*'Population Figures'!X21*'Scenario 2 Contributing Fact'!G24</f>
        <v>37532.659500000002</v>
      </c>
      <c r="AQ21" s="353" t="str">
        <f>IF('Population Figures'!Y21&lt;&gt;"", 'Population Figures'!Y21*B21*'Population Figures'!X21*'Scenario 2 Contributing Fact'!G24,"N/A")</f>
        <v>N/A</v>
      </c>
      <c r="AR21" s="353" t="str">
        <f>IF('Population Figures'!Z21&lt;&gt;"", 'Population Figures'!Z21*B21*'Population Figures'!X21*'Scenario 2 Contributing Fact'!G24,"N/A")</f>
        <v>N/A</v>
      </c>
      <c r="AS21" s="92">
        <f>I21*'Population Figures'!U21*'Scenario 3 - Nut. Analysis'!J20</f>
        <v>200.17418400000003</v>
      </c>
      <c r="AT21" s="353" t="str">
        <f>IF('Population Figures'!AD21&lt;&gt;"",I21*'Population Figures'!W21*'Scenario 3 - Nut. Analysis'!J20,"N/A")</f>
        <v>N/A</v>
      </c>
      <c r="AU21" s="353" t="str">
        <f>IF('Population Figures'!AC21&lt;&gt;"",I21*'Population Figures'!V21*'Scenario 3 - Nut. Analysis'!J20,"N/A")</f>
        <v>N/A</v>
      </c>
      <c r="AV21" s="92">
        <f>I21*'Population Figures'!U21</f>
        <v>1429.8156000000001</v>
      </c>
      <c r="AW21" s="92">
        <f>I21*'Population Figures'!X21*'Scenario 3 - Nut. Analysis'!K20</f>
        <v>300.26127600000001</v>
      </c>
      <c r="AX21" s="353" t="str">
        <f>IF('Population Figures'!Y21&lt;&gt;"", I21*'Population Figures'!Y21*'Scenario 3 - Nut. Analysis'!K20,"N/A")</f>
        <v>N/A</v>
      </c>
      <c r="AY21" s="353" t="str">
        <f>IF('Population Figures'!Z21&lt;&gt;"", I21*'Population Figures'!Z21*'Scenario 3 - Nut. Analysis'!K20,"N/A")</f>
        <v>N/A</v>
      </c>
      <c r="AZ21" s="8"/>
      <c r="BA21" s="8"/>
      <c r="BB21" s="8"/>
      <c r="BC21" s="8"/>
      <c r="BD21" s="8"/>
      <c r="BE21" s="8"/>
      <c r="BF21" s="8"/>
      <c r="BG21" s="8"/>
      <c r="BH21" s="8"/>
      <c r="BI21" s="8"/>
      <c r="BJ21" s="8"/>
      <c r="BK21" s="8"/>
      <c r="BL21" s="8"/>
    </row>
    <row r="22" spans="1:64" s="9" customFormat="1" ht="15" x14ac:dyDescent="0.2">
      <c r="A22" s="89" t="str">
        <f>'Population Figures'!E22</f>
        <v>Kunar</v>
      </c>
      <c r="B22" s="91">
        <f>'Population Figures'!F22</f>
        <v>1401877.8</v>
      </c>
      <c r="C22" s="253">
        <v>0.05</v>
      </c>
      <c r="D22" s="253">
        <v>0.01</v>
      </c>
      <c r="E22" s="253">
        <v>0.02</v>
      </c>
      <c r="F22" s="253">
        <v>1.4999999999999999E-2</v>
      </c>
      <c r="G22" s="253">
        <v>1.4999999999999999E-2</v>
      </c>
      <c r="H22" s="92">
        <f>B22*('Population Figures'!G22)*C22</f>
        <v>11215.022400000002</v>
      </c>
      <c r="I22" s="92">
        <f>B22*('Population Figures'!G22)*'Scenario 2 - Nut.Analysis'!B24</f>
        <v>11215.022400000002</v>
      </c>
      <c r="J22" s="92">
        <f>B22*('Population Figures'!G22)*'Scenario 2 - Nut.Analysis'!C24</f>
        <v>0</v>
      </c>
      <c r="K22" s="353" t="str">
        <f>IF('Population Figures'!H22&lt;&gt;"",IF(H22&lt;&gt;"",B22*('Population Figures'!H22)*C22, IF(I22&lt;&gt;"", B22*('Population Figures'!H22)*'Scenario 2 - Nut.Analysis'!B24, IF(J22&lt;&gt;"", B22*('Population Figures'!H22)*'Scenario 2 - Nut.Analysis'!C24, "N/A"))), "N/A")</f>
        <v>N/A</v>
      </c>
      <c r="L22" s="353" t="str">
        <f>IF('Population Figures'!I22&lt;&gt;"",IF(H22&lt;&gt;"",B22*('Population Figures'!I22)*C22, IF(I22&lt;&gt;"", B22*('Population Figures'!I22)*'Scenario 2 - Nut.Analysis'!B24, IF(J22&lt;&gt;"", B22*('Population Figures'!I22)*'Scenario 2 - Nut.Analysis'!C24, "N/A"))), "N/A")</f>
        <v>N/A</v>
      </c>
      <c r="M22" s="92">
        <f>B22*('Population Figures'!G22)</f>
        <v>224300.448</v>
      </c>
      <c r="N22" s="92">
        <f>D22*(B22*'Population Figures'!G22)*'Population Figures'!$C$7</f>
        <v>7177.6143360000005</v>
      </c>
      <c r="O22" s="92">
        <f>E22*(B22*'Population Figures'!G22)*'Population Figures'!$C$7</f>
        <v>14355.228672000001</v>
      </c>
      <c r="P22" s="92">
        <f>F22*(B22*'Population Figures'!G22)*'Population Figures'!$C$7</f>
        <v>10766.421504</v>
      </c>
      <c r="Q22" s="353" t="str">
        <f>IF('Population Figures'!H22&lt;&gt;"",IF(N22&lt;&gt;"",D22*(B22*'Population Figures'!H22)*'Population Figures'!$C$7, IF(O22&lt;&gt;"", E22*(B22*'Population Figures'!H22)*'Population Figures'!$C$7, IF(P22&lt;&gt;"", F22*(B22*'Population Figures'!H22)*'Population Figures'!$C$7, "N/A"))), "N/A")</f>
        <v>N/A</v>
      </c>
      <c r="R22" s="353" t="str">
        <f>IF('Population Figures'!I22&lt;&gt;"",IF(N22&lt;&gt;"",D22*(B22*'Population Figures'!I22)*'Population Figures'!$C$7, IF(O22&lt;&gt;"", E22*(B22*'Population Figures'!I22)*'Population Figures'!$C$7, IF(P22&lt;&gt;"", F22*(B22*'Population Figures'!I22)*'Population Figures'!$C$7, "N/A"))), "N/A")</f>
        <v>N/A</v>
      </c>
      <c r="S22" s="92">
        <f>IF(N22&lt;&gt;"",N22*'Population Figures'!$C$10,IF(O22&lt;&gt;"",O22*'Population Figures'!$C$10,IF(P22&lt;&gt;"",P22*'Population Figures'!$C$10,"Key Values")))</f>
        <v>717.76143360000015</v>
      </c>
      <c r="T22" s="353" t="str">
        <f>IF(Q22&lt;&gt;"N/A",Q22*'Population Figures'!$C$10,"N/A")</f>
        <v>N/A</v>
      </c>
      <c r="U22" s="353" t="str">
        <f>IF(R22&lt;&gt;"N/A",R22*'Population Figures'!$C$10,"N/A")</f>
        <v>N/A</v>
      </c>
      <c r="V22" s="92">
        <f>IF(N22&lt;&gt;"",
 D22*(B22*ABS('Population Figures'!G22-'Population Figures'!J22))*'Population Figures'!$C$7*'Population Figures'!$C$11,
IF(O22&lt;&gt;"",
E22*(B22*ABS('Population Figures'!G22-'Population Figures'!J22))*'Population Figures'!$C$7*'Population Figures'!$C$11,
IF(P22&lt;&gt;"",
F22*(B22*ABS('Population Figures'!G22-'Population Figures'!J22))*'Population Figures'!$C$7*'Population Figures'!$C$11, "Key Values")))</f>
        <v>5733.1194508800008</v>
      </c>
      <c r="W22" s="353" t="str">
        <f>IF('Population Figures'!H22&lt;&gt;"",
IF(N22&lt;&gt;"",D22*(B22*ABS('Population Figures'!H22-'Population Figures'!K22))*'Population Figures'!$C$7,
 IF(O22&lt;&gt;"", E22*(B22*ABS('Population Figures'!H22-'Population Figures'!K22))*'Population Figures'!$C$7,
 IF(P22&lt;&gt;"", F22*(B22*ABS('Population Figures'!H22-'Population Figures'!K22))*'Population Figures'!$C$7, "N/A"))), "N/A")</f>
        <v>N/A</v>
      </c>
      <c r="X22" s="353" t="str">
        <f>IF('Population Figures'!H22&lt;&gt;"",
IF(N22&lt;&gt;"",D22*(B22*ABS('Population Figures'!I22-'Population Figures'!L22))*'Population Figures'!$C$7,
 IF(O22&lt;&gt;"", E22*(B22*ABS('Population Figures'!I22-'Population Figures'!L22))*'Population Figures'!$C$7,
 IF(P22&lt;&gt;"", F22*(B22*ABS('Population Figures'!I22-'Population Figures'!L22))*'Population Figures'!$C$7, "N/A"))), "N/A")</f>
        <v>N/A</v>
      </c>
      <c r="Y22" s="92">
        <f>(C22-D22)*(B22*ABS('Population Figures'!G22-'Population Figures'!J22)*'Population Figures'!$C$8)</f>
        <v>25480.530892800005</v>
      </c>
      <c r="Z22" s="92">
        <f>ABS('Scenario 2 - Nut.Analysis'!C24-E22)*(B22*ABS('Population Figures'!G22-'Population Figures'!J22))*'Population Figures'!$C$8</f>
        <v>12740.265446400002</v>
      </c>
      <c r="AA22" s="92">
        <f>ABS('Scenario 2 - Nut.Analysis'!D24-F22)*(B22*ABS('Population Figures'!G22-'Population Figures'!J22)*'Population Figures'!$C$8)</f>
        <v>9555.1990848000005</v>
      </c>
      <c r="AB22" s="353" t="str" cm="1">
        <f t="array" ref="AB22">IF('Population Figures'!H22&lt;&gt;"",IF(N22&lt;&gt;"",(C22-D22)*(ABS('Population Figures'!H22-'Population Figures'!K22)*B22*'Population Figures'!G22)*'Population Figures'!$C$8, IF(O22&lt;&gt;"", ABS('Scenario 2 - Nut.Analysis'!C24-E22)*(ABS('Population Figures'!H22-'Population Figures'!K22)*B22*'Population Figures'!G22)*'Population Figures'!$C$8, IF(P22&lt;&gt;"", AA*(B22*ABS('Population Figures'!H22-'Population Figures'!K22))*'Population Figures'!$C$7, "N/A"))), "N/A")</f>
        <v>N/A</v>
      </c>
      <c r="AC22" s="353" t="str" cm="1">
        <f t="array" ref="AC22">IF('Population Figures'!I22&lt;&gt;"",IF(O22&lt;&gt;"",(D22-E22)*(ABS('Population Figures'!I22-'Population Figures'!L22)*C22*'Population Figures'!H22)*'Population Figures'!$C$8, IF(P22&lt;&gt;"", ABS('Scenario 2 - Nut.Analysis'!D24-F22)*(ABS('Population Figures'!I22-'Population Figures'!L22)*C22*'Population Figures'!H22)*'Population Figures'!$C$8, IF(Q22&lt;&gt;"", AA*(C22*ABS('Population Figures'!I22-'Population Figures'!L22))*'Population Figures'!$C$7, "N/A"))), "N/A")</f>
        <v>N/A</v>
      </c>
      <c r="AD22" s="92">
        <f>Y22*'Population Figures'!$C$12</f>
        <v>17836.371624960004</v>
      </c>
      <c r="AE22" s="92" cm="1">
        <f t="array" ref="AE22">IF(Y22&lt;&gt;"", 'Population Figures'!P22*Y22*'Population Figures'!$C$13,
IF(Z&lt;&gt;"", 'Population Figures'!P22*Z22*'Population Figures'!$C$13,
IF(AA &lt;&gt;"",'Population Figures'!P22*AA22*'Population Figures'!$C$13, "N/A")))</f>
        <v>917.29911214080016</v>
      </c>
      <c r="AF22" s="353" t="str">
        <f>IF('Population Figures'!Q22&lt;&gt;"",'Population Figures'!Q22*Y22*'Population Figures'!$C$13,"N/A")</f>
        <v>N/A</v>
      </c>
      <c r="AG22" s="353" t="str">
        <f>IF('Population Figures'!R22&lt;&gt;"",'Population Figures'!R22*Y22*'Population Figures'!$C$13,"N/A")</f>
        <v>N/A</v>
      </c>
      <c r="AH22" s="92">
        <f>B22*'Population Figures'!S22*'Scenario 2 - Nut.Analysis'!D24</f>
        <v>0</v>
      </c>
      <c r="AI22" s="92">
        <f>B22*'Population Figures'!S22</f>
        <v>70093.89</v>
      </c>
      <c r="AJ22" s="92">
        <f>B22*'Population Figures'!S22*ABS('Scenario 2 - Nut.Analysis'!D24-G22)*'Population Figures'!$C$17</f>
        <v>788.5562625</v>
      </c>
      <c r="AK22" s="92">
        <f>B22*'Population Figures'!S22*ABS('Scenario 2 - Nut.Analysis'!D24-G22)*'Population Figures'!$C$18</f>
        <v>1051.4083499999999</v>
      </c>
      <c r="AL22" s="92">
        <f>B22*'Population Figures'!U22*'Scenario 2 Contributing Fact'!F25</f>
        <v>19626.289200000003</v>
      </c>
      <c r="AM22" s="353" t="str">
        <f>IF('Population Figures'!W22&lt;&gt;"",B22*'Population Figures'!U22*'Scenario 2 Contributing Fact'!F25*'Population Figures'!W22,"N/A")</f>
        <v>N/A</v>
      </c>
      <c r="AN22" s="353" t="str">
        <f>IF('Population Figures'!V22&lt;&gt;"",B22*'Population Figures'!U22*'Scenario 2 Contributing Fact'!F25*'Population Figures'!V22,"N/A")</f>
        <v>N/A</v>
      </c>
      <c r="AO22" s="92">
        <f>B22*'Population Figures'!U22</f>
        <v>140187.78</v>
      </c>
      <c r="AP22" s="92">
        <f>B22*'Population Figures'!X22*'Scenario 2 Contributing Fact'!G25</f>
        <v>33434.785530000001</v>
      </c>
      <c r="AQ22" s="353" t="str">
        <f>IF('Population Figures'!Y22&lt;&gt;"", 'Population Figures'!Y22*B22*'Population Figures'!X22*'Scenario 2 Contributing Fact'!G25,"N/A")</f>
        <v>N/A</v>
      </c>
      <c r="AR22" s="353" t="str">
        <f>IF('Population Figures'!Z22&lt;&gt;"", 'Population Figures'!Z22*B22*'Population Figures'!X22*'Scenario 2 Contributing Fact'!G25,"N/A")</f>
        <v>N/A</v>
      </c>
      <c r="AS22" s="92">
        <f>I22*'Population Figures'!U22*'Scenario 3 - Nut. Analysis'!J21</f>
        <v>178.31885616000005</v>
      </c>
      <c r="AT22" s="353" t="str">
        <f>IF('Population Figures'!AD22&lt;&gt;"",I22*'Population Figures'!W22*'Scenario 3 - Nut. Analysis'!J21,"N/A")</f>
        <v>N/A</v>
      </c>
      <c r="AU22" s="353" t="str">
        <f>IF('Population Figures'!AC22&lt;&gt;"",I22*'Population Figures'!V22*'Scenario 3 - Nut. Analysis'!J21,"N/A")</f>
        <v>N/A</v>
      </c>
      <c r="AV22" s="92">
        <f>I22*'Population Figures'!U22</f>
        <v>1121.5022400000003</v>
      </c>
      <c r="AW22" s="92">
        <f>I22*'Population Figures'!X22*'Scenario 3 - Nut. Analysis'!K21</f>
        <v>267.47828424000005</v>
      </c>
      <c r="AX22" s="353" t="str">
        <f>IF('Population Figures'!Y22&lt;&gt;"", I22*'Population Figures'!Y22*'Scenario 3 - Nut. Analysis'!K21,"N/A")</f>
        <v>N/A</v>
      </c>
      <c r="AY22" s="353" t="str">
        <f>IF('Population Figures'!Z22&lt;&gt;"", I22*'Population Figures'!Z22*'Scenario 3 - Nut. Analysis'!K21,"N/A")</f>
        <v>N/A</v>
      </c>
      <c r="AZ22" s="8"/>
      <c r="BA22" s="8"/>
      <c r="BB22" s="8"/>
      <c r="BC22" s="8"/>
      <c r="BD22" s="8"/>
      <c r="BE22" s="8"/>
      <c r="BF22" s="8"/>
      <c r="BG22" s="8"/>
      <c r="BH22" s="8"/>
      <c r="BI22" s="8"/>
      <c r="BJ22" s="8"/>
      <c r="BK22" s="8"/>
      <c r="BL22" s="8"/>
    </row>
    <row r="23" spans="1:64" s="9" customFormat="1" ht="15" x14ac:dyDescent="0.2">
      <c r="A23" s="89" t="str">
        <f>'Population Figures'!E23</f>
        <v>Kunduz</v>
      </c>
      <c r="B23" s="91">
        <f>'Population Figures'!F23</f>
        <v>3150187.38</v>
      </c>
      <c r="C23" s="253">
        <v>0.05</v>
      </c>
      <c r="D23" s="253">
        <v>0.01</v>
      </c>
      <c r="E23" s="253">
        <v>0.02</v>
      </c>
      <c r="F23" s="253">
        <v>1.4999999999999999E-2</v>
      </c>
      <c r="G23" s="253">
        <v>1.4999999999999999E-2</v>
      </c>
      <c r="H23" s="92">
        <f>B23*('Population Figures'!G23)*C23</f>
        <v>25201.499040000002</v>
      </c>
      <c r="I23" s="92">
        <f>B23*('Population Figures'!G23)*'Scenario 2 - Nut.Analysis'!B25</f>
        <v>25201.499040000002</v>
      </c>
      <c r="J23" s="92">
        <f>B23*('Population Figures'!G23)*'Scenario 2 - Nut.Analysis'!C25</f>
        <v>0</v>
      </c>
      <c r="K23" s="353" t="str">
        <f>IF('Population Figures'!H23&lt;&gt;"",IF(H23&lt;&gt;"",B23*('Population Figures'!H23)*C23, IF(I23&lt;&gt;"", B23*('Population Figures'!H23)*'Scenario 2 - Nut.Analysis'!B25, IF(J23&lt;&gt;"", B23*('Population Figures'!H23)*'Scenario 2 - Nut.Analysis'!C25, "N/A"))), "N/A")</f>
        <v>N/A</v>
      </c>
      <c r="L23" s="353" t="str">
        <f>IF('Population Figures'!I23&lt;&gt;"",IF(H23&lt;&gt;"",B23*('Population Figures'!I23)*C23, IF(I23&lt;&gt;"", B23*('Population Figures'!I23)*'Scenario 2 - Nut.Analysis'!B25, IF(J23&lt;&gt;"", B23*('Population Figures'!I23)*'Scenario 2 - Nut.Analysis'!C25, "N/A"))), "N/A")</f>
        <v>N/A</v>
      </c>
      <c r="M23" s="92">
        <f>B23*('Population Figures'!G23)</f>
        <v>504029.98080000002</v>
      </c>
      <c r="N23" s="92">
        <f>D23*(B23*'Population Figures'!G23)*'Population Figures'!$C$7</f>
        <v>16128.959385600003</v>
      </c>
      <c r="O23" s="92">
        <f>E23*(B23*'Population Figures'!G23)*'Population Figures'!$C$7</f>
        <v>32257.918771200006</v>
      </c>
      <c r="P23" s="92">
        <f>F23*(B23*'Population Figures'!G23)*'Population Figures'!$C$7</f>
        <v>24193.439078399999</v>
      </c>
      <c r="Q23" s="353" t="str">
        <f>IF('Population Figures'!H23&lt;&gt;"",IF(N23&lt;&gt;"",D23*(B23*'Population Figures'!H23)*'Population Figures'!$C$7, IF(O23&lt;&gt;"", E23*(B23*'Population Figures'!H23)*'Population Figures'!$C$7, IF(P23&lt;&gt;"", F23*(B23*'Population Figures'!H23)*'Population Figures'!$C$7, "N/A"))), "N/A")</f>
        <v>N/A</v>
      </c>
      <c r="R23" s="353" t="str">
        <f>IF('Population Figures'!I23&lt;&gt;"",IF(N23&lt;&gt;"",D23*(B23*'Population Figures'!I23)*'Population Figures'!$C$7, IF(O23&lt;&gt;"", E23*(B23*'Population Figures'!I23)*'Population Figures'!$C$7, IF(P23&lt;&gt;"", F23*(B23*'Population Figures'!I23)*'Population Figures'!$C$7, "N/A"))), "N/A")</f>
        <v>N/A</v>
      </c>
      <c r="S23" s="92">
        <f>IF(N23&lt;&gt;"",N23*'Population Figures'!$C$10,IF(O23&lt;&gt;"",O23*'Population Figures'!$C$10,IF(P23&lt;&gt;"",P23*'Population Figures'!$C$10,"Key Values")))</f>
        <v>1612.8959385600003</v>
      </c>
      <c r="T23" s="353" t="str">
        <f>IF(Q23&lt;&gt;"N/A",Q23*'Population Figures'!$C$10,"N/A")</f>
        <v>N/A</v>
      </c>
      <c r="U23" s="353" t="str">
        <f>IF(R23&lt;&gt;"N/A",R23*'Population Figures'!$C$10,"N/A")</f>
        <v>N/A</v>
      </c>
      <c r="V23" s="92">
        <f>IF(N23&lt;&gt;"",
 D23*(B23*ABS('Population Figures'!G23-'Population Figures'!J23))*'Population Figures'!$C$7*'Population Figures'!$C$11,
IF(O23&lt;&gt;"",
E23*(B23*ABS('Population Figures'!G23-'Population Figures'!J23))*'Population Figures'!$C$7*'Population Figures'!$C$11,
IF(P23&lt;&gt;"",
F23*(B23*ABS('Population Figures'!G23-'Population Figures'!J23))*'Population Figures'!$C$7*'Population Figures'!$C$11, "Key Values")))</f>
        <v>12883.006309248003</v>
      </c>
      <c r="W23" s="353" t="str">
        <f>IF('Population Figures'!H23&lt;&gt;"",
IF(N23&lt;&gt;"",D23*(B23*ABS('Population Figures'!H23-'Population Figures'!K23))*'Population Figures'!$C$7,
 IF(O23&lt;&gt;"", E23*(B23*ABS('Population Figures'!H23-'Population Figures'!K23))*'Population Figures'!$C$7,
 IF(P23&lt;&gt;"", F23*(B23*ABS('Population Figures'!H23-'Population Figures'!K23))*'Population Figures'!$C$7, "N/A"))), "N/A")</f>
        <v>N/A</v>
      </c>
      <c r="X23" s="353" t="str">
        <f>IF('Population Figures'!H23&lt;&gt;"",
IF(N23&lt;&gt;"",D23*(B23*ABS('Population Figures'!I23-'Population Figures'!L23))*'Population Figures'!$C$7,
 IF(O23&lt;&gt;"", E23*(B23*ABS('Population Figures'!I23-'Population Figures'!L23))*'Population Figures'!$C$7,
 IF(P23&lt;&gt;"", F23*(B23*ABS('Population Figures'!I23-'Population Figures'!L23))*'Population Figures'!$C$7, "N/A"))), "N/A")</f>
        <v>N/A</v>
      </c>
      <c r="Y23" s="92">
        <f>(C23-D23)*(B23*ABS('Population Figures'!G23-'Population Figures'!J23)*'Population Figures'!$C$8)</f>
        <v>57257.805818880013</v>
      </c>
      <c r="Z23" s="92">
        <f>ABS('Scenario 2 - Nut.Analysis'!C25-E23)*(B23*ABS('Population Figures'!G23-'Population Figures'!J23))*'Population Figures'!$C$8</f>
        <v>28628.902909440007</v>
      </c>
      <c r="AA23" s="92">
        <f>ABS('Scenario 2 - Nut.Analysis'!D25-F23)*(B23*ABS('Population Figures'!G23-'Population Figures'!J23)*'Population Figures'!$C$8)</f>
        <v>21471.677182080006</v>
      </c>
      <c r="AB23" s="353" t="str" cm="1">
        <f t="array" ref="AB23">IF('Population Figures'!H23&lt;&gt;"",IF(N23&lt;&gt;"",(C23-D23)*(ABS('Population Figures'!H23-'Population Figures'!K23)*B23*'Population Figures'!G23)*'Population Figures'!$C$8, IF(O23&lt;&gt;"", ABS('Scenario 2 - Nut.Analysis'!C25-E23)*(ABS('Population Figures'!H23-'Population Figures'!K23)*B23*'Population Figures'!G23)*'Population Figures'!$C$8, IF(P23&lt;&gt;"", AA*(B23*ABS('Population Figures'!H23-'Population Figures'!K23))*'Population Figures'!$C$7, "N/A"))), "N/A")</f>
        <v>N/A</v>
      </c>
      <c r="AC23" s="353" t="str" cm="1">
        <f t="array" ref="AC23">IF('Population Figures'!I23&lt;&gt;"",IF(O23&lt;&gt;"",(D23-E23)*(ABS('Population Figures'!I23-'Population Figures'!L23)*C23*'Population Figures'!H23)*'Population Figures'!$C$8, IF(P23&lt;&gt;"", ABS('Scenario 2 - Nut.Analysis'!D25-F23)*(ABS('Population Figures'!I23-'Population Figures'!L23)*C23*'Population Figures'!H23)*'Population Figures'!$C$8, IF(Q23&lt;&gt;"", AA*(C23*ABS('Population Figures'!I23-'Population Figures'!L23))*'Population Figures'!$C$7, "N/A"))), "N/A")</f>
        <v>N/A</v>
      </c>
      <c r="AD23" s="92">
        <f>Y23*'Population Figures'!$C$12</f>
        <v>40080.464073216004</v>
      </c>
      <c r="AE23" s="92" cm="1">
        <f t="array" ref="AE23">IF(Y23&lt;&gt;"", 'Population Figures'!P23*Y23*'Population Figures'!$C$13,
IF(Z&lt;&gt;"", 'Population Figures'!P23*Z23*'Population Figures'!$C$13,
IF(AA &lt;&gt;"",'Population Figures'!P23*AA23*'Population Figures'!$C$13, "N/A")))</f>
        <v>2061.2810094796805</v>
      </c>
      <c r="AF23" s="353" t="str">
        <f>IF('Population Figures'!Q23&lt;&gt;"",'Population Figures'!Q23*Y23*'Population Figures'!$C$13,"N/A")</f>
        <v>N/A</v>
      </c>
      <c r="AG23" s="353" t="str">
        <f>IF('Population Figures'!R23&lt;&gt;"",'Population Figures'!R23*Y23*'Population Figures'!$C$13,"N/A")</f>
        <v>N/A</v>
      </c>
      <c r="AH23" s="92">
        <f>B23*'Population Figures'!S23*'Scenario 2 - Nut.Analysis'!D25</f>
        <v>0</v>
      </c>
      <c r="AI23" s="92">
        <f>B23*'Population Figures'!S23</f>
        <v>157509.36900000001</v>
      </c>
      <c r="AJ23" s="92">
        <f>B23*'Population Figures'!S23*ABS('Scenario 2 - Nut.Analysis'!D25-G23)*'Population Figures'!$C$17</f>
        <v>1771.9804012499999</v>
      </c>
      <c r="AK23" s="92">
        <f>B23*'Population Figures'!S23*ABS('Scenario 2 - Nut.Analysis'!D25-G23)*'Population Figures'!$C$18</f>
        <v>2362.640535</v>
      </c>
      <c r="AL23" s="92">
        <f>B23*'Population Figures'!U23*'Scenario 2 Contributing Fact'!F26</f>
        <v>6300.3747600000006</v>
      </c>
      <c r="AM23" s="353" t="str">
        <f>IF('Population Figures'!W23&lt;&gt;"",B23*'Population Figures'!U23*'Scenario 2 Contributing Fact'!F26*'Population Figures'!W23,"N/A")</f>
        <v>N/A</v>
      </c>
      <c r="AN23" s="353" t="str">
        <f>IF('Population Figures'!V23&lt;&gt;"",B23*'Population Figures'!U23*'Scenario 2 Contributing Fact'!F26*'Population Figures'!V23,"N/A")</f>
        <v>N/A</v>
      </c>
      <c r="AO23" s="92">
        <f>B23*'Population Figures'!U23</f>
        <v>315018.73800000001</v>
      </c>
      <c r="AP23" s="92">
        <f>B23*'Population Figures'!X23*'Scenario 2 Contributing Fact'!G26</f>
        <v>35565.700105144744</v>
      </c>
      <c r="AQ23" s="353" t="str">
        <f>IF('Population Figures'!Y23&lt;&gt;"", 'Population Figures'!Y23*B23*'Population Figures'!X23*'Scenario 2 Contributing Fact'!G26,"N/A")</f>
        <v>N/A</v>
      </c>
      <c r="AR23" s="353" t="str">
        <f>IF('Population Figures'!Z23&lt;&gt;"", 'Population Figures'!Z23*B23*'Population Figures'!X23*'Scenario 2 Contributing Fact'!G26,"N/A")</f>
        <v>N/A</v>
      </c>
      <c r="AS23" s="92">
        <f>I23*'Population Figures'!U23*'Scenario 3 - Nut. Analysis'!J22</f>
        <v>189.68373389410533</v>
      </c>
      <c r="AT23" s="353" t="str">
        <f>IF('Population Figures'!AD23&lt;&gt;"",I23*'Population Figures'!W23*'Scenario 3 - Nut. Analysis'!J22,"N/A")</f>
        <v>N/A</v>
      </c>
      <c r="AU23" s="353" t="str">
        <f>IF('Population Figures'!AC23&lt;&gt;"",I23*'Population Figures'!V23*'Scenario 3 - Nut. Analysis'!J22,"N/A")</f>
        <v>N/A</v>
      </c>
      <c r="AV23" s="92">
        <f>I23*'Population Figures'!U23</f>
        <v>2520.1499040000003</v>
      </c>
      <c r="AW23" s="92">
        <f>I23*'Population Figures'!X23*'Scenario 3 - Nut. Analysis'!K22</f>
        <v>284.525600841158</v>
      </c>
      <c r="AX23" s="353" t="str">
        <f>IF('Population Figures'!Y23&lt;&gt;"", I23*'Population Figures'!Y23*'Scenario 3 - Nut. Analysis'!K22,"N/A")</f>
        <v>N/A</v>
      </c>
      <c r="AY23" s="353" t="str">
        <f>IF('Population Figures'!Z23&lt;&gt;"", I23*'Population Figures'!Z23*'Scenario 3 - Nut. Analysis'!K22,"N/A")</f>
        <v>N/A</v>
      </c>
      <c r="AZ23" s="8"/>
      <c r="BA23" s="8"/>
      <c r="BB23" s="8"/>
      <c r="BC23" s="8"/>
      <c r="BD23" s="8"/>
      <c r="BE23" s="8"/>
      <c r="BF23" s="8"/>
      <c r="BG23" s="8"/>
      <c r="BH23" s="8"/>
      <c r="BI23" s="8"/>
      <c r="BJ23" s="8"/>
      <c r="BK23" s="8"/>
      <c r="BL23" s="8"/>
    </row>
    <row r="24" spans="1:64" s="9" customFormat="1" ht="15" x14ac:dyDescent="0.2">
      <c r="A24" s="89" t="str">
        <f>'Population Figures'!E24</f>
        <v>Laghman</v>
      </c>
      <c r="B24" s="91">
        <f>'Population Figures'!F24</f>
        <v>1385941.32</v>
      </c>
      <c r="C24" s="253">
        <v>0.05</v>
      </c>
      <c r="D24" s="253">
        <v>0.01</v>
      </c>
      <c r="E24" s="253">
        <v>0.02</v>
      </c>
      <c r="F24" s="253">
        <v>1.4999999999999999E-2</v>
      </c>
      <c r="G24" s="253">
        <v>1.4999999999999999E-2</v>
      </c>
      <c r="H24" s="92">
        <f>B24*('Population Figures'!G24)*C24</f>
        <v>11087.530560000001</v>
      </c>
      <c r="I24" s="92">
        <f>B24*('Population Figures'!G24)*'Scenario 2 - Nut.Analysis'!B26</f>
        <v>11087.530560000001</v>
      </c>
      <c r="J24" s="92">
        <f>B24*('Population Figures'!G24)*'Scenario 2 - Nut.Analysis'!C26</f>
        <v>0</v>
      </c>
      <c r="K24" s="353" t="str">
        <f>IF('Population Figures'!H24&lt;&gt;"",IF(H24&lt;&gt;"",B24*('Population Figures'!H24)*C24, IF(I24&lt;&gt;"", B24*('Population Figures'!H24)*'Scenario 2 - Nut.Analysis'!B26, IF(J24&lt;&gt;"", B24*('Population Figures'!H24)*'Scenario 2 - Nut.Analysis'!C26, "N/A"))), "N/A")</f>
        <v>N/A</v>
      </c>
      <c r="L24" s="353" t="str">
        <f>IF('Population Figures'!I24&lt;&gt;"",IF(H24&lt;&gt;"",B24*('Population Figures'!I24)*C24, IF(I24&lt;&gt;"", B24*('Population Figures'!I24)*'Scenario 2 - Nut.Analysis'!B26, IF(J24&lt;&gt;"", B24*('Population Figures'!I24)*'Scenario 2 - Nut.Analysis'!C26, "N/A"))), "N/A")</f>
        <v>N/A</v>
      </c>
      <c r="M24" s="92">
        <f>B24*('Population Figures'!G24)</f>
        <v>221750.61120000001</v>
      </c>
      <c r="N24" s="92">
        <f>D24*(B24*'Population Figures'!G24)*'Population Figures'!$C$7</f>
        <v>7096.0195584000003</v>
      </c>
      <c r="O24" s="92">
        <f>E24*(B24*'Population Figures'!G24)*'Population Figures'!$C$7</f>
        <v>14192.039116800001</v>
      </c>
      <c r="P24" s="92">
        <f>F24*(B24*'Population Figures'!G24)*'Population Figures'!$C$7</f>
        <v>10644.029337600001</v>
      </c>
      <c r="Q24" s="353" t="str">
        <f>IF('Population Figures'!H24&lt;&gt;"",IF(N24&lt;&gt;"",D24*(B24*'Population Figures'!H24)*'Population Figures'!$C$7, IF(O24&lt;&gt;"", E24*(B24*'Population Figures'!H24)*'Population Figures'!$C$7, IF(P24&lt;&gt;"", F24*(B24*'Population Figures'!H24)*'Population Figures'!$C$7, "N/A"))), "N/A")</f>
        <v>N/A</v>
      </c>
      <c r="R24" s="353" t="str">
        <f>IF('Population Figures'!I24&lt;&gt;"",IF(N24&lt;&gt;"",D24*(B24*'Population Figures'!I24)*'Population Figures'!$C$7, IF(O24&lt;&gt;"", E24*(B24*'Population Figures'!I24)*'Population Figures'!$C$7, IF(P24&lt;&gt;"", F24*(B24*'Population Figures'!I24)*'Population Figures'!$C$7, "N/A"))), "N/A")</f>
        <v>N/A</v>
      </c>
      <c r="S24" s="92">
        <f>IF(N24&lt;&gt;"",N24*'Population Figures'!$C$10,IF(O24&lt;&gt;"",O24*'Population Figures'!$C$10,IF(P24&lt;&gt;"",P24*'Population Figures'!$C$10,"Key Values")))</f>
        <v>709.60195584000007</v>
      </c>
      <c r="T24" s="353" t="str">
        <f>IF(Q24&lt;&gt;"N/A",Q24*'Population Figures'!$C$10,"N/A")</f>
        <v>N/A</v>
      </c>
      <c r="U24" s="353" t="str">
        <f>IF(R24&lt;&gt;"N/A",R24*'Population Figures'!$C$10,"N/A")</f>
        <v>N/A</v>
      </c>
      <c r="V24" s="92">
        <f>IF(N24&lt;&gt;"",
 D24*(B24*ABS('Population Figures'!G24-'Population Figures'!J24))*'Population Figures'!$C$7*'Population Figures'!$C$11,
IF(O24&lt;&gt;"",
E24*(B24*ABS('Population Figures'!G24-'Population Figures'!J24))*'Population Figures'!$C$7*'Population Figures'!$C$11,
IF(P24&lt;&gt;"",
F24*(B24*ABS('Population Figures'!G24-'Population Figures'!J24))*'Population Figures'!$C$7*'Population Figures'!$C$11, "Key Values")))</f>
        <v>5667.9456222720009</v>
      </c>
      <c r="W24" s="353" t="str">
        <f>IF('Population Figures'!H24&lt;&gt;"",
IF(N24&lt;&gt;"",D24*(B24*ABS('Population Figures'!H24-'Population Figures'!K24))*'Population Figures'!$C$7,
 IF(O24&lt;&gt;"", E24*(B24*ABS('Population Figures'!H24-'Population Figures'!K24))*'Population Figures'!$C$7,
 IF(P24&lt;&gt;"", F24*(B24*ABS('Population Figures'!H24-'Population Figures'!K24))*'Population Figures'!$C$7, "N/A"))), "N/A")</f>
        <v>N/A</v>
      </c>
      <c r="X24" s="353" t="str">
        <f>IF('Population Figures'!H24&lt;&gt;"",
IF(N24&lt;&gt;"",D24*(B24*ABS('Population Figures'!I24-'Population Figures'!L24))*'Population Figures'!$C$7,
 IF(O24&lt;&gt;"", E24*(B24*ABS('Population Figures'!I24-'Population Figures'!L24))*'Population Figures'!$C$7,
 IF(P24&lt;&gt;"", F24*(B24*ABS('Population Figures'!I24-'Population Figures'!L24))*'Population Figures'!$C$7, "N/A"))), "N/A")</f>
        <v>N/A</v>
      </c>
      <c r="Y24" s="92">
        <f>(C24-D24)*(B24*ABS('Population Figures'!G24-'Population Figures'!J24)*'Population Figures'!$C$8)</f>
        <v>25190.869432320003</v>
      </c>
      <c r="Z24" s="92">
        <f>ABS('Scenario 2 - Nut.Analysis'!C26-E24)*(B24*ABS('Population Figures'!G24-'Population Figures'!J24))*'Population Figures'!$C$8</f>
        <v>12595.434716160002</v>
      </c>
      <c r="AA24" s="92">
        <f>ABS('Scenario 2 - Nut.Analysis'!D26-F24)*(B24*ABS('Population Figures'!G24-'Population Figures'!J24)*'Population Figures'!$C$8)</f>
        <v>9446.5760371200013</v>
      </c>
      <c r="AB24" s="353" t="str" cm="1">
        <f t="array" ref="AB24">IF('Population Figures'!H24&lt;&gt;"",IF(N24&lt;&gt;"",(C24-D24)*(ABS('Population Figures'!H24-'Population Figures'!K24)*B24*'Population Figures'!G24)*'Population Figures'!$C$8, IF(O24&lt;&gt;"", ABS('Scenario 2 - Nut.Analysis'!C26-E24)*(ABS('Population Figures'!H24-'Population Figures'!K24)*B24*'Population Figures'!G24)*'Population Figures'!$C$8, IF(P24&lt;&gt;"", AA*(B24*ABS('Population Figures'!H24-'Population Figures'!K24))*'Population Figures'!$C$7, "N/A"))), "N/A")</f>
        <v>N/A</v>
      </c>
      <c r="AC24" s="353" t="str" cm="1">
        <f t="array" ref="AC24">IF('Population Figures'!I24&lt;&gt;"",IF(O24&lt;&gt;"",(D24-E24)*(ABS('Population Figures'!I24-'Population Figures'!L24)*C24*'Population Figures'!H24)*'Population Figures'!$C$8, IF(P24&lt;&gt;"", ABS('Scenario 2 - Nut.Analysis'!D26-F24)*(ABS('Population Figures'!I24-'Population Figures'!L24)*C24*'Population Figures'!H24)*'Population Figures'!$C$8, IF(Q24&lt;&gt;"", AA*(C24*ABS('Population Figures'!I24-'Population Figures'!L24))*'Population Figures'!$C$7, "N/A"))), "N/A")</f>
        <v>N/A</v>
      </c>
      <c r="AD24" s="92">
        <f>Y24*'Population Figures'!$C$12</f>
        <v>17633.608602624001</v>
      </c>
      <c r="AE24" s="92" cm="1">
        <f t="array" ref="AE24">IF(Y24&lt;&gt;"", 'Population Figures'!P24*Y24*'Population Figures'!$C$13,
IF(Z&lt;&gt;"", 'Population Figures'!P24*Z24*'Population Figures'!$C$13,
IF(AA &lt;&gt;"",'Population Figures'!P24*AA24*'Population Figures'!$C$13, "N/A")))</f>
        <v>906.8712995635201</v>
      </c>
      <c r="AF24" s="353" t="str">
        <f>IF('Population Figures'!Q24&lt;&gt;"",'Population Figures'!Q24*Y24*'Population Figures'!$C$13,"N/A")</f>
        <v>N/A</v>
      </c>
      <c r="AG24" s="353" t="str">
        <f>IF('Population Figures'!R24&lt;&gt;"",'Population Figures'!R24*Y24*'Population Figures'!$C$13,"N/A")</f>
        <v>N/A</v>
      </c>
      <c r="AH24" s="92">
        <f>B24*'Population Figures'!S24*'Scenario 2 - Nut.Analysis'!D26</f>
        <v>0</v>
      </c>
      <c r="AI24" s="92">
        <f>B24*'Population Figures'!S24</f>
        <v>69297.066000000006</v>
      </c>
      <c r="AJ24" s="92">
        <f>B24*'Population Figures'!S24*ABS('Scenario 2 - Nut.Analysis'!D26-G24)*'Population Figures'!$C$17</f>
        <v>779.59199250000006</v>
      </c>
      <c r="AK24" s="92">
        <f>B24*'Population Figures'!S24*ABS('Scenario 2 - Nut.Analysis'!D26-G24)*'Population Figures'!$C$18</f>
        <v>1039.4559900000002</v>
      </c>
      <c r="AL24" s="92">
        <f>B24*'Population Figures'!U24*'Scenario 2 Contributing Fact'!F27</f>
        <v>22175.061120000002</v>
      </c>
      <c r="AM24" s="353" t="str">
        <f>IF('Population Figures'!W24&lt;&gt;"",B24*'Population Figures'!U24*'Scenario 2 Contributing Fact'!F27*'Population Figures'!W24,"N/A")</f>
        <v>N/A</v>
      </c>
      <c r="AN24" s="353" t="str">
        <f>IF('Population Figures'!V24&lt;&gt;"",B24*'Population Figures'!U24*'Scenario 2 Contributing Fact'!F27*'Population Figures'!V24,"N/A")</f>
        <v>N/A</v>
      </c>
      <c r="AO24" s="92">
        <f>B24*'Population Figures'!U24</f>
        <v>138594.13200000001</v>
      </c>
      <c r="AP24" s="92">
        <f>B24*'Population Figures'!X24*'Scenario 2 Contributing Fact'!G27</f>
        <v>34925.721264</v>
      </c>
      <c r="AQ24" s="353" t="str">
        <f>IF('Population Figures'!Y24&lt;&gt;"", 'Population Figures'!Y24*B24*'Population Figures'!X24*'Scenario 2 Contributing Fact'!G27,"N/A")</f>
        <v>N/A</v>
      </c>
      <c r="AR24" s="353" t="str">
        <f>IF('Population Figures'!Z24&lt;&gt;"", 'Population Figures'!Z24*B24*'Population Figures'!X24*'Scenario 2 Contributing Fact'!G27,"N/A")</f>
        <v>N/A</v>
      </c>
      <c r="AS24" s="92">
        <f>I24*'Population Figures'!U24*'Scenario 3 - Nut. Analysis'!J23</f>
        <v>186.27051340800006</v>
      </c>
      <c r="AT24" s="353" t="str">
        <f>IF('Population Figures'!AD24&lt;&gt;"",I24*'Population Figures'!W24*'Scenario 3 - Nut. Analysis'!J23,"N/A")</f>
        <v>N/A</v>
      </c>
      <c r="AU24" s="353" t="str">
        <f>IF('Population Figures'!AC24&lt;&gt;"",I24*'Population Figures'!V24*'Scenario 3 - Nut. Analysis'!J23,"N/A")</f>
        <v>N/A</v>
      </c>
      <c r="AV24" s="92">
        <f>I24*'Population Figures'!U24</f>
        <v>1108.7530560000002</v>
      </c>
      <c r="AW24" s="92">
        <f>I24*'Population Figures'!X24*'Scenario 3 - Nut. Analysis'!K23</f>
        <v>279.40577011200003</v>
      </c>
      <c r="AX24" s="353" t="str">
        <f>IF('Population Figures'!Y24&lt;&gt;"", I24*'Population Figures'!Y24*'Scenario 3 - Nut. Analysis'!K23,"N/A")</f>
        <v>N/A</v>
      </c>
      <c r="AY24" s="353" t="str">
        <f>IF('Population Figures'!Z24&lt;&gt;"", I24*'Population Figures'!Z24*'Scenario 3 - Nut. Analysis'!K23,"N/A")</f>
        <v>N/A</v>
      </c>
      <c r="AZ24" s="8"/>
      <c r="BA24" s="8"/>
      <c r="BB24" s="8"/>
      <c r="BC24" s="8"/>
      <c r="BD24" s="8"/>
      <c r="BE24" s="8"/>
      <c r="BF24" s="8"/>
      <c r="BG24" s="8"/>
      <c r="BH24" s="8"/>
      <c r="BI24" s="8"/>
      <c r="BJ24" s="8"/>
      <c r="BK24" s="8"/>
      <c r="BL24" s="8"/>
    </row>
    <row r="25" spans="1:64" s="9" customFormat="1" ht="15" x14ac:dyDescent="0.2">
      <c r="A25" s="89" t="str">
        <f>'Population Figures'!E25</f>
        <v>Logar</v>
      </c>
      <c r="B25" s="91">
        <f>'Population Figures'!F25</f>
        <v>1219517.1000000001</v>
      </c>
      <c r="C25" s="253">
        <v>0.05</v>
      </c>
      <c r="D25" s="253">
        <v>0.01</v>
      </c>
      <c r="E25" s="253">
        <v>0.02</v>
      </c>
      <c r="F25" s="253">
        <v>1.4999999999999999E-2</v>
      </c>
      <c r="G25" s="253">
        <v>1.4999999999999999E-2</v>
      </c>
      <c r="H25" s="92">
        <f>B25*('Population Figures'!G25)*C25</f>
        <v>9756.1368000000002</v>
      </c>
      <c r="I25" s="92">
        <f>B25*('Population Figures'!G25)*'Scenario 2 - Nut.Analysis'!B27</f>
        <v>9756.1368000000002</v>
      </c>
      <c r="J25" s="92">
        <f>B25*('Population Figures'!G25)*'Scenario 2 - Nut.Analysis'!C27</f>
        <v>0</v>
      </c>
      <c r="K25" s="353" t="str">
        <f>IF('Population Figures'!H25&lt;&gt;"",IF(H25&lt;&gt;"",B25*('Population Figures'!H25)*C25, IF(I25&lt;&gt;"", B25*('Population Figures'!H25)*'Scenario 2 - Nut.Analysis'!B27, IF(J25&lt;&gt;"", B25*('Population Figures'!H25)*'Scenario 2 - Nut.Analysis'!C27, "N/A"))), "N/A")</f>
        <v>N/A</v>
      </c>
      <c r="L25" s="353" t="str">
        <f>IF('Population Figures'!I25&lt;&gt;"",IF(H25&lt;&gt;"",B25*('Population Figures'!I25)*C25, IF(I25&lt;&gt;"", B25*('Population Figures'!I25)*'Scenario 2 - Nut.Analysis'!B27, IF(J25&lt;&gt;"", B25*('Population Figures'!I25)*'Scenario 2 - Nut.Analysis'!C27, "N/A"))), "N/A")</f>
        <v>N/A</v>
      </c>
      <c r="M25" s="92">
        <f>B25*('Population Figures'!G25)</f>
        <v>195122.736</v>
      </c>
      <c r="N25" s="92">
        <f>D25*(B25*'Population Figures'!G25)*'Population Figures'!$C$7</f>
        <v>6243.927552000001</v>
      </c>
      <c r="O25" s="92">
        <f>E25*(B25*'Population Figures'!G25)*'Population Figures'!$C$7</f>
        <v>12487.855104000002</v>
      </c>
      <c r="P25" s="92">
        <f>F25*(B25*'Population Figures'!G25)*'Population Figures'!$C$7</f>
        <v>9365.8913279999997</v>
      </c>
      <c r="Q25" s="353" t="str">
        <f>IF('Population Figures'!H25&lt;&gt;"",IF(N25&lt;&gt;"",D25*(B25*'Population Figures'!H25)*'Population Figures'!$C$7, IF(O25&lt;&gt;"", E25*(B25*'Population Figures'!H25)*'Population Figures'!$C$7, IF(P25&lt;&gt;"", F25*(B25*'Population Figures'!H25)*'Population Figures'!$C$7, "N/A"))), "N/A")</f>
        <v>N/A</v>
      </c>
      <c r="R25" s="353" t="str">
        <f>IF('Population Figures'!I25&lt;&gt;"",IF(N25&lt;&gt;"",D25*(B25*'Population Figures'!I25)*'Population Figures'!$C$7, IF(O25&lt;&gt;"", E25*(B25*'Population Figures'!I25)*'Population Figures'!$C$7, IF(P25&lt;&gt;"", F25*(B25*'Population Figures'!I25)*'Population Figures'!$C$7, "N/A"))), "N/A")</f>
        <v>N/A</v>
      </c>
      <c r="S25" s="92">
        <f>IF(N25&lt;&gt;"",N25*'Population Figures'!$C$10,IF(O25&lt;&gt;"",O25*'Population Figures'!$C$10,IF(P25&lt;&gt;"",P25*'Population Figures'!$C$10,"Key Values")))</f>
        <v>624.39275520000012</v>
      </c>
      <c r="T25" s="353" t="str">
        <f>IF(Q25&lt;&gt;"N/A",Q25*'Population Figures'!$C$10,"N/A")</f>
        <v>N/A</v>
      </c>
      <c r="U25" s="353" t="str">
        <f>IF(R25&lt;&gt;"N/A",R25*'Population Figures'!$C$10,"N/A")</f>
        <v>N/A</v>
      </c>
      <c r="V25" s="92">
        <f>IF(N25&lt;&gt;"",
 D25*(B25*ABS('Population Figures'!G25-'Population Figures'!J25))*'Population Figures'!$C$7*'Population Figures'!$C$11,
IF(O25&lt;&gt;"",
E25*(B25*ABS('Population Figures'!G25-'Population Figures'!J25))*'Population Figures'!$C$7*'Population Figures'!$C$11,
IF(P25&lt;&gt;"",
F25*(B25*ABS('Population Figures'!G25-'Population Figures'!J25))*'Population Figures'!$C$7*'Population Figures'!$C$11, "Key Values")))</f>
        <v>4987.3371321600016</v>
      </c>
      <c r="W25" s="353" t="str">
        <f>IF('Population Figures'!H25&lt;&gt;"",
IF(N25&lt;&gt;"",D25*(B25*ABS('Population Figures'!H25-'Population Figures'!K25))*'Population Figures'!$C$7,
 IF(O25&lt;&gt;"", E25*(B25*ABS('Population Figures'!H25-'Population Figures'!K25))*'Population Figures'!$C$7,
 IF(P25&lt;&gt;"", F25*(B25*ABS('Population Figures'!H25-'Population Figures'!K25))*'Population Figures'!$C$7, "N/A"))), "N/A")</f>
        <v>N/A</v>
      </c>
      <c r="X25" s="353" t="str">
        <f>IF('Population Figures'!H25&lt;&gt;"",
IF(N25&lt;&gt;"",D25*(B25*ABS('Population Figures'!I25-'Population Figures'!L25))*'Population Figures'!$C$7,
 IF(O25&lt;&gt;"", E25*(B25*ABS('Population Figures'!I25-'Population Figures'!L25))*'Population Figures'!$C$7,
 IF(P25&lt;&gt;"", F25*(B25*ABS('Population Figures'!I25-'Population Figures'!L25))*'Population Figures'!$C$7, "N/A"))), "N/A")</f>
        <v>N/A</v>
      </c>
      <c r="Y25" s="92">
        <f>(C25-D25)*(B25*ABS('Population Figures'!G25-'Population Figures'!J25)*'Population Figures'!$C$8)</f>
        <v>22165.942809600005</v>
      </c>
      <c r="Z25" s="92">
        <f>ABS('Scenario 2 - Nut.Analysis'!C27-E25)*(B25*ABS('Population Figures'!G25-'Population Figures'!J25))*'Population Figures'!$C$8</f>
        <v>11082.971404800002</v>
      </c>
      <c r="AA25" s="92">
        <f>ABS('Scenario 2 - Nut.Analysis'!D27-F25)*(B25*ABS('Population Figures'!G25-'Population Figures'!J25)*'Population Figures'!$C$8)</f>
        <v>8312.2285536000018</v>
      </c>
      <c r="AB25" s="353" t="str" cm="1">
        <f t="array" ref="AB25">IF('Population Figures'!H25&lt;&gt;"",IF(N25&lt;&gt;"",(C25-D25)*(ABS('Population Figures'!H25-'Population Figures'!K25)*B25*'Population Figures'!G25)*'Population Figures'!$C$8, IF(O25&lt;&gt;"", ABS('Scenario 2 - Nut.Analysis'!C27-E25)*(ABS('Population Figures'!H25-'Population Figures'!K25)*B25*'Population Figures'!G25)*'Population Figures'!$C$8, IF(P25&lt;&gt;"", AA*(B25*ABS('Population Figures'!H25-'Population Figures'!K25))*'Population Figures'!$C$7, "N/A"))), "N/A")</f>
        <v>N/A</v>
      </c>
      <c r="AC25" s="353" t="str" cm="1">
        <f t="array" ref="AC25">IF('Population Figures'!I25&lt;&gt;"",IF(O25&lt;&gt;"",(D25-E25)*(ABS('Population Figures'!I25-'Population Figures'!L25)*C25*'Population Figures'!H25)*'Population Figures'!$C$8, IF(P25&lt;&gt;"", ABS('Scenario 2 - Nut.Analysis'!D27-F25)*(ABS('Population Figures'!I25-'Population Figures'!L25)*C25*'Population Figures'!H25)*'Population Figures'!$C$8, IF(Q25&lt;&gt;"", AA*(C25*ABS('Population Figures'!I25-'Population Figures'!L25))*'Population Figures'!$C$7, "N/A"))), "N/A")</f>
        <v>N/A</v>
      </c>
      <c r="AD25" s="92">
        <f>Y25*'Population Figures'!$C$12</f>
        <v>15516.159966720003</v>
      </c>
      <c r="AE25" s="92" cm="1">
        <f t="array" ref="AE25">IF(Y25&lt;&gt;"", 'Population Figures'!P25*Y25*'Population Figures'!$C$13,
IF(Z&lt;&gt;"", 'Population Figures'!P25*Z25*'Population Figures'!$C$13,
IF(AA &lt;&gt;"",'Population Figures'!P25*AA25*'Population Figures'!$C$13, "N/A")))</f>
        <v>797.97394114560007</v>
      </c>
      <c r="AF25" s="353" t="str">
        <f>IF('Population Figures'!Q25&lt;&gt;"",'Population Figures'!Q25*Y25*'Population Figures'!$C$13,"N/A")</f>
        <v>N/A</v>
      </c>
      <c r="AG25" s="353" t="str">
        <f>IF('Population Figures'!R25&lt;&gt;"",'Population Figures'!R25*Y25*'Population Figures'!$C$13,"N/A")</f>
        <v>N/A</v>
      </c>
      <c r="AH25" s="92">
        <f>B25*'Population Figures'!S25*'Scenario 2 - Nut.Analysis'!D27</f>
        <v>0</v>
      </c>
      <c r="AI25" s="92">
        <f>B25*'Population Figures'!S25</f>
        <v>60975.85500000001</v>
      </c>
      <c r="AJ25" s="92">
        <f>B25*'Population Figures'!S25*ABS('Scenario 2 - Nut.Analysis'!D27-G25)*'Population Figures'!$C$17</f>
        <v>685.97836875000007</v>
      </c>
      <c r="AK25" s="92">
        <f>B25*'Population Figures'!S25*ABS('Scenario 2 - Nut.Analysis'!D27-G25)*'Population Figures'!$C$18</f>
        <v>914.63782500000013</v>
      </c>
      <c r="AL25" s="92">
        <f>B25*'Population Figures'!U25*'Scenario 2 Contributing Fact'!F28</f>
        <v>14634.205200000002</v>
      </c>
      <c r="AM25" s="353" t="str">
        <f>IF('Population Figures'!W25&lt;&gt;"",B25*'Population Figures'!U25*'Scenario 2 Contributing Fact'!F28*'Population Figures'!W25,"N/A")</f>
        <v>N/A</v>
      </c>
      <c r="AN25" s="353" t="str">
        <f>IF('Population Figures'!V25&lt;&gt;"",B25*'Population Figures'!U25*'Scenario 2 Contributing Fact'!F28*'Population Figures'!V25,"N/A")</f>
        <v>N/A</v>
      </c>
      <c r="AO25" s="92">
        <f>B25*'Population Figures'!U25</f>
        <v>121951.71000000002</v>
      </c>
      <c r="AP25" s="92">
        <f>B25*'Population Figures'!X25*'Scenario 2 Contributing Fact'!G28</f>
        <v>12347.800150204295</v>
      </c>
      <c r="AQ25" s="353" t="str">
        <f>IF('Population Figures'!Y25&lt;&gt;"", 'Population Figures'!Y25*B25*'Population Figures'!X25*'Scenario 2 Contributing Fact'!G28,"N/A")</f>
        <v>N/A</v>
      </c>
      <c r="AR25" s="353" t="str">
        <f>IF('Population Figures'!Z25&lt;&gt;"", 'Population Figures'!Z25*B25*'Population Figures'!X25*'Scenario 2 Contributing Fact'!G28,"N/A")</f>
        <v>N/A</v>
      </c>
      <c r="AS25" s="92">
        <f>I25*'Population Figures'!U25*'Scenario 3 - Nut. Analysis'!J24</f>
        <v>65.854934134422905</v>
      </c>
      <c r="AT25" s="353" t="str">
        <f>IF('Population Figures'!AD25&lt;&gt;"",I25*'Population Figures'!W25*'Scenario 3 - Nut. Analysis'!J24,"N/A")</f>
        <v>N/A</v>
      </c>
      <c r="AU25" s="353" t="str">
        <f>IF('Population Figures'!AC25&lt;&gt;"",I25*'Population Figures'!V25*'Scenario 3 - Nut. Analysis'!J24,"N/A")</f>
        <v>N/A</v>
      </c>
      <c r="AV25" s="92">
        <f>I25*'Population Figures'!U25</f>
        <v>975.61368000000004</v>
      </c>
      <c r="AW25" s="92">
        <f>I25*'Population Figures'!X25*'Scenario 3 - Nut. Analysis'!K24</f>
        <v>98.782401201634343</v>
      </c>
      <c r="AX25" s="353" t="str">
        <f>IF('Population Figures'!Y25&lt;&gt;"", I25*'Population Figures'!Y25*'Scenario 3 - Nut. Analysis'!K24,"N/A")</f>
        <v>N/A</v>
      </c>
      <c r="AY25" s="353" t="str">
        <f>IF('Population Figures'!Z25&lt;&gt;"", I25*'Population Figures'!Z25*'Scenario 3 - Nut. Analysis'!K24,"N/A")</f>
        <v>N/A</v>
      </c>
      <c r="AZ25" s="8"/>
      <c r="BA25" s="8"/>
      <c r="BB25" s="8"/>
      <c r="BC25" s="8"/>
      <c r="BD25" s="8"/>
      <c r="BE25" s="8"/>
      <c r="BF25" s="8"/>
      <c r="BG25" s="8"/>
      <c r="BH25" s="8"/>
      <c r="BI25" s="8"/>
      <c r="BJ25" s="8"/>
      <c r="BK25" s="8"/>
      <c r="BL25" s="8"/>
    </row>
    <row r="26" spans="1:64" s="9" customFormat="1" ht="15" x14ac:dyDescent="0.2">
      <c r="A26" s="89" t="str">
        <f>'Population Figures'!E26</f>
        <v>Nangarhar</v>
      </c>
      <c r="B26" s="91">
        <f>'Population Figures'!F26</f>
        <v>4729070.88</v>
      </c>
      <c r="C26" s="253">
        <v>0.05</v>
      </c>
      <c r="D26" s="253">
        <v>0.01</v>
      </c>
      <c r="E26" s="253">
        <v>0.02</v>
      </c>
      <c r="F26" s="253">
        <v>1.4999999999999999E-2</v>
      </c>
      <c r="G26" s="253">
        <v>1.4999999999999999E-2</v>
      </c>
      <c r="H26" s="92">
        <f>B26*('Population Figures'!G26)*C26</f>
        <v>37832.567040000002</v>
      </c>
      <c r="I26" s="92">
        <f>B26*('Population Figures'!G26)*'Scenario 2 - Nut.Analysis'!B28</f>
        <v>37832.567040000002</v>
      </c>
      <c r="J26" s="92">
        <f>B26*('Population Figures'!G26)*'Scenario 2 - Nut.Analysis'!C28</f>
        <v>0</v>
      </c>
      <c r="K26" s="353" t="str">
        <f>IF('Population Figures'!H26&lt;&gt;"",IF(H26&lt;&gt;"",B26*('Population Figures'!H26)*C26, IF(I26&lt;&gt;"", B26*('Population Figures'!H26)*'Scenario 2 - Nut.Analysis'!B28, IF(J26&lt;&gt;"", B26*('Population Figures'!H26)*'Scenario 2 - Nut.Analysis'!C28, "N/A"))), "N/A")</f>
        <v>N/A</v>
      </c>
      <c r="L26" s="353" t="str">
        <f>IF('Population Figures'!I26&lt;&gt;"",IF(H26&lt;&gt;"",B26*('Population Figures'!I26)*C26, IF(I26&lt;&gt;"", B26*('Population Figures'!I26)*'Scenario 2 - Nut.Analysis'!B28, IF(J26&lt;&gt;"", B26*('Population Figures'!I26)*'Scenario 2 - Nut.Analysis'!C28, "N/A"))), "N/A")</f>
        <v>N/A</v>
      </c>
      <c r="M26" s="92">
        <f>B26*('Population Figures'!G26)</f>
        <v>756651.34080000001</v>
      </c>
      <c r="N26" s="92">
        <f>D26*(B26*'Population Figures'!G26)*'Population Figures'!$C$7</f>
        <v>24212.842905600002</v>
      </c>
      <c r="O26" s="92">
        <f>E26*(B26*'Population Figures'!G26)*'Population Figures'!$C$7</f>
        <v>48425.685811200005</v>
      </c>
      <c r="P26" s="92">
        <f>F26*(B26*'Population Figures'!G26)*'Population Figures'!$C$7</f>
        <v>36319.264358400003</v>
      </c>
      <c r="Q26" s="353" t="str">
        <f>IF('Population Figures'!H26&lt;&gt;"",IF(N26&lt;&gt;"",D26*(B26*'Population Figures'!H26)*'Population Figures'!$C$7, IF(O26&lt;&gt;"", E26*(B26*'Population Figures'!H26)*'Population Figures'!$C$7, IF(P26&lt;&gt;"", F26*(B26*'Population Figures'!H26)*'Population Figures'!$C$7, "N/A"))), "N/A")</f>
        <v>N/A</v>
      </c>
      <c r="R26" s="353" t="str">
        <f>IF('Population Figures'!I26&lt;&gt;"",IF(N26&lt;&gt;"",D26*(B26*'Population Figures'!I26)*'Population Figures'!$C$7, IF(O26&lt;&gt;"", E26*(B26*'Population Figures'!I26)*'Population Figures'!$C$7, IF(P26&lt;&gt;"", F26*(B26*'Population Figures'!I26)*'Population Figures'!$C$7, "N/A"))), "N/A")</f>
        <v>N/A</v>
      </c>
      <c r="S26" s="92">
        <f>IF(N26&lt;&gt;"",N26*'Population Figures'!$C$10,IF(O26&lt;&gt;"",O26*'Population Figures'!$C$10,IF(P26&lt;&gt;"",P26*'Population Figures'!$C$10,"Key Values")))</f>
        <v>2421.2842905600005</v>
      </c>
      <c r="T26" s="353" t="str">
        <f>IF(Q26&lt;&gt;"N/A",Q26*'Population Figures'!$C$10,"N/A")</f>
        <v>N/A</v>
      </c>
      <c r="U26" s="353" t="str">
        <f>IF(R26&lt;&gt;"N/A",R26*'Population Figures'!$C$10,"N/A")</f>
        <v>N/A</v>
      </c>
      <c r="V26" s="92">
        <f>IF(N26&lt;&gt;"",
 D26*(B26*ABS('Population Figures'!G26-'Population Figures'!J26))*'Population Figures'!$C$7*'Population Figures'!$C$11,
IF(O26&lt;&gt;"",
E26*(B26*ABS('Population Figures'!G26-'Population Figures'!J26))*'Population Figures'!$C$7*'Population Figures'!$C$11,
IF(P26&lt;&gt;"",
F26*(B26*ABS('Population Figures'!G26-'Population Figures'!J26))*'Population Figures'!$C$7*'Population Figures'!$C$11, "Key Values")))</f>
        <v>19340.008270848004</v>
      </c>
      <c r="W26" s="353" t="str">
        <f>IF('Population Figures'!H26&lt;&gt;"",
IF(N26&lt;&gt;"",D26*(B26*ABS('Population Figures'!H26-'Population Figures'!K26))*'Population Figures'!$C$7,
 IF(O26&lt;&gt;"", E26*(B26*ABS('Population Figures'!H26-'Population Figures'!K26))*'Population Figures'!$C$7,
 IF(P26&lt;&gt;"", F26*(B26*ABS('Population Figures'!H26-'Population Figures'!K26))*'Population Figures'!$C$7, "N/A"))), "N/A")</f>
        <v>N/A</v>
      </c>
      <c r="X26" s="353" t="str">
        <f>IF('Population Figures'!H26&lt;&gt;"",
IF(N26&lt;&gt;"",D26*(B26*ABS('Population Figures'!I26-'Population Figures'!L26))*'Population Figures'!$C$7,
 IF(O26&lt;&gt;"", E26*(B26*ABS('Population Figures'!I26-'Population Figures'!L26))*'Population Figures'!$C$7,
 IF(P26&lt;&gt;"", F26*(B26*ABS('Population Figures'!I26-'Population Figures'!L26))*'Population Figures'!$C$7, "N/A"))), "N/A")</f>
        <v>N/A</v>
      </c>
      <c r="Y26" s="92">
        <f>(C26-D26)*(B26*ABS('Population Figures'!G26-'Population Figures'!J26)*'Population Figures'!$C$8)</f>
        <v>85955.592314880021</v>
      </c>
      <c r="Z26" s="92">
        <f>ABS('Scenario 2 - Nut.Analysis'!C28-E26)*(B26*ABS('Population Figures'!G26-'Population Figures'!J26))*'Population Figures'!$C$8</f>
        <v>42977.796157440011</v>
      </c>
      <c r="AA26" s="92">
        <f>ABS('Scenario 2 - Nut.Analysis'!D28-F26)*(B26*ABS('Population Figures'!G26-'Population Figures'!J26)*'Population Figures'!$C$8)</f>
        <v>32233.347118080008</v>
      </c>
      <c r="AB26" s="353" t="str" cm="1">
        <f t="array" ref="AB26">IF('Population Figures'!H26&lt;&gt;"",IF(N26&lt;&gt;"",(C26-D26)*(ABS('Population Figures'!H26-'Population Figures'!K26)*B26*'Population Figures'!G26)*'Population Figures'!$C$8, IF(O26&lt;&gt;"", ABS('Scenario 2 - Nut.Analysis'!C28-E26)*(ABS('Population Figures'!H26-'Population Figures'!K26)*B26*'Population Figures'!G26)*'Population Figures'!$C$8, IF(P26&lt;&gt;"", AA*(B26*ABS('Population Figures'!H26-'Population Figures'!K26))*'Population Figures'!$C$7, "N/A"))), "N/A")</f>
        <v>N/A</v>
      </c>
      <c r="AC26" s="353" t="str" cm="1">
        <f t="array" ref="AC26">IF('Population Figures'!I26&lt;&gt;"",IF(O26&lt;&gt;"",(D26-E26)*(ABS('Population Figures'!I26-'Population Figures'!L26)*C26*'Population Figures'!H26)*'Population Figures'!$C$8, IF(P26&lt;&gt;"", ABS('Scenario 2 - Nut.Analysis'!D28-F26)*(ABS('Population Figures'!I26-'Population Figures'!L26)*C26*'Population Figures'!H26)*'Population Figures'!$C$8, IF(Q26&lt;&gt;"", AA*(C26*ABS('Population Figures'!I26-'Population Figures'!L26))*'Population Figures'!$C$7, "N/A"))), "N/A")</f>
        <v>N/A</v>
      </c>
      <c r="AD26" s="92">
        <f>Y26*'Population Figures'!$C$12</f>
        <v>60168.914620416013</v>
      </c>
      <c r="AE26" s="92" cm="1">
        <f t="array" ref="AE26">IF(Y26&lt;&gt;"", 'Population Figures'!P26*Y26*'Population Figures'!$C$13,
IF(Z&lt;&gt;"", 'Population Figures'!P26*Z26*'Population Figures'!$C$13,
IF(AA &lt;&gt;"",'Population Figures'!P26*AA26*'Population Figures'!$C$13, "N/A")))</f>
        <v>3094.4013233356804</v>
      </c>
      <c r="AF26" s="353" t="str">
        <f>IF('Population Figures'!Q26&lt;&gt;"",'Population Figures'!Q26*Y26*'Population Figures'!$C$13,"N/A")</f>
        <v>N/A</v>
      </c>
      <c r="AG26" s="353" t="str">
        <f>IF('Population Figures'!R26&lt;&gt;"",'Population Figures'!R26*Y26*'Population Figures'!$C$13,"N/A")</f>
        <v>N/A</v>
      </c>
      <c r="AH26" s="92">
        <f>B26*'Population Figures'!S26*'Scenario 2 - Nut.Analysis'!D28</f>
        <v>0</v>
      </c>
      <c r="AI26" s="92">
        <f>B26*'Population Figures'!S26</f>
        <v>236453.54399999999</v>
      </c>
      <c r="AJ26" s="92">
        <f>B26*'Population Figures'!S26*ABS('Scenario 2 - Nut.Analysis'!D28-G26)*'Population Figures'!$C$17</f>
        <v>2660.1023700000001</v>
      </c>
      <c r="AK26" s="92">
        <f>B26*'Population Figures'!S26*ABS('Scenario 2 - Nut.Analysis'!D28-G26)*'Population Figures'!$C$18</f>
        <v>3546.8031599999999</v>
      </c>
      <c r="AL26" s="92">
        <f>B26*'Population Figures'!U26*'Scenario 2 Contributing Fact'!F29</f>
        <v>42561.637920000001</v>
      </c>
      <c r="AM26" s="353" t="str">
        <f>IF('Population Figures'!W26&lt;&gt;"",B26*'Population Figures'!U26*'Scenario 2 Contributing Fact'!F29*'Population Figures'!W26,"N/A")</f>
        <v>N/A</v>
      </c>
      <c r="AN26" s="353" t="str">
        <f>IF('Population Figures'!V26&lt;&gt;"",B26*'Population Figures'!U26*'Scenario 2 Contributing Fact'!F29*'Population Figures'!V26,"N/A")</f>
        <v>N/A</v>
      </c>
      <c r="AO26" s="92">
        <f>B26*'Population Figures'!U26</f>
        <v>472907.08799999999</v>
      </c>
      <c r="AP26" s="92">
        <f>B26*'Population Figures'!X26*'Scenario 2 Contributing Fact'!G29</f>
        <v>62423.735616000005</v>
      </c>
      <c r="AQ26" s="353" t="str">
        <f>IF('Population Figures'!Y26&lt;&gt;"", 'Population Figures'!Y26*B26*'Population Figures'!X26*'Scenario 2 Contributing Fact'!G29,"N/A")</f>
        <v>N/A</v>
      </c>
      <c r="AR26" s="353" t="str">
        <f>IF('Population Figures'!Z26&lt;&gt;"", 'Population Figures'!Z26*B26*'Population Figures'!X26*'Scenario 2 Contributing Fact'!G29,"N/A")</f>
        <v>N/A</v>
      </c>
      <c r="AS26" s="92">
        <f>I26*'Population Figures'!U26*'Scenario 3 - Nut. Analysis'!J25</f>
        <v>332.92658995200009</v>
      </c>
      <c r="AT26" s="353" t="str">
        <f>IF('Population Figures'!AD26&lt;&gt;"",I26*'Population Figures'!W26*'Scenario 3 - Nut. Analysis'!J25,"N/A")</f>
        <v>N/A</v>
      </c>
      <c r="AU26" s="353" t="str">
        <f>IF('Population Figures'!AC26&lt;&gt;"",I26*'Population Figures'!V26*'Scenario 3 - Nut. Analysis'!J25,"N/A")</f>
        <v>N/A</v>
      </c>
      <c r="AV26" s="92">
        <f>I26*'Population Figures'!U26</f>
        <v>3783.2567040000004</v>
      </c>
      <c r="AW26" s="92">
        <f>I26*'Population Figures'!X26*'Scenario 3 - Nut. Analysis'!K25</f>
        <v>499.38988492800007</v>
      </c>
      <c r="AX26" s="353" t="str">
        <f>IF('Population Figures'!Y26&lt;&gt;"", I26*'Population Figures'!Y26*'Scenario 3 - Nut. Analysis'!K25,"N/A")</f>
        <v>N/A</v>
      </c>
      <c r="AY26" s="353" t="str">
        <f>IF('Population Figures'!Z26&lt;&gt;"", I26*'Population Figures'!Z26*'Scenario 3 - Nut. Analysis'!K25,"N/A")</f>
        <v>N/A</v>
      </c>
      <c r="AZ26" s="8"/>
      <c r="BA26" s="8"/>
      <c r="BB26" s="8"/>
      <c r="BC26" s="8"/>
      <c r="BD26" s="8"/>
      <c r="BE26" s="8"/>
      <c r="BF26" s="8"/>
      <c r="BG26" s="8"/>
      <c r="BH26" s="8"/>
      <c r="BI26" s="8"/>
      <c r="BJ26" s="8"/>
      <c r="BK26" s="8"/>
      <c r="BL26" s="8"/>
    </row>
    <row r="27" spans="1:64" s="9" customFormat="1" ht="15" x14ac:dyDescent="0.2">
      <c r="A27" s="89" t="str">
        <f>'Population Figures'!E27</f>
        <v>Nimroz</v>
      </c>
      <c r="B27" s="91">
        <f>'Population Figures'!F27</f>
        <v>513660.78</v>
      </c>
      <c r="C27" s="253">
        <v>0.05</v>
      </c>
      <c r="D27" s="253">
        <v>0.01</v>
      </c>
      <c r="E27" s="253">
        <v>0.02</v>
      </c>
      <c r="F27" s="253">
        <v>1.4999999999999999E-2</v>
      </c>
      <c r="G27" s="253">
        <v>1.4999999999999999E-2</v>
      </c>
      <c r="H27" s="92">
        <f>B27*('Population Figures'!G27)*C27</f>
        <v>4109.2862400000004</v>
      </c>
      <c r="I27" s="92">
        <f>B27*('Population Figures'!G27)*'Scenario 2 - Nut.Analysis'!B29</f>
        <v>4109.2862400000004</v>
      </c>
      <c r="J27" s="92">
        <f>B27*('Population Figures'!G27)*'Scenario 2 - Nut.Analysis'!C29</f>
        <v>0</v>
      </c>
      <c r="K27" s="353" t="str">
        <f>IF('Population Figures'!H27&lt;&gt;"",IF(H27&lt;&gt;"",B27*('Population Figures'!H27)*C27, IF(I27&lt;&gt;"", B27*('Population Figures'!H27)*'Scenario 2 - Nut.Analysis'!B29, IF(J27&lt;&gt;"", B27*('Population Figures'!H27)*'Scenario 2 - Nut.Analysis'!C29, "N/A"))), "N/A")</f>
        <v>N/A</v>
      </c>
      <c r="L27" s="353" t="str">
        <f>IF('Population Figures'!I27&lt;&gt;"",IF(H27&lt;&gt;"",B27*('Population Figures'!I27)*C27, IF(I27&lt;&gt;"", B27*('Population Figures'!I27)*'Scenario 2 - Nut.Analysis'!B29, IF(J27&lt;&gt;"", B27*('Population Figures'!I27)*'Scenario 2 - Nut.Analysis'!C29, "N/A"))), "N/A")</f>
        <v>N/A</v>
      </c>
      <c r="M27" s="92">
        <f>B27*('Population Figures'!G27)</f>
        <v>82185.724800000011</v>
      </c>
      <c r="N27" s="92">
        <f>D27*(B27*'Population Figures'!G27)*'Population Figures'!$C$7</f>
        <v>2629.9431936000005</v>
      </c>
      <c r="O27" s="92">
        <f>E27*(B27*'Population Figures'!G27)*'Population Figures'!$C$7</f>
        <v>5259.8863872000011</v>
      </c>
      <c r="P27" s="92">
        <f>F27*(B27*'Population Figures'!G27)*'Population Figures'!$C$7</f>
        <v>3944.9147904000006</v>
      </c>
      <c r="Q27" s="353" t="str">
        <f>IF('Population Figures'!H27&lt;&gt;"",IF(N27&lt;&gt;"",D27*(B27*'Population Figures'!H27)*'Population Figures'!$C$7, IF(O27&lt;&gt;"", E27*(B27*'Population Figures'!H27)*'Population Figures'!$C$7, IF(P27&lt;&gt;"", F27*(B27*'Population Figures'!H27)*'Population Figures'!$C$7, "N/A"))), "N/A")</f>
        <v>N/A</v>
      </c>
      <c r="R27" s="353" t="str">
        <f>IF('Population Figures'!I27&lt;&gt;"",IF(N27&lt;&gt;"",D27*(B27*'Population Figures'!I27)*'Population Figures'!$C$7, IF(O27&lt;&gt;"", E27*(B27*'Population Figures'!I27)*'Population Figures'!$C$7, IF(P27&lt;&gt;"", F27*(B27*'Population Figures'!I27)*'Population Figures'!$C$7, "N/A"))), "N/A")</f>
        <v>N/A</v>
      </c>
      <c r="S27" s="92">
        <f>IF(N27&lt;&gt;"",N27*'Population Figures'!$C$10,IF(O27&lt;&gt;"",O27*'Population Figures'!$C$10,IF(P27&lt;&gt;"",P27*'Population Figures'!$C$10,"Key Values")))</f>
        <v>262.99431936000008</v>
      </c>
      <c r="T27" s="353" t="str">
        <f>IF(Q27&lt;&gt;"N/A",Q27*'Population Figures'!$C$10,"N/A")</f>
        <v>N/A</v>
      </c>
      <c r="U27" s="353" t="str">
        <f>IF(R27&lt;&gt;"N/A",R27*'Population Figures'!$C$10,"N/A")</f>
        <v>N/A</v>
      </c>
      <c r="V27" s="92">
        <f>IF(N27&lt;&gt;"",
 D27*(B27*ABS('Population Figures'!G27-'Population Figures'!J27))*'Population Figures'!$C$7*'Population Figures'!$C$11,
IF(O27&lt;&gt;"",
E27*(B27*ABS('Population Figures'!G27-'Population Figures'!J27))*'Population Figures'!$C$7*'Population Figures'!$C$11,
IF(P27&lt;&gt;"",
F27*(B27*ABS('Population Figures'!G27-'Population Figures'!J27))*'Population Figures'!$C$7*'Population Figures'!$C$11, "Key Values")))</f>
        <v>2100.6671258880006</v>
      </c>
      <c r="W27" s="353" t="str">
        <f>IF('Population Figures'!H27&lt;&gt;"",
IF(N27&lt;&gt;"",D27*(B27*ABS('Population Figures'!H27-'Population Figures'!K27))*'Population Figures'!$C$7,
 IF(O27&lt;&gt;"", E27*(B27*ABS('Population Figures'!H27-'Population Figures'!K27))*'Population Figures'!$C$7,
 IF(P27&lt;&gt;"", F27*(B27*ABS('Population Figures'!H27-'Population Figures'!K27))*'Population Figures'!$C$7, "N/A"))), "N/A")</f>
        <v>N/A</v>
      </c>
      <c r="X27" s="353" t="str">
        <f>IF('Population Figures'!H27&lt;&gt;"",
IF(N27&lt;&gt;"",D27*(B27*ABS('Population Figures'!I27-'Population Figures'!L27))*'Population Figures'!$C$7,
 IF(O27&lt;&gt;"", E27*(B27*ABS('Population Figures'!I27-'Population Figures'!L27))*'Population Figures'!$C$7,
 IF(P27&lt;&gt;"", F27*(B27*ABS('Population Figures'!I27-'Population Figures'!L27))*'Population Figures'!$C$7, "N/A"))), "N/A")</f>
        <v>N/A</v>
      </c>
      <c r="Y27" s="92">
        <f>(C27-D27)*(B27*ABS('Population Figures'!G27-'Population Figures'!J27)*'Population Figures'!$C$8)</f>
        <v>9336.2983372800027</v>
      </c>
      <c r="Z27" s="92">
        <f>ABS('Scenario 2 - Nut.Analysis'!C29-E27)*(B27*ABS('Population Figures'!G27-'Population Figures'!J27))*'Population Figures'!$C$8</f>
        <v>4668.1491686400013</v>
      </c>
      <c r="AA27" s="92">
        <f>ABS('Scenario 2 - Nut.Analysis'!D29-F27)*(B27*ABS('Population Figures'!G27-'Population Figures'!J27)*'Population Figures'!$C$8)</f>
        <v>3501.1118764800003</v>
      </c>
      <c r="AB27" s="353" t="str" cm="1">
        <f t="array" ref="AB27">IF('Population Figures'!H27&lt;&gt;"",IF(N27&lt;&gt;"",(C27-D27)*(ABS('Population Figures'!H27-'Population Figures'!K27)*B27*'Population Figures'!G27)*'Population Figures'!$C$8, IF(O27&lt;&gt;"", ABS('Scenario 2 - Nut.Analysis'!C29-E27)*(ABS('Population Figures'!H27-'Population Figures'!K27)*B27*'Population Figures'!G27)*'Population Figures'!$C$8, IF(P27&lt;&gt;"", AA*(B27*ABS('Population Figures'!H27-'Population Figures'!K27))*'Population Figures'!$C$7, "N/A"))), "N/A")</f>
        <v>N/A</v>
      </c>
      <c r="AC27" s="353" t="str" cm="1">
        <f t="array" ref="AC27">IF('Population Figures'!I27&lt;&gt;"",IF(O27&lt;&gt;"",(D27-E27)*(ABS('Population Figures'!I27-'Population Figures'!L27)*C27*'Population Figures'!H27)*'Population Figures'!$C$8, IF(P27&lt;&gt;"", ABS('Scenario 2 - Nut.Analysis'!D29-F27)*(ABS('Population Figures'!I27-'Population Figures'!L27)*C27*'Population Figures'!H27)*'Population Figures'!$C$8, IF(Q27&lt;&gt;"", AA*(C27*ABS('Population Figures'!I27-'Population Figures'!L27))*'Population Figures'!$C$7, "N/A"))), "N/A")</f>
        <v>N/A</v>
      </c>
      <c r="AD27" s="92">
        <f>Y27*'Population Figures'!$C$12</f>
        <v>6535.4088360960013</v>
      </c>
      <c r="AE27" s="92" cm="1">
        <f t="array" ref="AE27">IF(Y27&lt;&gt;"", 'Population Figures'!P27*Y27*'Population Figures'!$C$13,
IF(Z&lt;&gt;"", 'Population Figures'!P27*Z27*'Population Figures'!$C$13,
IF(AA &lt;&gt;"",'Population Figures'!P27*AA27*'Population Figures'!$C$13, "N/A")))</f>
        <v>336.10674014208007</v>
      </c>
      <c r="AF27" s="353" t="str">
        <f>IF('Population Figures'!Q27&lt;&gt;"",'Population Figures'!Q27*Y27*'Population Figures'!$C$13,"N/A")</f>
        <v>N/A</v>
      </c>
      <c r="AG27" s="353" t="str">
        <f>IF('Population Figures'!R27&lt;&gt;"",'Population Figures'!R27*Y27*'Population Figures'!$C$13,"N/A")</f>
        <v>N/A</v>
      </c>
      <c r="AH27" s="92">
        <f>B27*'Population Figures'!S27*'Scenario 2 - Nut.Analysis'!D29</f>
        <v>0</v>
      </c>
      <c r="AI27" s="92">
        <f>B27*'Population Figures'!S27</f>
        <v>25683.039000000004</v>
      </c>
      <c r="AJ27" s="92">
        <f>B27*'Population Figures'!S27*ABS('Scenario 2 - Nut.Analysis'!D29-G27)*'Population Figures'!$C$17</f>
        <v>288.93418875000003</v>
      </c>
      <c r="AK27" s="92">
        <f>B27*'Population Figures'!S27*ABS('Scenario 2 - Nut.Analysis'!D29-G27)*'Population Figures'!$C$18</f>
        <v>385.24558500000006</v>
      </c>
      <c r="AL27" s="92">
        <f>B27*'Population Figures'!U27*'Scenario 2 Contributing Fact'!F30</f>
        <v>4622.9470200000005</v>
      </c>
      <c r="AM27" s="353" t="str">
        <f>IF('Population Figures'!W27&lt;&gt;"",B27*'Population Figures'!U27*'Scenario 2 Contributing Fact'!F30*'Population Figures'!W27,"N/A")</f>
        <v>N/A</v>
      </c>
      <c r="AN27" s="353" t="str">
        <f>IF('Population Figures'!V27&lt;&gt;"",B27*'Population Figures'!U27*'Scenario 2 Contributing Fact'!F30*'Population Figures'!V27,"N/A")</f>
        <v>N/A</v>
      </c>
      <c r="AO27" s="92">
        <f>B27*'Population Figures'!U27</f>
        <v>51366.078000000009</v>
      </c>
      <c r="AP27" s="92">
        <f>B27*'Population Figures'!X27*'Scenario 2 Contributing Fact'!G30</f>
        <v>7276.8918433769732</v>
      </c>
      <c r="AQ27" s="353" t="str">
        <f>IF('Population Figures'!Y27&lt;&gt;"", 'Population Figures'!Y27*B27*'Population Figures'!X27*'Scenario 2 Contributing Fact'!G30,"N/A")</f>
        <v>N/A</v>
      </c>
      <c r="AR27" s="353" t="str">
        <f>IF('Population Figures'!Z27&lt;&gt;"", 'Population Figures'!Z27*B27*'Population Figures'!X27*'Scenario 2 Contributing Fact'!G30,"N/A")</f>
        <v>N/A</v>
      </c>
      <c r="AS27" s="92">
        <f>I27*'Population Figures'!U27*'Scenario 3 - Nut. Analysis'!J26</f>
        <v>38.810089831343866</v>
      </c>
      <c r="AT27" s="353" t="str">
        <f>IF('Population Figures'!AD27&lt;&gt;"",I27*'Population Figures'!W27*'Scenario 3 - Nut. Analysis'!J26,"N/A")</f>
        <v>N/A</v>
      </c>
      <c r="AU27" s="353" t="str">
        <f>IF('Population Figures'!AC27&lt;&gt;"",I27*'Population Figures'!V27*'Scenario 3 - Nut. Analysis'!J26,"N/A")</f>
        <v>N/A</v>
      </c>
      <c r="AV27" s="92">
        <f>I27*'Population Figures'!U27</f>
        <v>410.92862400000007</v>
      </c>
      <c r="AW27" s="92">
        <f>I27*'Population Figures'!X27*'Scenario 3 - Nut. Analysis'!K26</f>
        <v>58.215134747015796</v>
      </c>
      <c r="AX27" s="353" t="str">
        <f>IF('Population Figures'!Y27&lt;&gt;"", I27*'Population Figures'!Y27*'Scenario 3 - Nut. Analysis'!K26,"N/A")</f>
        <v>N/A</v>
      </c>
      <c r="AY27" s="353" t="str">
        <f>IF('Population Figures'!Z27&lt;&gt;"", I27*'Population Figures'!Z27*'Scenario 3 - Nut. Analysis'!K26,"N/A")</f>
        <v>N/A</v>
      </c>
      <c r="AZ27" s="8"/>
      <c r="BA27" s="8"/>
      <c r="BB27" s="8"/>
      <c r="BC27" s="8"/>
      <c r="BD27" s="8"/>
      <c r="BE27" s="8"/>
      <c r="BF27" s="8"/>
      <c r="BG27" s="8"/>
      <c r="BH27" s="8"/>
      <c r="BI27" s="8"/>
      <c r="BJ27" s="8"/>
      <c r="BK27" s="8"/>
      <c r="BL27" s="8"/>
    </row>
    <row r="28" spans="1:64" s="9" customFormat="1" ht="15" x14ac:dyDescent="0.2">
      <c r="A28" s="89" t="str">
        <f>'Population Figures'!E28</f>
        <v>Nuristan</v>
      </c>
      <c r="B28" s="91">
        <f>'Population Figures'!F28</f>
        <v>460196.46</v>
      </c>
      <c r="C28" s="253">
        <v>0.05</v>
      </c>
      <c r="D28" s="253">
        <v>0.01</v>
      </c>
      <c r="E28" s="253">
        <v>0.02</v>
      </c>
      <c r="F28" s="253">
        <v>1.4999999999999999E-2</v>
      </c>
      <c r="G28" s="253">
        <v>1.4999999999999999E-2</v>
      </c>
      <c r="H28" s="92">
        <f>B28*('Population Figures'!G28)*C28</f>
        <v>3681.5716800000005</v>
      </c>
      <c r="I28" s="92">
        <f>B28*('Population Figures'!G28)*'Scenario 2 - Nut.Analysis'!B30</f>
        <v>3681.5716800000005</v>
      </c>
      <c r="J28" s="92">
        <f>B28*('Population Figures'!G28)*'Scenario 2 - Nut.Analysis'!C30</f>
        <v>0</v>
      </c>
      <c r="K28" s="353" t="str">
        <f>IF('Population Figures'!H28&lt;&gt;"",IF(H28&lt;&gt;"",B28*('Population Figures'!H28)*C28, IF(I28&lt;&gt;"", B28*('Population Figures'!H28)*'Scenario 2 - Nut.Analysis'!B30, IF(J28&lt;&gt;"", B28*('Population Figures'!H28)*'Scenario 2 - Nut.Analysis'!C30, "N/A"))), "N/A")</f>
        <v>N/A</v>
      </c>
      <c r="L28" s="353" t="str">
        <f>IF('Population Figures'!I28&lt;&gt;"",IF(H28&lt;&gt;"",B28*('Population Figures'!I28)*C28, IF(I28&lt;&gt;"", B28*('Population Figures'!I28)*'Scenario 2 - Nut.Analysis'!B30, IF(J28&lt;&gt;"", B28*('Population Figures'!I28)*'Scenario 2 - Nut.Analysis'!C30, "N/A"))), "N/A")</f>
        <v>N/A</v>
      </c>
      <c r="M28" s="92">
        <f>B28*('Population Figures'!G28)</f>
        <v>73631.433600000004</v>
      </c>
      <c r="N28" s="92">
        <f>D28*(B28*'Population Figures'!G28)*'Population Figures'!$C$7</f>
        <v>2356.2058752000003</v>
      </c>
      <c r="O28" s="92">
        <f>E28*(B28*'Population Figures'!G28)*'Population Figures'!$C$7</f>
        <v>4712.4117504000005</v>
      </c>
      <c r="P28" s="92">
        <f>F28*(B28*'Population Figures'!G28)*'Population Figures'!$C$7</f>
        <v>3534.3088128000004</v>
      </c>
      <c r="Q28" s="353" t="str">
        <f>IF('Population Figures'!H28&lt;&gt;"",IF(N28&lt;&gt;"",D28*(B28*'Population Figures'!H28)*'Population Figures'!$C$7, IF(O28&lt;&gt;"", E28*(B28*'Population Figures'!H28)*'Population Figures'!$C$7, IF(P28&lt;&gt;"", F28*(B28*'Population Figures'!H28)*'Population Figures'!$C$7, "N/A"))), "N/A")</f>
        <v>N/A</v>
      </c>
      <c r="R28" s="353" t="str">
        <f>IF('Population Figures'!I28&lt;&gt;"",IF(N28&lt;&gt;"",D28*(B28*'Population Figures'!I28)*'Population Figures'!$C$7, IF(O28&lt;&gt;"", E28*(B28*'Population Figures'!I28)*'Population Figures'!$C$7, IF(P28&lt;&gt;"", F28*(B28*'Population Figures'!I28)*'Population Figures'!$C$7, "N/A"))), "N/A")</f>
        <v>N/A</v>
      </c>
      <c r="S28" s="92">
        <f>IF(N28&lt;&gt;"",N28*'Population Figures'!$C$10,IF(O28&lt;&gt;"",O28*'Population Figures'!$C$10,IF(P28&lt;&gt;"",P28*'Population Figures'!$C$10,"Key Values")))</f>
        <v>235.62058752000004</v>
      </c>
      <c r="T28" s="353" t="str">
        <f>IF(Q28&lt;&gt;"N/A",Q28*'Population Figures'!$C$10,"N/A")</f>
        <v>N/A</v>
      </c>
      <c r="U28" s="353" t="str">
        <f>IF(R28&lt;&gt;"N/A",R28*'Population Figures'!$C$10,"N/A")</f>
        <v>N/A</v>
      </c>
      <c r="V28" s="92">
        <f>IF(N28&lt;&gt;"",
 D28*(B28*ABS('Population Figures'!G28-'Population Figures'!J28))*'Population Figures'!$C$7*'Population Figures'!$C$11,
IF(O28&lt;&gt;"",
E28*(B28*ABS('Population Figures'!G28-'Population Figures'!J28))*'Population Figures'!$C$7*'Population Figures'!$C$11,
IF(P28&lt;&gt;"",
F28*(B28*ABS('Population Figures'!G28-'Population Figures'!J28))*'Population Figures'!$C$7*'Population Figures'!$C$11, "Key Values")))</f>
        <v>1882.0194428160005</v>
      </c>
      <c r="W28" s="353" t="str">
        <f>IF('Population Figures'!H28&lt;&gt;"",
IF(N28&lt;&gt;"",D28*(B28*ABS('Population Figures'!H28-'Population Figures'!K28))*'Population Figures'!$C$7,
 IF(O28&lt;&gt;"", E28*(B28*ABS('Population Figures'!H28-'Population Figures'!K28))*'Population Figures'!$C$7,
 IF(P28&lt;&gt;"", F28*(B28*ABS('Population Figures'!H28-'Population Figures'!K28))*'Population Figures'!$C$7, "N/A"))), "N/A")</f>
        <v>N/A</v>
      </c>
      <c r="X28" s="353" t="str">
        <f>IF('Population Figures'!H28&lt;&gt;"",
IF(N28&lt;&gt;"",D28*(B28*ABS('Population Figures'!I28-'Population Figures'!L28))*'Population Figures'!$C$7,
 IF(O28&lt;&gt;"", E28*(B28*ABS('Population Figures'!I28-'Population Figures'!L28))*'Population Figures'!$C$7,
 IF(P28&lt;&gt;"", F28*(B28*ABS('Population Figures'!I28-'Population Figures'!L28))*'Population Figures'!$C$7, "N/A"))), "N/A")</f>
        <v>N/A</v>
      </c>
      <c r="Y28" s="92">
        <f>(C28-D28)*(B28*ABS('Population Figures'!G28-'Population Figures'!J28)*'Population Figures'!$C$8)</f>
        <v>8364.530856960002</v>
      </c>
      <c r="Z28" s="92">
        <f>ABS('Scenario 2 - Nut.Analysis'!C30-E28)*(B28*ABS('Population Figures'!G28-'Population Figures'!J28))*'Population Figures'!$C$8</f>
        <v>4182.265428480001</v>
      </c>
      <c r="AA28" s="92">
        <f>ABS('Scenario 2 - Nut.Analysis'!D30-F28)*(B28*ABS('Population Figures'!G28-'Population Figures'!J28)*'Population Figures'!$C$8)</f>
        <v>3136.6990713600003</v>
      </c>
      <c r="AB28" s="353" t="str" cm="1">
        <f t="array" ref="AB28">IF('Population Figures'!H28&lt;&gt;"",IF(N28&lt;&gt;"",(C28-D28)*(ABS('Population Figures'!H28-'Population Figures'!K28)*B28*'Population Figures'!G28)*'Population Figures'!$C$8, IF(O28&lt;&gt;"", ABS('Scenario 2 - Nut.Analysis'!C30-E28)*(ABS('Population Figures'!H28-'Population Figures'!K28)*B28*'Population Figures'!G28)*'Population Figures'!$C$8, IF(P28&lt;&gt;"", AA*(B28*ABS('Population Figures'!H28-'Population Figures'!K28))*'Population Figures'!$C$7, "N/A"))), "N/A")</f>
        <v>N/A</v>
      </c>
      <c r="AC28" s="353" t="str" cm="1">
        <f t="array" ref="AC28">IF('Population Figures'!I28&lt;&gt;"",IF(O28&lt;&gt;"",(D28-E28)*(ABS('Population Figures'!I28-'Population Figures'!L28)*C28*'Population Figures'!H28)*'Population Figures'!$C$8, IF(P28&lt;&gt;"", ABS('Scenario 2 - Nut.Analysis'!D30-F28)*(ABS('Population Figures'!I28-'Population Figures'!L28)*C28*'Population Figures'!H28)*'Population Figures'!$C$8, IF(Q28&lt;&gt;"", AA*(C28*ABS('Population Figures'!I28-'Population Figures'!L28))*'Population Figures'!$C$7, "N/A"))), "N/A")</f>
        <v>N/A</v>
      </c>
      <c r="AD28" s="92">
        <f>Y28*'Population Figures'!$C$12</f>
        <v>5855.171599872001</v>
      </c>
      <c r="AE28" s="92" cm="1">
        <f t="array" ref="AE28">IF(Y28&lt;&gt;"", 'Population Figures'!P28*Y28*'Population Figures'!$C$13,
IF(Z&lt;&gt;"", 'Population Figures'!P28*Z28*'Population Figures'!$C$13,
IF(AA &lt;&gt;"",'Population Figures'!P28*AA28*'Population Figures'!$C$13, "N/A")))</f>
        <v>301.12311085056007</v>
      </c>
      <c r="AF28" s="353" t="str">
        <f>IF('Population Figures'!Q28&lt;&gt;"",'Population Figures'!Q28*Y28*'Population Figures'!$C$13,"N/A")</f>
        <v>N/A</v>
      </c>
      <c r="AG28" s="353" t="str">
        <f>IF('Population Figures'!R28&lt;&gt;"",'Population Figures'!R28*Y28*'Population Figures'!$C$13,"N/A")</f>
        <v>N/A</v>
      </c>
      <c r="AH28" s="92">
        <f>B28*'Population Figures'!S28*'Scenario 2 - Nut.Analysis'!D30</f>
        <v>0</v>
      </c>
      <c r="AI28" s="92">
        <f>B28*'Population Figures'!S28</f>
        <v>23009.823000000004</v>
      </c>
      <c r="AJ28" s="92">
        <f>B28*'Population Figures'!S28*ABS('Scenario 2 - Nut.Analysis'!D30-G28)*'Population Figures'!$C$17</f>
        <v>258.86050875000001</v>
      </c>
      <c r="AK28" s="92">
        <f>B28*'Population Figures'!S28*ABS('Scenario 2 - Nut.Analysis'!D30-G28)*'Population Figures'!$C$18</f>
        <v>345.14734500000003</v>
      </c>
      <c r="AL28" s="92">
        <f>B28*'Population Figures'!U28*'Scenario 2 Contributing Fact'!F31</f>
        <v>15646.679640000004</v>
      </c>
      <c r="AM28" s="353" t="str">
        <f>IF('Population Figures'!W28&lt;&gt;"",B28*'Population Figures'!U28*'Scenario 2 Contributing Fact'!F31*'Population Figures'!W28,"N/A")</f>
        <v>N/A</v>
      </c>
      <c r="AN28" s="353" t="str">
        <f>IF('Population Figures'!V28&lt;&gt;"",B28*'Population Figures'!U28*'Scenario 2 Contributing Fact'!F31*'Population Figures'!V28,"N/A")</f>
        <v>N/A</v>
      </c>
      <c r="AO28" s="92">
        <f>B28*'Population Figures'!U28</f>
        <v>46019.646000000008</v>
      </c>
      <c r="AP28" s="92">
        <f>B28*'Population Figures'!X28*'Scenario 2 Contributing Fact'!G31</f>
        <v>22986.813176999996</v>
      </c>
      <c r="AQ28" s="353" t="str">
        <f>IF('Population Figures'!Y28&lt;&gt;"", 'Population Figures'!Y28*B28*'Population Figures'!X28*'Scenario 2 Contributing Fact'!G31,"N/A")</f>
        <v>N/A</v>
      </c>
      <c r="AR28" s="353" t="str">
        <f>IF('Population Figures'!Z28&lt;&gt;"", 'Population Figures'!Z28*B28*'Population Figures'!X28*'Scenario 2 Contributing Fact'!G31,"N/A")</f>
        <v>N/A</v>
      </c>
      <c r="AS28" s="92">
        <f>I28*'Population Figures'!U28*'Scenario 3 - Nut. Analysis'!J27</f>
        <v>122.59633694400002</v>
      </c>
      <c r="AT28" s="353" t="str">
        <f>IF('Population Figures'!AD28&lt;&gt;"",I28*'Population Figures'!W28*'Scenario 3 - Nut. Analysis'!J27,"N/A")</f>
        <v>N/A</v>
      </c>
      <c r="AU28" s="353" t="str">
        <f>IF('Population Figures'!AC28&lt;&gt;"",I28*'Population Figures'!V28*'Scenario 3 - Nut. Analysis'!J27,"N/A")</f>
        <v>N/A</v>
      </c>
      <c r="AV28" s="92">
        <f>I28*'Population Figures'!U28</f>
        <v>368.15716800000007</v>
      </c>
      <c r="AW28" s="92">
        <f>I28*'Population Figures'!X28*'Scenario 3 - Nut. Analysis'!K27</f>
        <v>183.89450541599999</v>
      </c>
      <c r="AX28" s="353" t="str">
        <f>IF('Population Figures'!Y28&lt;&gt;"", I28*'Population Figures'!Y28*'Scenario 3 - Nut. Analysis'!K27,"N/A")</f>
        <v>N/A</v>
      </c>
      <c r="AY28" s="353" t="str">
        <f>IF('Population Figures'!Z28&lt;&gt;"", I28*'Population Figures'!Z28*'Scenario 3 - Nut. Analysis'!K27,"N/A")</f>
        <v>N/A</v>
      </c>
      <c r="AZ28" s="8"/>
      <c r="BA28" s="8"/>
      <c r="BB28" s="8"/>
      <c r="BC28" s="8"/>
      <c r="BD28" s="8"/>
      <c r="BE28" s="8"/>
      <c r="BF28" s="8"/>
      <c r="BG28" s="8"/>
      <c r="BH28" s="8"/>
      <c r="BI28" s="8"/>
      <c r="BJ28" s="8"/>
      <c r="BK28" s="8"/>
      <c r="BL28" s="8"/>
    </row>
    <row r="29" spans="1:64" s="9" customFormat="1" ht="15" x14ac:dyDescent="0.2">
      <c r="A29" s="89" t="str">
        <f>'Population Figures'!E29</f>
        <v>Paktika</v>
      </c>
      <c r="B29" s="91">
        <f>'Population Figures'!F29</f>
        <v>1352161.98</v>
      </c>
      <c r="C29" s="253">
        <v>0.05</v>
      </c>
      <c r="D29" s="253">
        <v>0.01</v>
      </c>
      <c r="E29" s="253">
        <v>0.02</v>
      </c>
      <c r="F29" s="253">
        <v>1.4999999999999999E-2</v>
      </c>
      <c r="G29" s="253">
        <v>1.4999999999999999E-2</v>
      </c>
      <c r="H29" s="92">
        <f>B29*('Population Figures'!G29)*C29</f>
        <v>10817.295840000001</v>
      </c>
      <c r="I29" s="92">
        <f>B29*('Population Figures'!G29)*'Scenario 2 - Nut.Analysis'!B31</f>
        <v>10817.295840000001</v>
      </c>
      <c r="J29" s="92">
        <f>B29*('Population Figures'!G29)*'Scenario 2 - Nut.Analysis'!C31</f>
        <v>0</v>
      </c>
      <c r="K29" s="353" t="str">
        <f>IF('Population Figures'!H29&lt;&gt;"",IF(H29&lt;&gt;"",B29*('Population Figures'!H29)*C29, IF(I29&lt;&gt;"", B29*('Population Figures'!H29)*'Scenario 2 - Nut.Analysis'!B31, IF(J29&lt;&gt;"", B29*('Population Figures'!H29)*'Scenario 2 - Nut.Analysis'!C31, "N/A"))), "N/A")</f>
        <v>N/A</v>
      </c>
      <c r="L29" s="353" t="str">
        <f>IF('Population Figures'!I29&lt;&gt;"",IF(H29&lt;&gt;"",B29*('Population Figures'!I29)*C29, IF(I29&lt;&gt;"", B29*('Population Figures'!I29)*'Scenario 2 - Nut.Analysis'!B31, IF(J29&lt;&gt;"", B29*('Population Figures'!I29)*'Scenario 2 - Nut.Analysis'!C31, "N/A"))), "N/A")</f>
        <v>N/A</v>
      </c>
      <c r="M29" s="92">
        <f>B29*('Population Figures'!G29)</f>
        <v>216345.91680000001</v>
      </c>
      <c r="N29" s="92">
        <f>D29*(B29*'Population Figures'!G29)*'Population Figures'!$C$7</f>
        <v>6923.0693376000017</v>
      </c>
      <c r="O29" s="92">
        <f>E29*(B29*'Population Figures'!G29)*'Population Figures'!$C$7</f>
        <v>13846.138675200003</v>
      </c>
      <c r="P29" s="92">
        <f>F29*(B29*'Population Figures'!G29)*'Population Figures'!$C$7</f>
        <v>10384.604006400001</v>
      </c>
      <c r="Q29" s="353" t="str">
        <f>IF('Population Figures'!H29&lt;&gt;"",IF(N29&lt;&gt;"",D29*(B29*'Population Figures'!H29)*'Population Figures'!$C$7, IF(O29&lt;&gt;"", E29*(B29*'Population Figures'!H29)*'Population Figures'!$C$7, IF(P29&lt;&gt;"", F29*(B29*'Population Figures'!H29)*'Population Figures'!$C$7, "N/A"))), "N/A")</f>
        <v>N/A</v>
      </c>
      <c r="R29" s="353" t="str">
        <f>IF('Population Figures'!I29&lt;&gt;"",IF(N29&lt;&gt;"",D29*(B29*'Population Figures'!I29)*'Population Figures'!$C$7, IF(O29&lt;&gt;"", E29*(B29*'Population Figures'!I29)*'Population Figures'!$C$7, IF(P29&lt;&gt;"", F29*(B29*'Population Figures'!I29)*'Population Figures'!$C$7, "N/A"))), "N/A")</f>
        <v>N/A</v>
      </c>
      <c r="S29" s="92">
        <f>IF(N29&lt;&gt;"",N29*'Population Figures'!$C$10,IF(O29&lt;&gt;"",O29*'Population Figures'!$C$10,IF(P29&lt;&gt;"",P29*'Population Figures'!$C$10,"Key Values")))</f>
        <v>692.30693376000022</v>
      </c>
      <c r="T29" s="353" t="str">
        <f>IF(Q29&lt;&gt;"N/A",Q29*'Population Figures'!$C$10,"N/A")</f>
        <v>N/A</v>
      </c>
      <c r="U29" s="353" t="str">
        <f>IF(R29&lt;&gt;"N/A",R29*'Population Figures'!$C$10,"N/A")</f>
        <v>N/A</v>
      </c>
      <c r="V29" s="92">
        <f>IF(N29&lt;&gt;"",
 D29*(B29*ABS('Population Figures'!G29-'Population Figures'!J29))*'Population Figures'!$C$7*'Population Figures'!$C$11,
IF(O29&lt;&gt;"",
E29*(B29*ABS('Population Figures'!G29-'Population Figures'!J29))*'Population Figures'!$C$7*'Population Figures'!$C$11,
IF(P29&lt;&gt;"",
F29*(B29*ABS('Population Figures'!G29-'Population Figures'!J29))*'Population Figures'!$C$7*'Population Figures'!$C$11, "Key Values")))</f>
        <v>5529.8016334080012</v>
      </c>
      <c r="W29" s="353" t="str">
        <f>IF('Population Figures'!H29&lt;&gt;"",
IF(N29&lt;&gt;"",D29*(B29*ABS('Population Figures'!H29-'Population Figures'!K29))*'Population Figures'!$C$7,
 IF(O29&lt;&gt;"", E29*(B29*ABS('Population Figures'!H29-'Population Figures'!K29))*'Population Figures'!$C$7,
 IF(P29&lt;&gt;"", F29*(B29*ABS('Population Figures'!H29-'Population Figures'!K29))*'Population Figures'!$C$7, "N/A"))), "N/A")</f>
        <v>N/A</v>
      </c>
      <c r="X29" s="353" t="str">
        <f>IF('Population Figures'!H29&lt;&gt;"",
IF(N29&lt;&gt;"",D29*(B29*ABS('Population Figures'!I29-'Population Figures'!L29))*'Population Figures'!$C$7,
 IF(O29&lt;&gt;"", E29*(B29*ABS('Population Figures'!I29-'Population Figures'!L29))*'Population Figures'!$C$7,
 IF(P29&lt;&gt;"", F29*(B29*ABS('Population Figures'!I29-'Population Figures'!L29))*'Population Figures'!$C$7, "N/A"))), "N/A")</f>
        <v>N/A</v>
      </c>
      <c r="Y29" s="92">
        <f>(C29-D29)*(B29*ABS('Population Figures'!G29-'Population Figures'!J29)*'Population Figures'!$C$8)</f>
        <v>24576.896148480006</v>
      </c>
      <c r="Z29" s="92">
        <f>ABS('Scenario 2 - Nut.Analysis'!C31-E29)*(B29*ABS('Population Figures'!G29-'Population Figures'!J29))*'Population Figures'!$C$8</f>
        <v>12288.448074240003</v>
      </c>
      <c r="AA29" s="92">
        <f>ABS('Scenario 2 - Nut.Analysis'!D31-F29)*(B29*ABS('Population Figures'!G29-'Population Figures'!J29)*'Population Figures'!$C$8)</f>
        <v>9216.3360556800017</v>
      </c>
      <c r="AB29" s="353" t="str" cm="1">
        <f t="array" ref="AB29">IF('Population Figures'!H29&lt;&gt;"",IF(N29&lt;&gt;"",(C29-D29)*(ABS('Population Figures'!H29-'Population Figures'!K29)*B29*'Population Figures'!G29)*'Population Figures'!$C$8, IF(O29&lt;&gt;"", ABS('Scenario 2 - Nut.Analysis'!C31-E29)*(ABS('Population Figures'!H29-'Population Figures'!K29)*B29*'Population Figures'!G29)*'Population Figures'!$C$8, IF(P29&lt;&gt;"", AA*(B29*ABS('Population Figures'!H29-'Population Figures'!K29))*'Population Figures'!$C$7, "N/A"))), "N/A")</f>
        <v>N/A</v>
      </c>
      <c r="AC29" s="353" t="str" cm="1">
        <f t="array" ref="AC29">IF('Population Figures'!I29&lt;&gt;"",IF(O29&lt;&gt;"",(D29-E29)*(ABS('Population Figures'!I29-'Population Figures'!L29)*C29*'Population Figures'!H29)*'Population Figures'!$C$8, IF(P29&lt;&gt;"", ABS('Scenario 2 - Nut.Analysis'!D31-F29)*(ABS('Population Figures'!I29-'Population Figures'!L29)*C29*'Population Figures'!H29)*'Population Figures'!$C$8, IF(Q29&lt;&gt;"", AA*(C29*ABS('Population Figures'!I29-'Population Figures'!L29))*'Population Figures'!$C$7, "N/A"))), "N/A")</f>
        <v>N/A</v>
      </c>
      <c r="AD29" s="92">
        <f>Y29*'Population Figures'!$C$12</f>
        <v>17203.827303936003</v>
      </c>
      <c r="AE29" s="92" cm="1">
        <f t="array" ref="AE29">IF(Y29&lt;&gt;"", 'Population Figures'!P29*Y29*'Population Figures'!$C$13,
IF(Z&lt;&gt;"", 'Population Figures'!P29*Z29*'Population Figures'!$C$13,
IF(AA &lt;&gt;"",'Population Figures'!P29*AA29*'Population Figures'!$C$13, "N/A")))</f>
        <v>884.76826134528005</v>
      </c>
      <c r="AF29" s="353" t="str">
        <f>IF('Population Figures'!Q29&lt;&gt;"",'Population Figures'!Q29*Y29*'Population Figures'!$C$13,"N/A")</f>
        <v>N/A</v>
      </c>
      <c r="AG29" s="353" t="str">
        <f>IF('Population Figures'!R29&lt;&gt;"",'Population Figures'!R29*Y29*'Population Figures'!$C$13,"N/A")</f>
        <v>N/A</v>
      </c>
      <c r="AH29" s="92">
        <f>B29*'Population Figures'!S29*'Scenario 2 - Nut.Analysis'!D31</f>
        <v>0</v>
      </c>
      <c r="AI29" s="92">
        <f>B29*'Population Figures'!S29</f>
        <v>67608.099000000002</v>
      </c>
      <c r="AJ29" s="92">
        <f>B29*'Population Figures'!S29*ABS('Scenario 2 - Nut.Analysis'!D31-G29)*'Population Figures'!$C$17</f>
        <v>760.59111374999998</v>
      </c>
      <c r="AK29" s="92">
        <f>B29*'Population Figures'!S29*ABS('Scenario 2 - Nut.Analysis'!D31-G29)*'Population Figures'!$C$18</f>
        <v>1014.121485</v>
      </c>
      <c r="AL29" s="92">
        <f>B29*'Population Figures'!U29*'Scenario 2 Contributing Fact'!F32</f>
        <v>16225.94376</v>
      </c>
      <c r="AM29" s="353" t="str">
        <f>IF('Population Figures'!W29&lt;&gt;"",B29*'Population Figures'!U29*'Scenario 2 Contributing Fact'!F32*'Population Figures'!W29,"N/A")</f>
        <v>N/A</v>
      </c>
      <c r="AN29" s="353" t="str">
        <f>IF('Population Figures'!V29&lt;&gt;"",B29*'Population Figures'!U29*'Scenario 2 Contributing Fact'!F32*'Population Figures'!V29,"N/A")</f>
        <v>N/A</v>
      </c>
      <c r="AO29" s="92">
        <f>B29*'Population Figures'!U29</f>
        <v>135216.198</v>
      </c>
      <c r="AP29" s="92">
        <f>B29*'Population Figures'!X29*'Scenario 2 Contributing Fact'!G32</f>
        <v>25555.861421999998</v>
      </c>
      <c r="AQ29" s="353" t="str">
        <f>IF('Population Figures'!Y29&lt;&gt;"", 'Population Figures'!Y29*B29*'Population Figures'!X29*'Scenario 2 Contributing Fact'!G32,"N/A")</f>
        <v>N/A</v>
      </c>
      <c r="AR29" s="353" t="str">
        <f>IF('Population Figures'!Z29&lt;&gt;"", 'Population Figures'!Z29*B29*'Population Figures'!X29*'Scenario 2 Contributing Fact'!G32,"N/A")</f>
        <v>N/A</v>
      </c>
      <c r="AS29" s="92">
        <f>I29*'Population Figures'!U29*'Scenario 3 - Nut. Analysis'!J28</f>
        <v>136.29792758400001</v>
      </c>
      <c r="AT29" s="353" t="str">
        <f>IF('Population Figures'!AD29&lt;&gt;"",I29*'Population Figures'!W29*'Scenario 3 - Nut. Analysis'!J28,"N/A")</f>
        <v>N/A</v>
      </c>
      <c r="AU29" s="353" t="str">
        <f>IF('Population Figures'!AC29&lt;&gt;"",I29*'Population Figures'!V29*'Scenario 3 - Nut. Analysis'!J28,"N/A")</f>
        <v>N/A</v>
      </c>
      <c r="AV29" s="92">
        <f>I29*'Population Figures'!U29</f>
        <v>1081.7295840000002</v>
      </c>
      <c r="AW29" s="92">
        <f>I29*'Population Figures'!X29*'Scenario 3 - Nut. Analysis'!K28</f>
        <v>204.446891376</v>
      </c>
      <c r="AX29" s="353" t="str">
        <f>IF('Population Figures'!Y29&lt;&gt;"", I29*'Population Figures'!Y29*'Scenario 3 - Nut. Analysis'!K28,"N/A")</f>
        <v>N/A</v>
      </c>
      <c r="AY29" s="353" t="str">
        <f>IF('Population Figures'!Z29&lt;&gt;"", I29*'Population Figures'!Z29*'Scenario 3 - Nut. Analysis'!K28,"N/A")</f>
        <v>N/A</v>
      </c>
      <c r="AZ29" s="8"/>
      <c r="BA29" s="8"/>
      <c r="BB29" s="8"/>
      <c r="BC29" s="8"/>
      <c r="BD29" s="8"/>
      <c r="BE29" s="8"/>
      <c r="BF29" s="8"/>
      <c r="BG29" s="8"/>
      <c r="BH29" s="8"/>
      <c r="BI29" s="8"/>
      <c r="BJ29" s="8"/>
      <c r="BK29" s="8"/>
      <c r="BL29" s="8"/>
    </row>
    <row r="30" spans="1:64" s="9" customFormat="1" ht="15" x14ac:dyDescent="0.2">
      <c r="A30" s="89" t="str">
        <f>'Population Figures'!E30</f>
        <v>Paktya</v>
      </c>
      <c r="B30" s="91">
        <f>'Population Figures'!F30</f>
        <v>1717272</v>
      </c>
      <c r="C30" s="253">
        <v>0.05</v>
      </c>
      <c r="D30" s="253">
        <v>0.01</v>
      </c>
      <c r="E30" s="253">
        <v>0.02</v>
      </c>
      <c r="F30" s="253">
        <v>1.4999999999999999E-2</v>
      </c>
      <c r="G30" s="253">
        <v>1.4999999999999999E-2</v>
      </c>
      <c r="H30" s="92">
        <f>B30*('Population Figures'!G30)*C30</f>
        <v>13738.176000000001</v>
      </c>
      <c r="I30" s="92">
        <f>B30*('Population Figures'!G30)*'Scenario 2 - Nut.Analysis'!B32</f>
        <v>13738.176000000001</v>
      </c>
      <c r="J30" s="92">
        <f>B30*('Population Figures'!G30)*'Scenario 2 - Nut.Analysis'!C32</f>
        <v>0</v>
      </c>
      <c r="K30" s="353" t="str">
        <f>IF('Population Figures'!H30&lt;&gt;"",IF(H30&lt;&gt;"",B30*('Population Figures'!H30)*C30, IF(I30&lt;&gt;"", B30*('Population Figures'!H30)*'Scenario 2 - Nut.Analysis'!B32, IF(J30&lt;&gt;"", B30*('Population Figures'!H30)*'Scenario 2 - Nut.Analysis'!C32, "N/A"))), "N/A")</f>
        <v>N/A</v>
      </c>
      <c r="L30" s="353" t="str">
        <f>IF('Population Figures'!I30&lt;&gt;"",IF(H30&lt;&gt;"",B30*('Population Figures'!I30)*C30, IF(I30&lt;&gt;"", B30*('Population Figures'!I30)*'Scenario 2 - Nut.Analysis'!B32, IF(J30&lt;&gt;"", B30*('Population Figures'!I30)*'Scenario 2 - Nut.Analysis'!C32, "N/A"))), "N/A")</f>
        <v>N/A</v>
      </c>
      <c r="M30" s="92">
        <f>B30*('Population Figures'!G30)</f>
        <v>274763.52000000002</v>
      </c>
      <c r="N30" s="92">
        <f>D30*(B30*'Population Figures'!G30)*'Population Figures'!$C$7</f>
        <v>8792.4326400000009</v>
      </c>
      <c r="O30" s="92">
        <f>E30*(B30*'Population Figures'!G30)*'Population Figures'!$C$7</f>
        <v>17584.865280000002</v>
      </c>
      <c r="P30" s="92">
        <f>F30*(B30*'Population Figures'!G30)*'Population Figures'!$C$7</f>
        <v>13188.64896</v>
      </c>
      <c r="Q30" s="353" t="str">
        <f>IF('Population Figures'!H30&lt;&gt;"",IF(N30&lt;&gt;"",D30*(B30*'Population Figures'!H30)*'Population Figures'!$C$7, IF(O30&lt;&gt;"", E30*(B30*'Population Figures'!H30)*'Population Figures'!$C$7, IF(P30&lt;&gt;"", F30*(B30*'Population Figures'!H30)*'Population Figures'!$C$7, "N/A"))), "N/A")</f>
        <v>N/A</v>
      </c>
      <c r="R30" s="353" t="str">
        <f>IF('Population Figures'!I30&lt;&gt;"",IF(N30&lt;&gt;"",D30*(B30*'Population Figures'!I30)*'Population Figures'!$C$7, IF(O30&lt;&gt;"", E30*(B30*'Population Figures'!I30)*'Population Figures'!$C$7, IF(P30&lt;&gt;"", F30*(B30*'Population Figures'!I30)*'Population Figures'!$C$7, "N/A"))), "N/A")</f>
        <v>N/A</v>
      </c>
      <c r="S30" s="92">
        <f>IF(N30&lt;&gt;"",N30*'Population Figures'!$C$10,IF(O30&lt;&gt;"",O30*'Population Figures'!$C$10,IF(P30&lt;&gt;"",P30*'Population Figures'!$C$10,"Key Values")))</f>
        <v>879.24326400000018</v>
      </c>
      <c r="T30" s="353" t="str">
        <f>IF(Q30&lt;&gt;"N/A",Q30*'Population Figures'!$C$10,"N/A")</f>
        <v>N/A</v>
      </c>
      <c r="U30" s="353" t="str">
        <f>IF(R30&lt;&gt;"N/A",R30*'Population Figures'!$C$10,"N/A")</f>
        <v>N/A</v>
      </c>
      <c r="V30" s="92">
        <f>IF(N30&lt;&gt;"",
 D30*(B30*ABS('Population Figures'!G30-'Population Figures'!J30))*'Population Figures'!$C$7*'Population Figures'!$C$11,
IF(O30&lt;&gt;"",
E30*(B30*ABS('Population Figures'!G30-'Population Figures'!J30))*'Population Figures'!$C$7*'Population Figures'!$C$11,
IF(P30&lt;&gt;"",
F30*(B30*ABS('Population Figures'!G30-'Population Figures'!J30))*'Population Figures'!$C$7*'Population Figures'!$C$11, "Key Values")))</f>
        <v>7022.9555712000019</v>
      </c>
      <c r="W30" s="353" t="str">
        <f>IF('Population Figures'!H30&lt;&gt;"",
IF(N30&lt;&gt;"",D30*(B30*ABS('Population Figures'!H30-'Population Figures'!K30))*'Population Figures'!$C$7,
 IF(O30&lt;&gt;"", E30*(B30*ABS('Population Figures'!H30-'Population Figures'!K30))*'Population Figures'!$C$7,
 IF(P30&lt;&gt;"", F30*(B30*ABS('Population Figures'!H30-'Population Figures'!K30))*'Population Figures'!$C$7, "N/A"))), "N/A")</f>
        <v>N/A</v>
      </c>
      <c r="X30" s="353" t="str">
        <f>IF('Population Figures'!H30&lt;&gt;"",
IF(N30&lt;&gt;"",D30*(B30*ABS('Population Figures'!I30-'Population Figures'!L30))*'Population Figures'!$C$7,
 IF(O30&lt;&gt;"", E30*(B30*ABS('Population Figures'!I30-'Population Figures'!L30))*'Population Figures'!$C$7,
 IF(P30&lt;&gt;"", F30*(B30*ABS('Population Figures'!I30-'Population Figures'!L30))*'Population Figures'!$C$7, "N/A"))), "N/A")</f>
        <v>N/A</v>
      </c>
      <c r="Y30" s="92">
        <f>(C30-D30)*(B30*ABS('Population Figures'!G30-'Population Figures'!J30)*'Population Figures'!$C$8)</f>
        <v>31213.13587200001</v>
      </c>
      <c r="Z30" s="92">
        <f>ABS('Scenario 2 - Nut.Analysis'!C32-E30)*(B30*ABS('Population Figures'!G30-'Population Figures'!J30))*'Population Figures'!$C$8</f>
        <v>15606.567936000005</v>
      </c>
      <c r="AA30" s="92">
        <f>ABS('Scenario 2 - Nut.Analysis'!D32-F30)*(B30*ABS('Population Figures'!G30-'Population Figures'!J30)*'Population Figures'!$C$8)</f>
        <v>11704.925952000003</v>
      </c>
      <c r="AB30" s="353" t="str" cm="1">
        <f t="array" ref="AB30">IF('Population Figures'!H30&lt;&gt;"",IF(N30&lt;&gt;"",(C30-D30)*(ABS('Population Figures'!H30-'Population Figures'!K30)*B30*'Population Figures'!G30)*'Population Figures'!$C$8, IF(O30&lt;&gt;"", ABS('Scenario 2 - Nut.Analysis'!C32-E30)*(ABS('Population Figures'!H30-'Population Figures'!K30)*B30*'Population Figures'!G30)*'Population Figures'!$C$8, IF(P30&lt;&gt;"", AA*(B30*ABS('Population Figures'!H30-'Population Figures'!K30))*'Population Figures'!$C$7, "N/A"))), "N/A")</f>
        <v>N/A</v>
      </c>
      <c r="AC30" s="353" t="str" cm="1">
        <f t="array" ref="AC30">IF('Population Figures'!I30&lt;&gt;"",IF(O30&lt;&gt;"",(D30-E30)*(ABS('Population Figures'!I30-'Population Figures'!L30)*C30*'Population Figures'!H30)*'Population Figures'!$C$8, IF(P30&lt;&gt;"", ABS('Scenario 2 - Nut.Analysis'!D32-F30)*(ABS('Population Figures'!I30-'Population Figures'!L30)*C30*'Population Figures'!H30)*'Population Figures'!$C$8, IF(Q30&lt;&gt;"", AA*(C30*ABS('Population Figures'!I30-'Population Figures'!L30))*'Population Figures'!$C$7, "N/A"))), "N/A")</f>
        <v>N/A</v>
      </c>
      <c r="AD30" s="92">
        <f>Y30*'Population Figures'!$C$12</f>
        <v>21849.195110400007</v>
      </c>
      <c r="AE30" s="92" cm="1">
        <f t="array" ref="AE30">IF(Y30&lt;&gt;"", 'Population Figures'!P30*Y30*'Population Figures'!$C$13,
IF(Z&lt;&gt;"", 'Population Figures'!P30*Z30*'Population Figures'!$C$13,
IF(AA &lt;&gt;"",'Population Figures'!P30*AA30*'Population Figures'!$C$13, "N/A")))</f>
        <v>1123.6728913920003</v>
      </c>
      <c r="AF30" s="353" t="str">
        <f>IF('Population Figures'!Q30&lt;&gt;"",'Population Figures'!Q30*Y30*'Population Figures'!$C$13,"N/A")</f>
        <v>N/A</v>
      </c>
      <c r="AG30" s="353" t="str">
        <f>IF('Population Figures'!R30&lt;&gt;"",'Population Figures'!R30*Y30*'Population Figures'!$C$13,"N/A")</f>
        <v>N/A</v>
      </c>
      <c r="AH30" s="92">
        <f>B30*'Population Figures'!S30*'Scenario 2 - Nut.Analysis'!D32</f>
        <v>0</v>
      </c>
      <c r="AI30" s="92">
        <f>B30*'Population Figures'!S30</f>
        <v>85863.6</v>
      </c>
      <c r="AJ30" s="92">
        <f>B30*'Population Figures'!S30*ABS('Scenario 2 - Nut.Analysis'!D32-G30)*'Population Figures'!$C$17</f>
        <v>965.96550000000002</v>
      </c>
      <c r="AK30" s="92">
        <f>B30*'Population Figures'!S30*ABS('Scenario 2 - Nut.Analysis'!D32-G30)*'Population Figures'!$C$18</f>
        <v>1287.954</v>
      </c>
      <c r="AL30" s="92">
        <f>B30*'Population Figures'!U30*'Scenario 2 Contributing Fact'!F33</f>
        <v>18889.992000000002</v>
      </c>
      <c r="AM30" s="353" t="str">
        <f>IF('Population Figures'!W30&lt;&gt;"",B30*'Population Figures'!U30*'Scenario 2 Contributing Fact'!F33*'Population Figures'!W30,"N/A")</f>
        <v>N/A</v>
      </c>
      <c r="AN30" s="353" t="str">
        <f>IF('Population Figures'!V30&lt;&gt;"",B30*'Population Figures'!U30*'Scenario 2 Contributing Fact'!F33*'Population Figures'!V30,"N/A")</f>
        <v>N/A</v>
      </c>
      <c r="AO30" s="92">
        <f>B30*'Population Figures'!U30</f>
        <v>171727.2</v>
      </c>
      <c r="AP30" s="92">
        <f>B30*'Population Figures'!X30*'Scenario 2 Contributing Fact'!G33</f>
        <v>27047.033999999996</v>
      </c>
      <c r="AQ30" s="353" t="str">
        <f>IF('Population Figures'!Y30&lt;&gt;"", 'Population Figures'!Y30*B30*'Population Figures'!X30*'Scenario 2 Contributing Fact'!G33,"N/A")</f>
        <v>N/A</v>
      </c>
      <c r="AR30" s="353" t="str">
        <f>IF('Population Figures'!Z30&lt;&gt;"", 'Population Figures'!Z30*B30*'Population Figures'!X30*'Scenario 2 Contributing Fact'!G33,"N/A")</f>
        <v>N/A</v>
      </c>
      <c r="AS30" s="92">
        <f>I30*'Population Figures'!U30*'Scenario 3 - Nut. Analysis'!J29</f>
        <v>144.25084800000002</v>
      </c>
      <c r="AT30" s="353" t="str">
        <f>IF('Population Figures'!AD30&lt;&gt;"",I30*'Population Figures'!W30*'Scenario 3 - Nut. Analysis'!J29,"N/A")</f>
        <v>N/A</v>
      </c>
      <c r="AU30" s="353" t="str">
        <f>IF('Population Figures'!AC30&lt;&gt;"",I30*'Population Figures'!V30*'Scenario 3 - Nut. Analysis'!J29,"N/A")</f>
        <v>N/A</v>
      </c>
      <c r="AV30" s="92">
        <f>I30*'Population Figures'!U30</f>
        <v>1373.8176000000003</v>
      </c>
      <c r="AW30" s="92">
        <f>I30*'Population Figures'!X30*'Scenario 3 - Nut. Analysis'!K29</f>
        <v>216.376272</v>
      </c>
      <c r="AX30" s="353" t="str">
        <f>IF('Population Figures'!Y30&lt;&gt;"", I30*'Population Figures'!Y30*'Scenario 3 - Nut. Analysis'!K29,"N/A")</f>
        <v>N/A</v>
      </c>
      <c r="AY30" s="353" t="str">
        <f>IF('Population Figures'!Z30&lt;&gt;"", I30*'Population Figures'!Z30*'Scenario 3 - Nut. Analysis'!K29,"N/A")</f>
        <v>N/A</v>
      </c>
      <c r="AZ30" s="8"/>
      <c r="BA30" s="8"/>
      <c r="BB30" s="8"/>
      <c r="BC30" s="8"/>
      <c r="BD30" s="8"/>
      <c r="BE30" s="8"/>
      <c r="BF30" s="8"/>
      <c r="BG30" s="8"/>
      <c r="BH30" s="8"/>
      <c r="BI30" s="8"/>
      <c r="BJ30" s="8"/>
      <c r="BK30" s="8"/>
      <c r="BL30" s="8"/>
    </row>
    <row r="31" spans="1:64" s="9" customFormat="1" ht="15" x14ac:dyDescent="0.2">
      <c r="A31" s="89" t="str">
        <f>'Population Figures'!E31</f>
        <v>Panjsher</v>
      </c>
      <c r="B31" s="91">
        <f>'Population Figures'!F31</f>
        <v>477363.05999999994</v>
      </c>
      <c r="C31" s="253">
        <v>0.05</v>
      </c>
      <c r="D31" s="253">
        <v>0.01</v>
      </c>
      <c r="E31" s="253">
        <v>0.02</v>
      </c>
      <c r="F31" s="253">
        <v>1.4999999999999999E-2</v>
      </c>
      <c r="G31" s="253">
        <v>1.4999999999999999E-2</v>
      </c>
      <c r="H31" s="92">
        <f>B31*('Population Figures'!G31)*C31</f>
        <v>3818.9044799999997</v>
      </c>
      <c r="I31" s="92">
        <f>B31*('Population Figures'!G31)*'Scenario 2 - Nut.Analysis'!B33</f>
        <v>3818.9044799999997</v>
      </c>
      <c r="J31" s="92">
        <f>B31*('Population Figures'!G31)*'Scenario 2 - Nut.Analysis'!C33</f>
        <v>0</v>
      </c>
      <c r="K31" s="353" t="str">
        <f>IF('Population Figures'!H31&lt;&gt;"",IF(H31&lt;&gt;"",B31*('Population Figures'!H31)*C31, IF(I31&lt;&gt;"", B31*('Population Figures'!H31)*'Scenario 2 - Nut.Analysis'!B33, IF(J31&lt;&gt;"", B31*('Population Figures'!H31)*'Scenario 2 - Nut.Analysis'!C33, "N/A"))), "N/A")</f>
        <v>N/A</v>
      </c>
      <c r="L31" s="353" t="str">
        <f>IF('Population Figures'!I31&lt;&gt;"",IF(H31&lt;&gt;"",B31*('Population Figures'!I31)*C31, IF(I31&lt;&gt;"", B31*('Population Figures'!I31)*'Scenario 2 - Nut.Analysis'!B33, IF(J31&lt;&gt;"", B31*('Population Figures'!I31)*'Scenario 2 - Nut.Analysis'!C33, "N/A"))), "N/A")</f>
        <v>N/A</v>
      </c>
      <c r="M31" s="92">
        <f>B31*('Population Figures'!G31)</f>
        <v>76378.089599999992</v>
      </c>
      <c r="N31" s="92">
        <f>D31*(B31*'Population Figures'!G31)*'Population Figures'!$C$7</f>
        <v>2444.0988671999999</v>
      </c>
      <c r="O31" s="92">
        <f>E31*(B31*'Population Figures'!G31)*'Population Figures'!$C$7</f>
        <v>4888.1977343999997</v>
      </c>
      <c r="P31" s="92">
        <f>F31*(B31*'Population Figures'!G31)*'Population Figures'!$C$7</f>
        <v>3666.1483007999996</v>
      </c>
      <c r="Q31" s="353" t="str">
        <f>IF('Population Figures'!H31&lt;&gt;"",IF(N31&lt;&gt;"",D31*(B31*'Population Figures'!H31)*'Population Figures'!$C$7, IF(O31&lt;&gt;"", E31*(B31*'Population Figures'!H31)*'Population Figures'!$C$7, IF(P31&lt;&gt;"", F31*(B31*'Population Figures'!H31)*'Population Figures'!$C$7, "N/A"))), "N/A")</f>
        <v>N/A</v>
      </c>
      <c r="R31" s="353" t="str">
        <f>IF('Population Figures'!I31&lt;&gt;"",IF(N31&lt;&gt;"",D31*(B31*'Population Figures'!I31)*'Population Figures'!$C$7, IF(O31&lt;&gt;"", E31*(B31*'Population Figures'!I31)*'Population Figures'!$C$7, IF(P31&lt;&gt;"", F31*(B31*'Population Figures'!I31)*'Population Figures'!$C$7, "N/A"))), "N/A")</f>
        <v>N/A</v>
      </c>
      <c r="S31" s="92">
        <f>IF(N31&lt;&gt;"",N31*'Population Figures'!$C$10,IF(O31&lt;&gt;"",O31*'Population Figures'!$C$10,IF(P31&lt;&gt;"",P31*'Population Figures'!$C$10,"Key Values")))</f>
        <v>244.40988672</v>
      </c>
      <c r="T31" s="353" t="str">
        <f>IF(Q31&lt;&gt;"N/A",Q31*'Population Figures'!$C$10,"N/A")</f>
        <v>N/A</v>
      </c>
      <c r="U31" s="353" t="str">
        <f>IF(R31&lt;&gt;"N/A",R31*'Population Figures'!$C$10,"N/A")</f>
        <v>N/A</v>
      </c>
      <c r="V31" s="92">
        <f>IF(N31&lt;&gt;"",
 D31*(B31*ABS('Population Figures'!G31-'Population Figures'!J31))*'Population Figures'!$C$7*'Population Figures'!$C$11,
IF(O31&lt;&gt;"",
E31*(B31*ABS('Population Figures'!G31-'Population Figures'!J31))*'Population Figures'!$C$7*'Population Figures'!$C$11,
IF(P31&lt;&gt;"",
F31*(B31*ABS('Population Figures'!G31-'Population Figures'!J31))*'Population Figures'!$C$7*'Population Figures'!$C$11, "Key Values")))</f>
        <v>1952.2239701760002</v>
      </c>
      <c r="W31" s="353" t="str">
        <f>IF('Population Figures'!H31&lt;&gt;"",
IF(N31&lt;&gt;"",D31*(B31*ABS('Population Figures'!H31-'Population Figures'!K31))*'Population Figures'!$C$7,
 IF(O31&lt;&gt;"", E31*(B31*ABS('Population Figures'!H31-'Population Figures'!K31))*'Population Figures'!$C$7,
 IF(P31&lt;&gt;"", F31*(B31*ABS('Population Figures'!H31-'Population Figures'!K31))*'Population Figures'!$C$7, "N/A"))), "N/A")</f>
        <v>N/A</v>
      </c>
      <c r="X31" s="353" t="str">
        <f>IF('Population Figures'!H31&lt;&gt;"",
IF(N31&lt;&gt;"",D31*(B31*ABS('Population Figures'!I31-'Population Figures'!L31))*'Population Figures'!$C$7,
 IF(O31&lt;&gt;"", E31*(B31*ABS('Population Figures'!I31-'Population Figures'!L31))*'Population Figures'!$C$7,
 IF(P31&lt;&gt;"", F31*(B31*ABS('Population Figures'!I31-'Population Figures'!L31))*'Population Figures'!$C$7, "N/A"))), "N/A")</f>
        <v>N/A</v>
      </c>
      <c r="Y31" s="92">
        <f>(C31-D31)*(B31*ABS('Population Figures'!G31-'Population Figures'!J31)*'Population Figures'!$C$8)</f>
        <v>8676.5509785600007</v>
      </c>
      <c r="Z31" s="92">
        <f>ABS('Scenario 2 - Nut.Analysis'!C33-E31)*(B31*ABS('Population Figures'!G31-'Population Figures'!J31))*'Population Figures'!$C$8</f>
        <v>4338.2754892800003</v>
      </c>
      <c r="AA31" s="92">
        <f>ABS('Scenario 2 - Nut.Analysis'!D33-F31)*(B31*ABS('Population Figures'!G31-'Population Figures'!J31)*'Population Figures'!$C$8)</f>
        <v>3253.7066169600002</v>
      </c>
      <c r="AB31" s="353" t="str" cm="1">
        <f t="array" ref="AB31">IF('Population Figures'!H31&lt;&gt;"",IF(N31&lt;&gt;"",(C31-D31)*(ABS('Population Figures'!H31-'Population Figures'!K31)*B31*'Population Figures'!G31)*'Population Figures'!$C$8, IF(O31&lt;&gt;"", ABS('Scenario 2 - Nut.Analysis'!C33-E31)*(ABS('Population Figures'!H31-'Population Figures'!K31)*B31*'Population Figures'!G31)*'Population Figures'!$C$8, IF(P31&lt;&gt;"", AA*(B31*ABS('Population Figures'!H31-'Population Figures'!K31))*'Population Figures'!$C$7, "N/A"))), "N/A")</f>
        <v>N/A</v>
      </c>
      <c r="AC31" s="353" t="str" cm="1">
        <f t="array" ref="AC31">IF('Population Figures'!I31&lt;&gt;"",IF(O31&lt;&gt;"",(D31-E31)*(ABS('Population Figures'!I31-'Population Figures'!L31)*C31*'Population Figures'!H31)*'Population Figures'!$C$8, IF(P31&lt;&gt;"", ABS('Scenario 2 - Nut.Analysis'!D33-F31)*(ABS('Population Figures'!I31-'Population Figures'!L31)*C31*'Population Figures'!H31)*'Population Figures'!$C$8, IF(Q31&lt;&gt;"", AA*(C31*ABS('Population Figures'!I31-'Population Figures'!L31))*'Population Figures'!$C$7, "N/A"))), "N/A")</f>
        <v>N/A</v>
      </c>
      <c r="AD31" s="92">
        <f>Y31*'Population Figures'!$C$12</f>
        <v>6073.5856849920001</v>
      </c>
      <c r="AE31" s="92" cm="1">
        <f t="array" ref="AE31">IF(Y31&lt;&gt;"", 'Population Figures'!P31*Y31*'Population Figures'!$C$13,
IF(Z&lt;&gt;"", 'Population Figures'!P31*Z31*'Population Figures'!$C$13,
IF(AA &lt;&gt;"",'Population Figures'!P31*AA31*'Population Figures'!$C$13, "N/A")))</f>
        <v>312.35583522816</v>
      </c>
      <c r="AF31" s="353" t="str">
        <f>IF('Population Figures'!Q31&lt;&gt;"",'Population Figures'!Q31*Y31*'Population Figures'!$C$13,"N/A")</f>
        <v>N/A</v>
      </c>
      <c r="AG31" s="353" t="str">
        <f>IF('Population Figures'!R31&lt;&gt;"",'Population Figures'!R31*Y31*'Population Figures'!$C$13,"N/A")</f>
        <v>N/A</v>
      </c>
      <c r="AH31" s="92">
        <f>B31*'Population Figures'!S31*'Scenario 2 - Nut.Analysis'!D33</f>
        <v>0</v>
      </c>
      <c r="AI31" s="92">
        <f>B31*'Population Figures'!S31</f>
        <v>23868.152999999998</v>
      </c>
      <c r="AJ31" s="92">
        <f>B31*'Population Figures'!S31*ABS('Scenario 2 - Nut.Analysis'!D33-G31)*'Population Figures'!$C$17</f>
        <v>268.51672124999999</v>
      </c>
      <c r="AK31" s="92">
        <f>B31*'Population Figures'!S31*ABS('Scenario 2 - Nut.Analysis'!D33-G31)*'Population Figures'!$C$18</f>
        <v>358.02229499999999</v>
      </c>
      <c r="AL31" s="92">
        <f>B31*'Population Figures'!U31*'Scenario 2 Contributing Fact'!F34</f>
        <v>8115.17202</v>
      </c>
      <c r="AM31" s="353" t="str">
        <f>IF('Population Figures'!W31&lt;&gt;"",B31*'Population Figures'!U31*'Scenario 2 Contributing Fact'!F34*'Population Figures'!W31,"N/A")</f>
        <v>N/A</v>
      </c>
      <c r="AN31" s="353" t="str">
        <f>IF('Population Figures'!V31&lt;&gt;"",B31*'Population Figures'!U31*'Scenario 2 Contributing Fact'!F34*'Population Figures'!V31,"N/A")</f>
        <v>N/A</v>
      </c>
      <c r="AO31" s="92">
        <f>B31*'Population Figures'!U31</f>
        <v>47736.305999999997</v>
      </c>
      <c r="AP31" s="92">
        <f>B31*'Population Figures'!X31*'Scenario 2 Contributing Fact'!G34</f>
        <v>12673.989242999996</v>
      </c>
      <c r="AQ31" s="353" t="str">
        <f>IF('Population Figures'!Y31&lt;&gt;"", 'Population Figures'!Y31*B31*'Population Figures'!X31*'Scenario 2 Contributing Fact'!G34,"N/A")</f>
        <v>N/A</v>
      </c>
      <c r="AR31" s="353" t="str">
        <f>IF('Population Figures'!Z31&lt;&gt;"", 'Population Figures'!Z31*B31*'Population Figures'!X31*'Scenario 2 Contributing Fact'!G34,"N/A")</f>
        <v>N/A</v>
      </c>
      <c r="AS31" s="92">
        <f>I31*'Population Figures'!U31*'Scenario 3 - Nut. Analysis'!J30</f>
        <v>67.594609296000002</v>
      </c>
      <c r="AT31" s="353" t="str">
        <f>IF('Population Figures'!AD31&lt;&gt;"",I31*'Population Figures'!W31*'Scenario 3 - Nut. Analysis'!J30,"N/A")</f>
        <v>N/A</v>
      </c>
      <c r="AU31" s="353" t="str">
        <f>IF('Population Figures'!AC31&lt;&gt;"",I31*'Population Figures'!V31*'Scenario 3 - Nut. Analysis'!J30,"N/A")</f>
        <v>N/A</v>
      </c>
      <c r="AV31" s="92">
        <f>I31*'Population Figures'!U31</f>
        <v>381.89044799999999</v>
      </c>
      <c r="AW31" s="92">
        <f>I31*'Population Figures'!X31*'Scenario 3 - Nut. Analysis'!K30</f>
        <v>101.39191394399998</v>
      </c>
      <c r="AX31" s="353" t="str">
        <f>IF('Population Figures'!Y31&lt;&gt;"", I31*'Population Figures'!Y31*'Scenario 3 - Nut. Analysis'!K30,"N/A")</f>
        <v>N/A</v>
      </c>
      <c r="AY31" s="353" t="str">
        <f>IF('Population Figures'!Z31&lt;&gt;"", I31*'Population Figures'!Z31*'Scenario 3 - Nut. Analysis'!K30,"N/A")</f>
        <v>N/A</v>
      </c>
      <c r="AZ31" s="8"/>
      <c r="BA31" s="8"/>
      <c r="BB31" s="8"/>
      <c r="BC31" s="8"/>
      <c r="BD31" s="8"/>
      <c r="BE31" s="8"/>
      <c r="BF31" s="8"/>
      <c r="BG31" s="8"/>
      <c r="BH31" s="8"/>
      <c r="BI31" s="8"/>
      <c r="BJ31" s="8"/>
      <c r="BK31" s="8"/>
      <c r="BL31" s="8"/>
    </row>
    <row r="32" spans="1:64" s="9" customFormat="1" ht="15" x14ac:dyDescent="0.2">
      <c r="A32" s="89" t="str">
        <f>'Population Figures'!E32</f>
        <v>Parwan</v>
      </c>
      <c r="B32" s="91">
        <f>'Population Figures'!F32</f>
        <v>2067932.7000000002</v>
      </c>
      <c r="C32" s="253">
        <v>0.05</v>
      </c>
      <c r="D32" s="253">
        <v>0.01</v>
      </c>
      <c r="E32" s="253">
        <v>0.02</v>
      </c>
      <c r="F32" s="253">
        <v>1.4999999999999999E-2</v>
      </c>
      <c r="G32" s="253">
        <v>1.4999999999999999E-2</v>
      </c>
      <c r="H32" s="92">
        <f>B32*('Population Figures'!G32)*C32</f>
        <v>16543.461600000002</v>
      </c>
      <c r="I32" s="92">
        <f>B32*('Population Figures'!G32)*'Scenario 2 - Nut.Analysis'!B34</f>
        <v>16543.461600000002</v>
      </c>
      <c r="J32" s="92">
        <f>B32*('Population Figures'!G32)*'Scenario 2 - Nut.Analysis'!C34</f>
        <v>0</v>
      </c>
      <c r="K32" s="353" t="str">
        <f>IF('Population Figures'!H32&lt;&gt;"",IF(H32&lt;&gt;"",B32*('Population Figures'!H32)*C32, IF(I32&lt;&gt;"", B32*('Population Figures'!H32)*'Scenario 2 - Nut.Analysis'!B34, IF(J32&lt;&gt;"", B32*('Population Figures'!H32)*'Scenario 2 - Nut.Analysis'!C34, "N/A"))), "N/A")</f>
        <v>N/A</v>
      </c>
      <c r="L32" s="353" t="str">
        <f>IF('Population Figures'!I32&lt;&gt;"",IF(H32&lt;&gt;"",B32*('Population Figures'!I32)*C32, IF(I32&lt;&gt;"", B32*('Population Figures'!I32)*'Scenario 2 - Nut.Analysis'!B34, IF(J32&lt;&gt;"", B32*('Population Figures'!I32)*'Scenario 2 - Nut.Analysis'!C34, "N/A"))), "N/A")</f>
        <v>N/A</v>
      </c>
      <c r="M32" s="92">
        <f>B32*('Population Figures'!G32)</f>
        <v>330869.23200000002</v>
      </c>
      <c r="N32" s="92">
        <f>D32*(B32*'Population Figures'!G32)*'Population Figures'!$C$7</f>
        <v>10587.815424</v>
      </c>
      <c r="O32" s="92">
        <f>E32*(B32*'Population Figures'!G32)*'Population Figures'!$C$7</f>
        <v>21175.630848000001</v>
      </c>
      <c r="P32" s="92">
        <f>F32*(B32*'Population Figures'!G32)*'Population Figures'!$C$7</f>
        <v>15881.723136000001</v>
      </c>
      <c r="Q32" s="353" t="str">
        <f>IF('Population Figures'!H32&lt;&gt;"",IF(N32&lt;&gt;"",D32*(B32*'Population Figures'!H32)*'Population Figures'!$C$7, IF(O32&lt;&gt;"", E32*(B32*'Population Figures'!H32)*'Population Figures'!$C$7, IF(P32&lt;&gt;"", F32*(B32*'Population Figures'!H32)*'Population Figures'!$C$7, "N/A"))), "N/A")</f>
        <v>N/A</v>
      </c>
      <c r="R32" s="353" t="str">
        <f>IF('Population Figures'!I32&lt;&gt;"",IF(N32&lt;&gt;"",D32*(B32*'Population Figures'!I32)*'Population Figures'!$C$7, IF(O32&lt;&gt;"", E32*(B32*'Population Figures'!I32)*'Population Figures'!$C$7, IF(P32&lt;&gt;"", F32*(B32*'Population Figures'!I32)*'Population Figures'!$C$7, "N/A"))), "N/A")</f>
        <v>N/A</v>
      </c>
      <c r="S32" s="92">
        <f>IF(N32&lt;&gt;"",N32*'Population Figures'!$C$10,IF(O32&lt;&gt;"",O32*'Population Figures'!$C$10,IF(P32&lt;&gt;"",P32*'Population Figures'!$C$10,"Key Values")))</f>
        <v>1058.7815424</v>
      </c>
      <c r="T32" s="353" t="str">
        <f>IF(Q32&lt;&gt;"N/A",Q32*'Population Figures'!$C$10,"N/A")</f>
        <v>N/A</v>
      </c>
      <c r="U32" s="353" t="str">
        <f>IF(R32&lt;&gt;"N/A",R32*'Population Figures'!$C$10,"N/A")</f>
        <v>N/A</v>
      </c>
      <c r="V32" s="92">
        <f>IF(N32&lt;&gt;"",
 D32*(B32*ABS('Population Figures'!G32-'Population Figures'!J32))*'Population Figures'!$C$7*'Population Figures'!$C$11,
IF(O32&lt;&gt;"",
E32*(B32*ABS('Population Figures'!G32-'Population Figures'!J32))*'Population Figures'!$C$7*'Population Figures'!$C$11,
IF(P32&lt;&gt;"",
F32*(B32*ABS('Population Figures'!G32-'Population Figures'!J32))*'Population Figures'!$C$7*'Population Figures'!$C$11, "Key Values")))</f>
        <v>8457.0175699200026</v>
      </c>
      <c r="W32" s="353" t="str">
        <f>IF('Population Figures'!H32&lt;&gt;"",
IF(N32&lt;&gt;"",D32*(B32*ABS('Population Figures'!H32-'Population Figures'!K32))*'Population Figures'!$C$7,
 IF(O32&lt;&gt;"", E32*(B32*ABS('Population Figures'!H32-'Population Figures'!K32))*'Population Figures'!$C$7,
 IF(P32&lt;&gt;"", F32*(B32*ABS('Population Figures'!H32-'Population Figures'!K32))*'Population Figures'!$C$7, "N/A"))), "N/A")</f>
        <v>N/A</v>
      </c>
      <c r="X32" s="353" t="str">
        <f>IF('Population Figures'!H32&lt;&gt;"",
IF(N32&lt;&gt;"",D32*(B32*ABS('Population Figures'!I32-'Population Figures'!L32))*'Population Figures'!$C$7,
 IF(O32&lt;&gt;"", E32*(B32*ABS('Population Figures'!I32-'Population Figures'!L32))*'Population Figures'!$C$7,
 IF(P32&lt;&gt;"", F32*(B32*ABS('Population Figures'!I32-'Population Figures'!L32))*'Population Figures'!$C$7, "N/A"))), "N/A")</f>
        <v>N/A</v>
      </c>
      <c r="Y32" s="92">
        <f>(C32-D32)*(B32*ABS('Population Figures'!G32-'Population Figures'!J32)*'Population Figures'!$C$8)</f>
        <v>37586.744755200009</v>
      </c>
      <c r="Z32" s="92">
        <f>ABS('Scenario 2 - Nut.Analysis'!C34-E32)*(B32*ABS('Population Figures'!G32-'Population Figures'!J32))*'Population Figures'!$C$8</f>
        <v>18793.372377600004</v>
      </c>
      <c r="AA32" s="92">
        <f>ABS('Scenario 2 - Nut.Analysis'!D34-F32)*(B32*ABS('Population Figures'!G32-'Population Figures'!J32)*'Population Figures'!$C$8)</f>
        <v>14095.029283200003</v>
      </c>
      <c r="AB32" s="353" t="str" cm="1">
        <f t="array" ref="AB32">IF('Population Figures'!H32&lt;&gt;"",IF(N32&lt;&gt;"",(C32-D32)*(ABS('Population Figures'!H32-'Population Figures'!K32)*B32*'Population Figures'!G32)*'Population Figures'!$C$8, IF(O32&lt;&gt;"", ABS('Scenario 2 - Nut.Analysis'!C34-E32)*(ABS('Population Figures'!H32-'Population Figures'!K32)*B32*'Population Figures'!G32)*'Population Figures'!$C$8, IF(P32&lt;&gt;"", AA*(B32*ABS('Population Figures'!H32-'Population Figures'!K32))*'Population Figures'!$C$7, "N/A"))), "N/A")</f>
        <v>N/A</v>
      </c>
      <c r="AC32" s="353" t="str" cm="1">
        <f t="array" ref="AC32">IF('Population Figures'!I32&lt;&gt;"",IF(O32&lt;&gt;"",(D32-E32)*(ABS('Population Figures'!I32-'Population Figures'!L32)*C32*'Population Figures'!H32)*'Population Figures'!$C$8, IF(P32&lt;&gt;"", ABS('Scenario 2 - Nut.Analysis'!D34-F32)*(ABS('Population Figures'!I32-'Population Figures'!L32)*C32*'Population Figures'!H32)*'Population Figures'!$C$8, IF(Q32&lt;&gt;"", AA*(C32*ABS('Population Figures'!I32-'Population Figures'!L32))*'Population Figures'!$C$7, "N/A"))), "N/A")</f>
        <v>N/A</v>
      </c>
      <c r="AD32" s="92">
        <f>Y32*'Population Figures'!$C$12</f>
        <v>26310.721328640004</v>
      </c>
      <c r="AE32" s="92" cm="1">
        <f t="array" ref="AE32">IF(Y32&lt;&gt;"", 'Population Figures'!P32*Y32*'Population Figures'!$C$13,
IF(Z&lt;&gt;"", 'Population Figures'!P32*Z32*'Population Figures'!$C$13,
IF(AA &lt;&gt;"",'Population Figures'!P32*AA32*'Population Figures'!$C$13, "N/A")))</f>
        <v>1353.1228111872001</v>
      </c>
      <c r="AF32" s="353" t="str">
        <f>IF('Population Figures'!Q32&lt;&gt;"",'Population Figures'!Q32*Y32*'Population Figures'!$C$13,"N/A")</f>
        <v>N/A</v>
      </c>
      <c r="AG32" s="353" t="str">
        <f>IF('Population Figures'!R32&lt;&gt;"",'Population Figures'!R32*Y32*'Population Figures'!$C$13,"N/A")</f>
        <v>N/A</v>
      </c>
      <c r="AH32" s="92">
        <f>B32*'Population Figures'!S32*'Scenario 2 - Nut.Analysis'!D34</f>
        <v>0</v>
      </c>
      <c r="AI32" s="92">
        <f>B32*'Population Figures'!S32</f>
        <v>103396.63500000001</v>
      </c>
      <c r="AJ32" s="92">
        <f>B32*'Population Figures'!S32*ABS('Scenario 2 - Nut.Analysis'!D34-G32)*'Population Figures'!$C$17</f>
        <v>1163.21214375</v>
      </c>
      <c r="AK32" s="92">
        <f>B32*'Population Figures'!S32*ABS('Scenario 2 - Nut.Analysis'!D34-G32)*'Population Figures'!$C$18</f>
        <v>1550.949525</v>
      </c>
      <c r="AL32" s="92">
        <f>B32*'Population Figures'!U32*'Scenario 2 Contributing Fact'!F35</f>
        <v>12407.5962</v>
      </c>
      <c r="AM32" s="353" t="str">
        <f>IF('Population Figures'!W32&lt;&gt;"",B32*'Population Figures'!U32*'Scenario 2 Contributing Fact'!F35*'Population Figures'!W32,"N/A")</f>
        <v>N/A</v>
      </c>
      <c r="AN32" s="353" t="str">
        <f>IF('Population Figures'!V32&lt;&gt;"",B32*'Population Figures'!U32*'Scenario 2 Contributing Fact'!F35*'Population Figures'!V32,"N/A")</f>
        <v>N/A</v>
      </c>
      <c r="AO32" s="92">
        <f>B32*'Population Figures'!U32</f>
        <v>206793.27000000002</v>
      </c>
      <c r="AP32" s="92">
        <f>B32*'Population Figures'!X32*'Scenario 2 Contributing Fact'!G35</f>
        <v>21507.962467395573</v>
      </c>
      <c r="AQ32" s="353" t="str">
        <f>IF('Population Figures'!Y32&lt;&gt;"", 'Population Figures'!Y32*B32*'Population Figures'!X32*'Scenario 2 Contributing Fact'!G35,"N/A")</f>
        <v>N/A</v>
      </c>
      <c r="AR32" s="353" t="str">
        <f>IF('Population Figures'!Z32&lt;&gt;"", 'Population Figures'!Z32*B32*'Population Figures'!X32*'Scenario 2 Contributing Fact'!G35,"N/A")</f>
        <v>N/A</v>
      </c>
      <c r="AS32" s="92">
        <f>I32*'Population Figures'!U32*'Scenario 3 - Nut. Analysis'!J31</f>
        <v>114.70913315944306</v>
      </c>
      <c r="AT32" s="353" t="str">
        <f>IF('Population Figures'!AD32&lt;&gt;"",I32*'Population Figures'!W32*'Scenario 3 - Nut. Analysis'!J31,"N/A")</f>
        <v>N/A</v>
      </c>
      <c r="AU32" s="353" t="str">
        <f>IF('Population Figures'!AC32&lt;&gt;"",I32*'Population Figures'!V32*'Scenario 3 - Nut. Analysis'!J31,"N/A")</f>
        <v>N/A</v>
      </c>
      <c r="AV32" s="92">
        <f>I32*'Population Figures'!U32</f>
        <v>1654.3461600000003</v>
      </c>
      <c r="AW32" s="92">
        <f>I32*'Population Figures'!X32*'Scenario 3 - Nut. Analysis'!K31</f>
        <v>172.06369973916458</v>
      </c>
      <c r="AX32" s="353" t="str">
        <f>IF('Population Figures'!Y32&lt;&gt;"", I32*'Population Figures'!Y32*'Scenario 3 - Nut. Analysis'!K31,"N/A")</f>
        <v>N/A</v>
      </c>
      <c r="AY32" s="353" t="str">
        <f>IF('Population Figures'!Z32&lt;&gt;"", I32*'Population Figures'!Z32*'Scenario 3 - Nut. Analysis'!K31,"N/A")</f>
        <v>N/A</v>
      </c>
      <c r="AZ32" s="8"/>
      <c r="BA32" s="8"/>
      <c r="BB32" s="8"/>
      <c r="BC32" s="8"/>
      <c r="BD32" s="8"/>
      <c r="BE32" s="8"/>
      <c r="BF32" s="8"/>
      <c r="BG32" s="8"/>
      <c r="BH32" s="8"/>
      <c r="BI32" s="8"/>
      <c r="BJ32" s="8"/>
      <c r="BK32" s="8"/>
      <c r="BL32" s="8"/>
    </row>
    <row r="33" spans="1:64" s="9" customFormat="1" ht="15" x14ac:dyDescent="0.2">
      <c r="A33" s="89" t="str">
        <f>'Population Figures'!E33</f>
        <v>Samangan</v>
      </c>
      <c r="B33" s="91">
        <f>'Population Figures'!F33</f>
        <v>1207130.22</v>
      </c>
      <c r="C33" s="253">
        <v>0.05</v>
      </c>
      <c r="D33" s="253">
        <v>0.01</v>
      </c>
      <c r="E33" s="253">
        <v>0.02</v>
      </c>
      <c r="F33" s="253">
        <v>1.4999999999999999E-2</v>
      </c>
      <c r="G33" s="253">
        <v>1.4999999999999999E-2</v>
      </c>
      <c r="H33" s="92">
        <f>B33*('Population Figures'!G33)*C33</f>
        <v>9657.0417600000001</v>
      </c>
      <c r="I33" s="92">
        <f>B33*('Population Figures'!G33)*'Scenario 2 - Nut.Analysis'!B35</f>
        <v>9657.0417600000001</v>
      </c>
      <c r="J33" s="92">
        <f>B33*('Population Figures'!G33)*'Scenario 2 - Nut.Analysis'!C35</f>
        <v>0</v>
      </c>
      <c r="K33" s="353" t="str">
        <f>IF('Population Figures'!H33&lt;&gt;"",IF(H33&lt;&gt;"",B33*('Population Figures'!H33)*C33, IF(I33&lt;&gt;"", B33*('Population Figures'!H33)*'Scenario 2 - Nut.Analysis'!B35, IF(J33&lt;&gt;"", B33*('Population Figures'!H33)*'Scenario 2 - Nut.Analysis'!C35, "N/A"))), "N/A")</f>
        <v>N/A</v>
      </c>
      <c r="L33" s="353" t="str">
        <f>IF('Population Figures'!I33&lt;&gt;"",IF(H33&lt;&gt;"",B33*('Population Figures'!I33)*C33, IF(I33&lt;&gt;"", B33*('Population Figures'!I33)*'Scenario 2 - Nut.Analysis'!B35, IF(J33&lt;&gt;"", B33*('Population Figures'!I33)*'Scenario 2 - Nut.Analysis'!C35, "N/A"))), "N/A")</f>
        <v>N/A</v>
      </c>
      <c r="M33" s="92">
        <f>B33*('Population Figures'!G33)</f>
        <v>193140.8352</v>
      </c>
      <c r="N33" s="92">
        <f>D33*(B33*'Population Figures'!G33)*'Population Figures'!$C$7</f>
        <v>6180.5067264000008</v>
      </c>
      <c r="O33" s="92">
        <f>E33*(B33*'Population Figures'!G33)*'Population Figures'!$C$7</f>
        <v>12361.013452800002</v>
      </c>
      <c r="P33" s="92">
        <f>F33*(B33*'Population Figures'!G33)*'Population Figures'!$C$7</f>
        <v>9270.7600896000004</v>
      </c>
      <c r="Q33" s="353" t="str">
        <f>IF('Population Figures'!H33&lt;&gt;"",IF(N33&lt;&gt;"",D33*(B33*'Population Figures'!H33)*'Population Figures'!$C$7, IF(O33&lt;&gt;"", E33*(B33*'Population Figures'!H33)*'Population Figures'!$C$7, IF(P33&lt;&gt;"", F33*(B33*'Population Figures'!H33)*'Population Figures'!$C$7, "N/A"))), "N/A")</f>
        <v>N/A</v>
      </c>
      <c r="R33" s="353" t="str">
        <f>IF('Population Figures'!I33&lt;&gt;"",IF(N33&lt;&gt;"",D33*(B33*'Population Figures'!I33)*'Population Figures'!$C$7, IF(O33&lt;&gt;"", E33*(B33*'Population Figures'!I33)*'Population Figures'!$C$7, IF(P33&lt;&gt;"", F33*(B33*'Population Figures'!I33)*'Population Figures'!$C$7, "N/A"))), "N/A")</f>
        <v>N/A</v>
      </c>
      <c r="S33" s="92">
        <f>IF(N33&lt;&gt;"",N33*'Population Figures'!$C$10,IF(O33&lt;&gt;"",O33*'Population Figures'!$C$10,IF(P33&lt;&gt;"",P33*'Population Figures'!$C$10,"Key Values")))</f>
        <v>618.05067264000013</v>
      </c>
      <c r="T33" s="353" t="str">
        <f>IF(Q33&lt;&gt;"N/A",Q33*'Population Figures'!$C$10,"N/A")</f>
        <v>N/A</v>
      </c>
      <c r="U33" s="353" t="str">
        <f>IF(R33&lt;&gt;"N/A",R33*'Population Figures'!$C$10,"N/A")</f>
        <v>N/A</v>
      </c>
      <c r="V33" s="92">
        <f>IF(N33&lt;&gt;"",
 D33*(B33*ABS('Population Figures'!G33-'Population Figures'!J33))*'Population Figures'!$C$7*'Population Figures'!$C$11,
IF(O33&lt;&gt;"",
E33*(B33*ABS('Population Figures'!G33-'Population Figures'!J33))*'Population Figures'!$C$7*'Population Figures'!$C$11,
IF(P33&lt;&gt;"",
F33*(B33*ABS('Population Figures'!G33-'Population Figures'!J33))*'Population Figures'!$C$7*'Population Figures'!$C$11, "Key Values")))</f>
        <v>4936.6797477120008</v>
      </c>
      <c r="W33" s="353" t="str">
        <f>IF('Population Figures'!H33&lt;&gt;"",
IF(N33&lt;&gt;"",D33*(B33*ABS('Population Figures'!H33-'Population Figures'!K33))*'Population Figures'!$C$7,
 IF(O33&lt;&gt;"", E33*(B33*ABS('Population Figures'!H33-'Population Figures'!K33))*'Population Figures'!$C$7,
 IF(P33&lt;&gt;"", F33*(B33*ABS('Population Figures'!H33-'Population Figures'!K33))*'Population Figures'!$C$7, "N/A"))), "N/A")</f>
        <v>N/A</v>
      </c>
      <c r="X33" s="353" t="str">
        <f>IF('Population Figures'!H33&lt;&gt;"",
IF(N33&lt;&gt;"",D33*(B33*ABS('Population Figures'!I33-'Population Figures'!L33))*'Population Figures'!$C$7,
 IF(O33&lt;&gt;"", E33*(B33*ABS('Population Figures'!I33-'Population Figures'!L33))*'Population Figures'!$C$7,
 IF(P33&lt;&gt;"", F33*(B33*ABS('Population Figures'!I33-'Population Figures'!L33))*'Population Figures'!$C$7, "N/A"))), "N/A")</f>
        <v>N/A</v>
      </c>
      <c r="Y33" s="92">
        <f>(C33-D33)*(B33*ABS('Population Figures'!G33-'Population Figures'!J33)*'Population Figures'!$C$8)</f>
        <v>21940.798878720001</v>
      </c>
      <c r="Z33" s="92">
        <f>ABS('Scenario 2 - Nut.Analysis'!C35-E33)*(B33*ABS('Population Figures'!G33-'Population Figures'!J33))*'Population Figures'!$C$8</f>
        <v>10970.399439360001</v>
      </c>
      <c r="AA33" s="92">
        <f>ABS('Scenario 2 - Nut.Analysis'!D35-F33)*(B33*ABS('Population Figures'!G33-'Population Figures'!J33)*'Population Figures'!$C$8)</f>
        <v>8227.7995795200004</v>
      </c>
      <c r="AB33" s="353" t="str" cm="1">
        <f t="array" ref="AB33">IF('Population Figures'!H33&lt;&gt;"",IF(N33&lt;&gt;"",(C33-D33)*(ABS('Population Figures'!H33-'Population Figures'!K33)*B33*'Population Figures'!G33)*'Population Figures'!$C$8, IF(O33&lt;&gt;"", ABS('Scenario 2 - Nut.Analysis'!C35-E33)*(ABS('Population Figures'!H33-'Population Figures'!K33)*B33*'Population Figures'!G33)*'Population Figures'!$C$8, IF(P33&lt;&gt;"", AA*(B33*ABS('Population Figures'!H33-'Population Figures'!K33))*'Population Figures'!$C$7, "N/A"))), "N/A")</f>
        <v>N/A</v>
      </c>
      <c r="AC33" s="353" t="str" cm="1">
        <f t="array" ref="AC33">IF('Population Figures'!I33&lt;&gt;"",IF(O33&lt;&gt;"",(D33-E33)*(ABS('Population Figures'!I33-'Population Figures'!L33)*C33*'Population Figures'!H33)*'Population Figures'!$C$8, IF(P33&lt;&gt;"", ABS('Scenario 2 - Nut.Analysis'!D35-F33)*(ABS('Population Figures'!I33-'Population Figures'!L33)*C33*'Population Figures'!H33)*'Population Figures'!$C$8, IF(Q33&lt;&gt;"", AA*(C33*ABS('Population Figures'!I33-'Population Figures'!L33))*'Population Figures'!$C$7, "N/A"))), "N/A")</f>
        <v>N/A</v>
      </c>
      <c r="AD33" s="92">
        <f>Y33*'Population Figures'!$C$12</f>
        <v>15358.559215104</v>
      </c>
      <c r="AE33" s="92" cm="1">
        <f t="array" ref="AE33">IF(Y33&lt;&gt;"", 'Population Figures'!P33*Y33*'Population Figures'!$C$13,
IF(Z&lt;&gt;"", 'Population Figures'!P33*Z33*'Population Figures'!$C$13,
IF(AA &lt;&gt;"",'Population Figures'!P33*AA33*'Population Figures'!$C$13, "N/A")))</f>
        <v>789.86875963392004</v>
      </c>
      <c r="AF33" s="353" t="str">
        <f>IF('Population Figures'!Q33&lt;&gt;"",'Population Figures'!Q33*Y33*'Population Figures'!$C$13,"N/A")</f>
        <v>N/A</v>
      </c>
      <c r="AG33" s="353" t="str">
        <f>IF('Population Figures'!R33&lt;&gt;"",'Population Figures'!R33*Y33*'Population Figures'!$C$13,"N/A")</f>
        <v>N/A</v>
      </c>
      <c r="AH33" s="92">
        <f>B33*'Population Figures'!S33*'Scenario 2 - Nut.Analysis'!D35</f>
        <v>0</v>
      </c>
      <c r="AI33" s="92">
        <f>B33*'Population Figures'!S33</f>
        <v>60356.510999999999</v>
      </c>
      <c r="AJ33" s="92">
        <f>B33*'Population Figures'!S33*ABS('Scenario 2 - Nut.Analysis'!D35-G33)*'Population Figures'!$C$17</f>
        <v>679.01074874999995</v>
      </c>
      <c r="AK33" s="92">
        <f>B33*'Population Figures'!S33*ABS('Scenario 2 - Nut.Analysis'!D35-G33)*'Population Figures'!$C$18</f>
        <v>905.34766499999989</v>
      </c>
      <c r="AL33" s="92">
        <f>B33*'Population Figures'!U33*'Scenario 2 Contributing Fact'!F36</f>
        <v>8449.911540000001</v>
      </c>
      <c r="AM33" s="353" t="str">
        <f>IF('Population Figures'!W33&lt;&gt;"",B33*'Population Figures'!U33*'Scenario 2 Contributing Fact'!F36*'Population Figures'!W33,"N/A")</f>
        <v>N/A</v>
      </c>
      <c r="AN33" s="353" t="str">
        <f>IF('Population Figures'!V33&lt;&gt;"",B33*'Population Figures'!U33*'Scenario 2 Contributing Fact'!F36*'Population Figures'!V33,"N/A")</f>
        <v>N/A</v>
      </c>
      <c r="AO33" s="92">
        <f>B33*'Population Figures'!U33</f>
        <v>120713.022</v>
      </c>
      <c r="AP33" s="92">
        <f>B33*'Population Figures'!X33*'Scenario 2 Contributing Fact'!G36</f>
        <v>14105.162358284795</v>
      </c>
      <c r="AQ33" s="353" t="str">
        <f>IF('Population Figures'!Y33&lt;&gt;"", 'Population Figures'!Y33*B33*'Population Figures'!X33*'Scenario 2 Contributing Fact'!G36,"N/A")</f>
        <v>N/A</v>
      </c>
      <c r="AR33" s="353" t="str">
        <f>IF('Population Figures'!Z33&lt;&gt;"", 'Population Figures'!Z33*B33*'Population Figures'!X33*'Scenario 2 Contributing Fact'!G36,"N/A")</f>
        <v>N/A</v>
      </c>
      <c r="AS33" s="92">
        <f>I33*'Population Figures'!U33*'Scenario 3 - Nut. Analysis'!J32</f>
        <v>75.227532577518915</v>
      </c>
      <c r="AT33" s="353" t="str">
        <f>IF('Population Figures'!AD33&lt;&gt;"",I33*'Population Figures'!W33*'Scenario 3 - Nut. Analysis'!J32,"N/A")</f>
        <v>N/A</v>
      </c>
      <c r="AU33" s="353" t="str">
        <f>IF('Population Figures'!AC33&lt;&gt;"",I33*'Population Figures'!V33*'Scenario 3 - Nut. Analysis'!J32,"N/A")</f>
        <v>N/A</v>
      </c>
      <c r="AV33" s="92">
        <f>I33*'Population Figures'!U33</f>
        <v>965.70417600000007</v>
      </c>
      <c r="AW33" s="92">
        <f>I33*'Population Figures'!X33*'Scenario 3 - Nut. Analysis'!K32</f>
        <v>112.84129886627838</v>
      </c>
      <c r="AX33" s="353" t="str">
        <f>IF('Population Figures'!Y33&lt;&gt;"", I33*'Population Figures'!Y33*'Scenario 3 - Nut. Analysis'!K32,"N/A")</f>
        <v>N/A</v>
      </c>
      <c r="AY33" s="353" t="str">
        <f>IF('Population Figures'!Z33&lt;&gt;"", I33*'Population Figures'!Z33*'Scenario 3 - Nut. Analysis'!K32,"N/A")</f>
        <v>N/A</v>
      </c>
      <c r="AZ33" s="8"/>
      <c r="BA33" s="8"/>
      <c r="BB33" s="8"/>
      <c r="BC33" s="8"/>
      <c r="BD33" s="8"/>
      <c r="BE33" s="8"/>
      <c r="BF33" s="8"/>
      <c r="BG33" s="8"/>
      <c r="BH33" s="8"/>
      <c r="BI33" s="8"/>
      <c r="BJ33" s="8"/>
      <c r="BK33" s="8"/>
      <c r="BL33" s="8"/>
    </row>
    <row r="34" spans="1:64" s="9" customFormat="1" ht="15" x14ac:dyDescent="0.2">
      <c r="A34" s="89" t="str">
        <f>'Population Figures'!E34</f>
        <v>Sar-e-Pul</v>
      </c>
      <c r="B34" s="91">
        <f>'Population Figures'!F34</f>
        <v>1741271.58</v>
      </c>
      <c r="C34" s="253">
        <v>0.05</v>
      </c>
      <c r="D34" s="253">
        <v>0.01</v>
      </c>
      <c r="E34" s="253">
        <v>0.02</v>
      </c>
      <c r="F34" s="253">
        <v>1.4999999999999999E-2</v>
      </c>
      <c r="G34" s="253">
        <v>1.4999999999999999E-2</v>
      </c>
      <c r="H34" s="92">
        <f>B34*('Population Figures'!G34)*C34</f>
        <v>13930.172640000003</v>
      </c>
      <c r="I34" s="92">
        <f>B34*('Population Figures'!G34)*'Scenario 2 - Nut.Analysis'!B36</f>
        <v>13930.172640000003</v>
      </c>
      <c r="J34" s="92">
        <f>B34*('Population Figures'!G34)*'Scenario 2 - Nut.Analysis'!C36</f>
        <v>0</v>
      </c>
      <c r="K34" s="353" t="str">
        <f>IF('Population Figures'!H34&lt;&gt;"",IF(H34&lt;&gt;"",B34*('Population Figures'!H34)*C34, IF(I34&lt;&gt;"", B34*('Population Figures'!H34)*'Scenario 2 - Nut.Analysis'!B36, IF(J34&lt;&gt;"", B34*('Population Figures'!H34)*'Scenario 2 - Nut.Analysis'!C36, "N/A"))), "N/A")</f>
        <v>N/A</v>
      </c>
      <c r="L34" s="353" t="str">
        <f>IF('Population Figures'!I34&lt;&gt;"",IF(H34&lt;&gt;"",B34*('Population Figures'!I34)*C34, IF(I34&lt;&gt;"", B34*('Population Figures'!I34)*'Scenario 2 - Nut.Analysis'!B36, IF(J34&lt;&gt;"", B34*('Population Figures'!I34)*'Scenario 2 - Nut.Analysis'!C36, "N/A"))), "N/A")</f>
        <v>N/A</v>
      </c>
      <c r="M34" s="92">
        <f>B34*('Population Figures'!G34)</f>
        <v>278603.45280000003</v>
      </c>
      <c r="N34" s="92">
        <f>D34*(B34*'Population Figures'!G34)*'Population Figures'!$C$7</f>
        <v>8915.3104896000004</v>
      </c>
      <c r="O34" s="92">
        <f>E34*(B34*'Population Figures'!G34)*'Population Figures'!$C$7</f>
        <v>17830.620979200001</v>
      </c>
      <c r="P34" s="92">
        <f>F34*(B34*'Population Figures'!G34)*'Population Figures'!$C$7</f>
        <v>13372.965734400001</v>
      </c>
      <c r="Q34" s="353" t="str">
        <f>IF('Population Figures'!H34&lt;&gt;"",IF(N34&lt;&gt;"",D34*(B34*'Population Figures'!H34)*'Population Figures'!$C$7, IF(O34&lt;&gt;"", E34*(B34*'Population Figures'!H34)*'Population Figures'!$C$7, IF(P34&lt;&gt;"", F34*(B34*'Population Figures'!H34)*'Population Figures'!$C$7, "N/A"))), "N/A")</f>
        <v>N/A</v>
      </c>
      <c r="R34" s="353" t="str">
        <f>IF('Population Figures'!I34&lt;&gt;"",IF(N34&lt;&gt;"",D34*(B34*'Population Figures'!I34)*'Population Figures'!$C$7, IF(O34&lt;&gt;"", E34*(B34*'Population Figures'!I34)*'Population Figures'!$C$7, IF(P34&lt;&gt;"", F34*(B34*'Population Figures'!I34)*'Population Figures'!$C$7, "N/A"))), "N/A")</f>
        <v>N/A</v>
      </c>
      <c r="S34" s="92">
        <f>IF(N34&lt;&gt;"",N34*'Population Figures'!$C$10,IF(O34&lt;&gt;"",O34*'Population Figures'!$C$10,IF(P34&lt;&gt;"",P34*'Population Figures'!$C$10,"Key Values")))</f>
        <v>891.53104896000013</v>
      </c>
      <c r="T34" s="353" t="str">
        <f>IF(Q34&lt;&gt;"N/A",Q34*'Population Figures'!$C$10,"N/A")</f>
        <v>N/A</v>
      </c>
      <c r="U34" s="353" t="str">
        <f>IF(R34&lt;&gt;"N/A",R34*'Population Figures'!$C$10,"N/A")</f>
        <v>N/A</v>
      </c>
      <c r="V34" s="92">
        <f>IF(N34&lt;&gt;"",
 D34*(B34*ABS('Population Figures'!G34-'Population Figures'!J34))*'Population Figures'!$C$7*'Population Figures'!$C$11,
IF(O34&lt;&gt;"",
E34*(B34*ABS('Population Figures'!G34-'Population Figures'!J34))*'Population Figures'!$C$7*'Population Figures'!$C$11,
IF(P34&lt;&gt;"",
F34*(B34*ABS('Population Figures'!G34-'Population Figures'!J34))*'Population Figures'!$C$7*'Population Figures'!$C$11, "Key Values")))</f>
        <v>7121.1042535680017</v>
      </c>
      <c r="W34" s="353" t="str">
        <f>IF('Population Figures'!H34&lt;&gt;"",
IF(N34&lt;&gt;"",D34*(B34*ABS('Population Figures'!H34-'Population Figures'!K34))*'Population Figures'!$C$7,
 IF(O34&lt;&gt;"", E34*(B34*ABS('Population Figures'!H34-'Population Figures'!K34))*'Population Figures'!$C$7,
 IF(P34&lt;&gt;"", F34*(B34*ABS('Population Figures'!H34-'Population Figures'!K34))*'Population Figures'!$C$7, "N/A"))), "N/A")</f>
        <v>N/A</v>
      </c>
      <c r="X34" s="353" t="str">
        <f>IF('Population Figures'!H34&lt;&gt;"",
IF(N34&lt;&gt;"",D34*(B34*ABS('Population Figures'!I34-'Population Figures'!L34))*'Population Figures'!$C$7,
 IF(O34&lt;&gt;"", E34*(B34*ABS('Population Figures'!I34-'Population Figures'!L34))*'Population Figures'!$C$7,
 IF(P34&lt;&gt;"", F34*(B34*ABS('Population Figures'!I34-'Population Figures'!L34))*'Population Figures'!$C$7, "N/A"))), "N/A")</f>
        <v>N/A</v>
      </c>
      <c r="Y34" s="92">
        <f>(C34-D34)*(B34*ABS('Population Figures'!G34-'Population Figures'!J34)*'Population Figures'!$C$8)</f>
        <v>31649.35223808001</v>
      </c>
      <c r="Z34" s="92">
        <f>ABS('Scenario 2 - Nut.Analysis'!C36-E34)*(B34*ABS('Population Figures'!G34-'Population Figures'!J34))*'Population Figures'!$C$8</f>
        <v>15824.676119040003</v>
      </c>
      <c r="AA34" s="92">
        <f>ABS('Scenario 2 - Nut.Analysis'!D36-F34)*(B34*ABS('Population Figures'!G34-'Population Figures'!J34)*'Population Figures'!$C$8)</f>
        <v>11868.507089280003</v>
      </c>
      <c r="AB34" s="353" t="str" cm="1">
        <f t="array" ref="AB34">IF('Population Figures'!H34&lt;&gt;"",IF(N34&lt;&gt;"",(C34-D34)*(ABS('Population Figures'!H34-'Population Figures'!K34)*B34*'Population Figures'!G34)*'Population Figures'!$C$8, IF(O34&lt;&gt;"", ABS('Scenario 2 - Nut.Analysis'!C36-E34)*(ABS('Population Figures'!H34-'Population Figures'!K34)*B34*'Population Figures'!G34)*'Population Figures'!$C$8, IF(P34&lt;&gt;"", AA*(B34*ABS('Population Figures'!H34-'Population Figures'!K34))*'Population Figures'!$C$7, "N/A"))), "N/A")</f>
        <v>N/A</v>
      </c>
      <c r="AC34" s="353" t="str" cm="1">
        <f t="array" ref="AC34">IF('Population Figures'!I34&lt;&gt;"",IF(O34&lt;&gt;"",(D34-E34)*(ABS('Population Figures'!I34-'Population Figures'!L34)*C34*'Population Figures'!H34)*'Population Figures'!$C$8, IF(P34&lt;&gt;"", ABS('Scenario 2 - Nut.Analysis'!D36-F34)*(ABS('Population Figures'!I34-'Population Figures'!L34)*C34*'Population Figures'!H34)*'Population Figures'!$C$8, IF(Q34&lt;&gt;"", AA*(C34*ABS('Population Figures'!I34-'Population Figures'!L34))*'Population Figures'!$C$7, "N/A"))), "N/A")</f>
        <v>N/A</v>
      </c>
      <c r="AD34" s="92">
        <f>Y34*'Population Figures'!$C$12</f>
        <v>22154.546566656005</v>
      </c>
      <c r="AE34" s="92" cm="1">
        <f t="array" ref="AE34">IF(Y34&lt;&gt;"", 'Population Figures'!P34*Y34*'Population Figures'!$C$13,
IF(Z&lt;&gt;"", 'Population Figures'!P34*Z34*'Population Figures'!$C$13,
IF(AA &lt;&gt;"",'Population Figures'!P34*AA34*'Population Figures'!$C$13, "N/A")))</f>
        <v>1139.3766805708801</v>
      </c>
      <c r="AF34" s="353" t="str">
        <f>IF('Population Figures'!Q34&lt;&gt;"",'Population Figures'!Q34*Y34*'Population Figures'!$C$13,"N/A")</f>
        <v>N/A</v>
      </c>
      <c r="AG34" s="353" t="str">
        <f>IF('Population Figures'!R34&lt;&gt;"",'Population Figures'!R34*Y34*'Population Figures'!$C$13,"N/A")</f>
        <v>N/A</v>
      </c>
      <c r="AH34" s="92">
        <f>B34*'Population Figures'!S34*'Scenario 2 - Nut.Analysis'!D36</f>
        <v>0</v>
      </c>
      <c r="AI34" s="92">
        <f>B34*'Population Figures'!S34</f>
        <v>87063.579000000012</v>
      </c>
      <c r="AJ34" s="92">
        <f>B34*'Population Figures'!S34*ABS('Scenario 2 - Nut.Analysis'!D36-G34)*'Population Figures'!$C$17</f>
        <v>979.46526375000008</v>
      </c>
      <c r="AK34" s="92">
        <f>B34*'Population Figures'!S34*ABS('Scenario 2 - Nut.Analysis'!D36-G34)*'Population Figures'!$C$18</f>
        <v>1305.9536850000002</v>
      </c>
      <c r="AL34" s="92">
        <f>B34*'Population Figures'!U34*'Scenario 2 Contributing Fact'!F37</f>
        <v>10447.629480000001</v>
      </c>
      <c r="AM34" s="353" t="str">
        <f>IF('Population Figures'!W34&lt;&gt;"",B34*'Population Figures'!U34*'Scenario 2 Contributing Fact'!F37*'Population Figures'!W34,"N/A")</f>
        <v>N/A</v>
      </c>
      <c r="AN34" s="353" t="str">
        <f>IF('Population Figures'!V34&lt;&gt;"",B34*'Population Figures'!U34*'Scenario 2 Contributing Fact'!F37*'Population Figures'!V34,"N/A")</f>
        <v>N/A</v>
      </c>
      <c r="AO34" s="92">
        <f>B34*'Population Figures'!U34</f>
        <v>174127.15800000002</v>
      </c>
      <c r="AP34" s="92">
        <f>B34*'Population Figures'!X34*'Scenario 2 Contributing Fact'!G37</f>
        <v>16085.527130019065</v>
      </c>
      <c r="AQ34" s="353" t="str">
        <f>IF('Population Figures'!Y34&lt;&gt;"", 'Population Figures'!Y34*B34*'Population Figures'!X34*'Scenario 2 Contributing Fact'!G37,"N/A")</f>
        <v>N/A</v>
      </c>
      <c r="AR34" s="353" t="str">
        <f>IF('Population Figures'!Z34&lt;&gt;"", 'Population Figures'!Z34*B34*'Population Figures'!X34*'Scenario 2 Contributing Fact'!G37,"N/A")</f>
        <v>N/A</v>
      </c>
      <c r="AS34" s="92">
        <f>I34*'Population Figures'!U34*'Scenario 3 - Nut. Analysis'!J33</f>
        <v>85.789478026768364</v>
      </c>
      <c r="AT34" s="353" t="str">
        <f>IF('Population Figures'!AD34&lt;&gt;"",I34*'Population Figures'!W34*'Scenario 3 - Nut. Analysis'!J33,"N/A")</f>
        <v>N/A</v>
      </c>
      <c r="AU34" s="353" t="str">
        <f>IF('Population Figures'!AC34&lt;&gt;"",I34*'Population Figures'!V34*'Scenario 3 - Nut. Analysis'!J33,"N/A")</f>
        <v>N/A</v>
      </c>
      <c r="AV34" s="92">
        <f>I34*'Population Figures'!U34</f>
        <v>1393.0172640000003</v>
      </c>
      <c r="AW34" s="92">
        <f>I34*'Population Figures'!X34*'Scenario 3 - Nut. Analysis'!K33</f>
        <v>128.68421704015253</v>
      </c>
      <c r="AX34" s="353" t="str">
        <f>IF('Population Figures'!Y34&lt;&gt;"", I34*'Population Figures'!Y34*'Scenario 3 - Nut. Analysis'!K33,"N/A")</f>
        <v>N/A</v>
      </c>
      <c r="AY34" s="353" t="str">
        <f>IF('Population Figures'!Z34&lt;&gt;"", I34*'Population Figures'!Z34*'Scenario 3 - Nut. Analysis'!K33,"N/A")</f>
        <v>N/A</v>
      </c>
      <c r="AZ34" s="8"/>
      <c r="BA34" s="8"/>
      <c r="BB34" s="8"/>
      <c r="BC34" s="8"/>
      <c r="BD34" s="8"/>
      <c r="BE34" s="8"/>
      <c r="BF34" s="8"/>
      <c r="BG34" s="8"/>
      <c r="BH34" s="8"/>
      <c r="BI34" s="8"/>
      <c r="BJ34" s="8"/>
      <c r="BK34" s="8"/>
      <c r="BL34" s="8"/>
    </row>
    <row r="35" spans="1:64" s="9" customFormat="1" ht="15" x14ac:dyDescent="0.2">
      <c r="A35" s="89">
        <f>'Population Figures'!E35</f>
        <v>0</v>
      </c>
      <c r="B35" s="91">
        <f>'Population Figures'!F35</f>
        <v>0</v>
      </c>
      <c r="C35" s="253"/>
      <c r="D35" s="253"/>
      <c r="E35" s="253"/>
      <c r="F35" s="253"/>
      <c r="G35" s="253"/>
      <c r="H35" s="92">
        <f>B35*('Population Figures'!G35)*C35</f>
        <v>0</v>
      </c>
      <c r="I35" s="92">
        <f>B35*('Population Figures'!G35)*'Scenario 2 - Nut.Analysis'!B37</f>
        <v>0</v>
      </c>
      <c r="J35" s="92">
        <f>B35*('Population Figures'!G35)*'Scenario 2 - Nut.Analysis'!C37</f>
        <v>0</v>
      </c>
      <c r="K35" s="353" t="str">
        <f>IF('Population Figures'!H35&lt;&gt;"",IF(H35&lt;&gt;"",B35*('Population Figures'!H35)*C35, IF(I35&lt;&gt;"", B35*('Population Figures'!H35)*'Scenario 2 - Nut.Analysis'!B37, IF(J35&lt;&gt;"", B35*('Population Figures'!H35)*'Scenario 2 - Nut.Analysis'!C37, "N/A"))), "N/A")</f>
        <v>N/A</v>
      </c>
      <c r="L35" s="353" t="str">
        <f>IF('Population Figures'!I35&lt;&gt;"",IF(H35&lt;&gt;"",B35*('Population Figures'!I35)*C35, IF(I35&lt;&gt;"", B35*('Population Figures'!I35)*'Scenario 2 - Nut.Analysis'!B37, IF(J35&lt;&gt;"", B35*('Population Figures'!I35)*'Scenario 2 - Nut.Analysis'!C37, "N/A"))), "N/A")</f>
        <v>N/A</v>
      </c>
      <c r="M35" s="92">
        <f>B35*('Population Figures'!G35)</f>
        <v>0</v>
      </c>
      <c r="N35" s="92">
        <f>D35*(B35*'Population Figures'!G35)*'Population Figures'!$C$7</f>
        <v>0</v>
      </c>
      <c r="O35" s="92">
        <f>E35*(B35*'Population Figures'!G35)*'Population Figures'!$C$7</f>
        <v>0</v>
      </c>
      <c r="P35" s="92">
        <f>F35*(B35*'Population Figures'!G35)*'Population Figures'!$C$7</f>
        <v>0</v>
      </c>
      <c r="Q35" s="353" t="str">
        <f>IF('Population Figures'!H35&lt;&gt;"",IF(N35&lt;&gt;"",D35*(B35*'Population Figures'!H35)*'Population Figures'!$C$7, IF(O35&lt;&gt;"", E35*(B35*'Population Figures'!H35)*'Population Figures'!$C$7, IF(P35&lt;&gt;"", F35*(B35*'Population Figures'!H35)*'Population Figures'!$C$7, "N/A"))), "N/A")</f>
        <v>N/A</v>
      </c>
      <c r="R35" s="353" t="str">
        <f>IF('Population Figures'!I35&lt;&gt;"",IF(N35&lt;&gt;"",D35*(B35*'Population Figures'!I35)*'Population Figures'!$C$7, IF(O35&lt;&gt;"", E35*(B35*'Population Figures'!I35)*'Population Figures'!$C$7, IF(P35&lt;&gt;"", F35*(B35*'Population Figures'!I35)*'Population Figures'!$C$7, "N/A"))), "N/A")</f>
        <v>N/A</v>
      </c>
      <c r="S35" s="92">
        <f>IF(N35&lt;&gt;"",N35*'Population Figures'!$C$10,IF(O35&lt;&gt;"",O35*'Population Figures'!$C$10,IF(P35&lt;&gt;"",P35*'Population Figures'!$C$10,"Key Values")))</f>
        <v>0</v>
      </c>
      <c r="T35" s="353" t="str">
        <f>IF(Q35&lt;&gt;"N/A",Q35*'Population Figures'!$C$10,"N/A")</f>
        <v>N/A</v>
      </c>
      <c r="U35" s="353" t="str">
        <f>IF(R35&lt;&gt;"N/A",R35*'Population Figures'!$C$10,"N/A")</f>
        <v>N/A</v>
      </c>
      <c r="V35" s="92">
        <f>IF(N35&lt;&gt;"",
 D35*(B35*ABS('Population Figures'!G35-'Population Figures'!J35))*'Population Figures'!$C$7*'Population Figures'!$C$11,
IF(O35&lt;&gt;"",
E35*(B35*ABS('Population Figures'!G35-'Population Figures'!J35))*'Population Figures'!$C$7*'Population Figures'!$C$11,
IF(P35&lt;&gt;"",
F35*(B35*ABS('Population Figures'!G35-'Population Figures'!J35))*'Population Figures'!$C$7*'Population Figures'!$C$11, "Key Values")))</f>
        <v>0</v>
      </c>
      <c r="W35" s="353" t="str">
        <f>IF('Population Figures'!H35&lt;&gt;"",
IF(N35&lt;&gt;"",D35*(B35*ABS('Population Figures'!H35-'Population Figures'!K35))*'Population Figures'!$C$7,
 IF(O35&lt;&gt;"", E35*(B35*ABS('Population Figures'!H35-'Population Figures'!K35))*'Population Figures'!$C$7,
 IF(P35&lt;&gt;"", F35*(B35*ABS('Population Figures'!H35-'Population Figures'!K35))*'Population Figures'!$C$7, "N/A"))), "N/A")</f>
        <v>N/A</v>
      </c>
      <c r="X35" s="353" t="str">
        <f>IF('Population Figures'!H35&lt;&gt;"",
IF(N35&lt;&gt;"",D35*(B35*ABS('Population Figures'!I35-'Population Figures'!L35))*'Population Figures'!$C$7,
 IF(O35&lt;&gt;"", E35*(B35*ABS('Population Figures'!I35-'Population Figures'!L35))*'Population Figures'!$C$7,
 IF(P35&lt;&gt;"", F35*(B35*ABS('Population Figures'!I35-'Population Figures'!L35))*'Population Figures'!$C$7, "N/A"))), "N/A")</f>
        <v>N/A</v>
      </c>
      <c r="Y35" s="92">
        <f>(C35-D35)*(B35*ABS('Population Figures'!G35-'Population Figures'!J35)*'Population Figures'!$C$8)</f>
        <v>0</v>
      </c>
      <c r="Z35" s="92">
        <f>ABS('Scenario 2 - Nut.Analysis'!C37-E35)*(B35*ABS('Population Figures'!G35-'Population Figures'!J35))*'Population Figures'!$C$8</f>
        <v>0</v>
      </c>
      <c r="AA35" s="92">
        <f>ABS('Scenario 2 - Nut.Analysis'!D37-F35)*(B35*ABS('Population Figures'!G35-'Population Figures'!J35)*'Population Figures'!$C$8)</f>
        <v>0</v>
      </c>
      <c r="AB35" s="353" t="str" cm="1">
        <f t="array" ref="AB35">IF('Population Figures'!H35&lt;&gt;"",IF(N35&lt;&gt;"",(C35-D35)*(ABS('Population Figures'!H35-'Population Figures'!K35)*B35*'Population Figures'!G35)*'Population Figures'!$C$8, IF(O35&lt;&gt;"", ABS('Scenario 2 - Nut.Analysis'!C37-E35)*(ABS('Population Figures'!H35-'Population Figures'!K35)*B35*'Population Figures'!G35)*'Population Figures'!$C$8, IF(P35&lt;&gt;"", AA*(B35*ABS('Population Figures'!H35-'Population Figures'!K35))*'Population Figures'!$C$7, "N/A"))), "N/A")</f>
        <v>N/A</v>
      </c>
      <c r="AC35" s="353" t="str" cm="1">
        <f t="array" ref="AC35">IF('Population Figures'!I35&lt;&gt;"",IF(O35&lt;&gt;"",(D35-E35)*(ABS('Population Figures'!I35-'Population Figures'!L35)*C35*'Population Figures'!H35)*'Population Figures'!$C$8, IF(P35&lt;&gt;"", ABS('Scenario 2 - Nut.Analysis'!D37-F35)*(ABS('Population Figures'!I35-'Population Figures'!L35)*C35*'Population Figures'!H35)*'Population Figures'!$C$8, IF(Q35&lt;&gt;"", AA*(C35*ABS('Population Figures'!I35-'Population Figures'!L35))*'Population Figures'!$C$7, "N/A"))), "N/A")</f>
        <v>N/A</v>
      </c>
      <c r="AD35" s="92">
        <f>Y35*'Population Figures'!$C$12</f>
        <v>0</v>
      </c>
      <c r="AE35" s="92" cm="1">
        <f t="array" ref="AE35">IF(Y35&lt;&gt;"", 'Population Figures'!P35*Y35*'Population Figures'!$C$13,
IF(Z&lt;&gt;"", 'Population Figures'!P35*Z35*'Population Figures'!$C$13,
IF(AA &lt;&gt;"",'Population Figures'!P35*AA35*'Population Figures'!$C$13, "N/A")))</f>
        <v>0</v>
      </c>
      <c r="AF35" s="353" t="str">
        <f>IF('Population Figures'!Q35&lt;&gt;"",'Population Figures'!Q35*Y35*'Population Figures'!$C$13,"N/A")</f>
        <v>N/A</v>
      </c>
      <c r="AG35" s="353" t="str">
        <f>IF('Population Figures'!R35&lt;&gt;"",'Population Figures'!R35*Y35*'Population Figures'!$C$13,"N/A")</f>
        <v>N/A</v>
      </c>
      <c r="AH35" s="92">
        <f>B35*'Population Figures'!S35*'Scenario 2 - Nut.Analysis'!D37</f>
        <v>0</v>
      </c>
      <c r="AI35" s="92">
        <f>B35*'Population Figures'!S35</f>
        <v>0</v>
      </c>
      <c r="AJ35" s="92">
        <f>B35*'Population Figures'!S35*ABS('Scenario 2 - Nut.Analysis'!D37-G35)*'Population Figures'!$C$17</f>
        <v>0</v>
      </c>
      <c r="AK35" s="92">
        <f>B35*'Population Figures'!S35*ABS('Scenario 2 - Nut.Analysis'!D37-G35)*'Population Figures'!$C$18</f>
        <v>0</v>
      </c>
      <c r="AL35" s="92">
        <f>B35*'Population Figures'!U35*'Scenario 2 Contributing Fact'!F38</f>
        <v>0</v>
      </c>
      <c r="AM35" s="353" t="str">
        <f>IF('Population Figures'!W35&lt;&gt;"",B35*'Population Figures'!U35*'Scenario 2 Contributing Fact'!F38*'Population Figures'!W35,"N/A")</f>
        <v>N/A</v>
      </c>
      <c r="AN35" s="353" t="str">
        <f>IF('Population Figures'!V35&lt;&gt;"",B35*'Population Figures'!U35*'Scenario 2 Contributing Fact'!F38*'Population Figures'!V35,"N/A")</f>
        <v>N/A</v>
      </c>
      <c r="AO35" s="92">
        <f>B35*'Population Figures'!U35</f>
        <v>0</v>
      </c>
      <c r="AP35" s="92">
        <f>B35*'Population Figures'!X35*'Scenario 2 Contributing Fact'!G38</f>
        <v>0</v>
      </c>
      <c r="AQ35" s="353" t="str">
        <f>IF('Population Figures'!Y35&lt;&gt;"", 'Population Figures'!Y35*B35*'Population Figures'!X35*'Scenario 2 Contributing Fact'!G38,"N/A")</f>
        <v>N/A</v>
      </c>
      <c r="AR35" s="353" t="str">
        <f>IF('Population Figures'!Z35&lt;&gt;"", 'Population Figures'!Z35*B35*'Population Figures'!X35*'Scenario 2 Contributing Fact'!G38,"N/A")</f>
        <v>N/A</v>
      </c>
      <c r="AS35" s="92">
        <f>I35*'Population Figures'!U35*'Scenario 3 - Nut. Analysis'!J34</f>
        <v>0</v>
      </c>
      <c r="AT35" s="353" t="str">
        <f>IF('Population Figures'!AD35&lt;&gt;"",I35*'Population Figures'!W35*'Scenario 3 - Nut. Analysis'!J34,"N/A")</f>
        <v>N/A</v>
      </c>
      <c r="AU35" s="353" t="str">
        <f>IF('Population Figures'!AC35&lt;&gt;"",I35*'Population Figures'!V35*'Scenario 3 - Nut. Analysis'!J34,"N/A")</f>
        <v>N/A</v>
      </c>
      <c r="AV35" s="92">
        <f>I35*'Population Figures'!U35</f>
        <v>0</v>
      </c>
      <c r="AW35" s="92">
        <f>I35*'Population Figures'!X35*'Scenario 3 - Nut. Analysis'!K34</f>
        <v>0</v>
      </c>
      <c r="AX35" s="353" t="str">
        <f>IF('Population Figures'!Y35&lt;&gt;"", I35*'Population Figures'!Y35*'Scenario 3 - Nut. Analysis'!K34,"N/A")</f>
        <v>N/A</v>
      </c>
      <c r="AY35" s="353" t="str">
        <f>IF('Population Figures'!Z35&lt;&gt;"", I35*'Population Figures'!Z35*'Scenario 3 - Nut. Analysis'!K34,"N/A")</f>
        <v>N/A</v>
      </c>
      <c r="AZ35" s="8"/>
      <c r="BA35" s="8"/>
      <c r="BB35" s="8"/>
      <c r="BC35" s="8"/>
      <c r="BD35" s="8"/>
      <c r="BE35" s="8"/>
      <c r="BF35" s="8"/>
      <c r="BG35" s="8"/>
      <c r="BH35" s="8"/>
      <c r="BI35" s="8"/>
      <c r="BJ35" s="8"/>
      <c r="BK35" s="8"/>
      <c r="BL35" s="8"/>
    </row>
    <row r="36" spans="1:64" s="9" customFormat="1" ht="15" x14ac:dyDescent="0.2">
      <c r="A36" s="89">
        <f>'Population Figures'!E36</f>
        <v>0</v>
      </c>
      <c r="B36" s="91">
        <f>'Population Figures'!F36</f>
        <v>0</v>
      </c>
      <c r="C36" s="253"/>
      <c r="D36" s="253"/>
      <c r="E36" s="253"/>
      <c r="F36" s="253"/>
      <c r="G36" s="253"/>
      <c r="H36" s="92">
        <f>B36*('Population Figures'!G36)*C36</f>
        <v>0</v>
      </c>
      <c r="I36" s="92">
        <f>B36*('Population Figures'!G36)*'Scenario 2 - Nut.Analysis'!B38</f>
        <v>0</v>
      </c>
      <c r="J36" s="92">
        <f>B36*('Population Figures'!G36)*'Scenario 2 - Nut.Analysis'!C38</f>
        <v>0</v>
      </c>
      <c r="K36" s="353" t="str">
        <f>IF('Population Figures'!H36&lt;&gt;"",IF(H36&lt;&gt;"",B36*('Population Figures'!H36)*C36, IF(I36&lt;&gt;"", B36*('Population Figures'!H36)*'Scenario 2 - Nut.Analysis'!B38, IF(J36&lt;&gt;"", B36*('Population Figures'!H36)*'Scenario 2 - Nut.Analysis'!C38, "N/A"))), "N/A")</f>
        <v>N/A</v>
      </c>
      <c r="L36" s="353" t="str">
        <f>IF('Population Figures'!I36&lt;&gt;"",IF(H36&lt;&gt;"",B36*('Population Figures'!I36)*C36, IF(I36&lt;&gt;"", B36*('Population Figures'!I36)*'Scenario 2 - Nut.Analysis'!B38, IF(J36&lt;&gt;"", B36*('Population Figures'!I36)*'Scenario 2 - Nut.Analysis'!C38, "N/A"))), "N/A")</f>
        <v>N/A</v>
      </c>
      <c r="M36" s="92">
        <f>B36*('Population Figures'!G36)</f>
        <v>0</v>
      </c>
      <c r="N36" s="92">
        <f>D36*(B36*'Population Figures'!G36)*'Population Figures'!$C$7</f>
        <v>0</v>
      </c>
      <c r="O36" s="92">
        <f>E36*(B36*'Population Figures'!G36)*'Population Figures'!$C$7</f>
        <v>0</v>
      </c>
      <c r="P36" s="92">
        <f>F36*(B36*'Population Figures'!G36)*'Population Figures'!$C$7</f>
        <v>0</v>
      </c>
      <c r="Q36" s="353" t="str">
        <f>IF('Population Figures'!H36&lt;&gt;"",IF(N36&lt;&gt;"",D36*(B36*'Population Figures'!H36)*'Population Figures'!$C$7, IF(O36&lt;&gt;"", E36*(B36*'Population Figures'!H36)*'Population Figures'!$C$7, IF(P36&lt;&gt;"", F36*(B36*'Population Figures'!H36)*'Population Figures'!$C$7, "N/A"))), "N/A")</f>
        <v>N/A</v>
      </c>
      <c r="R36" s="353" t="str">
        <f>IF('Population Figures'!I36&lt;&gt;"",IF(N36&lt;&gt;"",D36*(B36*'Population Figures'!I36)*'Population Figures'!$C$7, IF(O36&lt;&gt;"", E36*(B36*'Population Figures'!I36)*'Population Figures'!$C$7, IF(P36&lt;&gt;"", F36*(B36*'Population Figures'!I36)*'Population Figures'!$C$7, "N/A"))), "N/A")</f>
        <v>N/A</v>
      </c>
      <c r="S36" s="92">
        <f>IF(N36&lt;&gt;"",N36*'Population Figures'!$C$10,IF(O36&lt;&gt;"",O36*'Population Figures'!$C$10,IF(P36&lt;&gt;"",P36*'Population Figures'!$C$10,"Key Values")))</f>
        <v>0</v>
      </c>
      <c r="T36" s="353" t="str">
        <f>IF(Q36&lt;&gt;"N/A",Q36*'Population Figures'!$C$10,"N/A")</f>
        <v>N/A</v>
      </c>
      <c r="U36" s="353" t="str">
        <f>IF(R36&lt;&gt;"N/A",R36*'Population Figures'!$C$10,"N/A")</f>
        <v>N/A</v>
      </c>
      <c r="V36" s="92">
        <f>IF(N36&lt;&gt;"",
 D36*(B36*ABS('Population Figures'!G36-'Population Figures'!J36))*'Population Figures'!$C$7*'Population Figures'!$C$11,
IF(O36&lt;&gt;"",
E36*(B36*ABS('Population Figures'!G36-'Population Figures'!J36))*'Population Figures'!$C$7*'Population Figures'!$C$11,
IF(P36&lt;&gt;"",
F36*(B36*ABS('Population Figures'!G36-'Population Figures'!J36))*'Population Figures'!$C$7*'Population Figures'!$C$11, "Key Values")))</f>
        <v>0</v>
      </c>
      <c r="W36" s="353" t="str">
        <f>IF('Population Figures'!H36&lt;&gt;"",
IF(N36&lt;&gt;"",D36*(B36*ABS('Population Figures'!H36-'Population Figures'!K36))*'Population Figures'!$C$7,
 IF(O36&lt;&gt;"", E36*(B36*ABS('Population Figures'!H36-'Population Figures'!K36))*'Population Figures'!$C$7,
 IF(P36&lt;&gt;"", F36*(B36*ABS('Population Figures'!H36-'Population Figures'!K36))*'Population Figures'!$C$7, "N/A"))), "N/A")</f>
        <v>N/A</v>
      </c>
      <c r="X36" s="353" t="str">
        <f>IF('Population Figures'!H36&lt;&gt;"",
IF(N36&lt;&gt;"",D36*(B36*ABS('Population Figures'!I36-'Population Figures'!L36))*'Population Figures'!$C$7,
 IF(O36&lt;&gt;"", E36*(B36*ABS('Population Figures'!I36-'Population Figures'!L36))*'Population Figures'!$C$7,
 IF(P36&lt;&gt;"", F36*(B36*ABS('Population Figures'!I36-'Population Figures'!L36))*'Population Figures'!$C$7, "N/A"))), "N/A")</f>
        <v>N/A</v>
      </c>
      <c r="Y36" s="92">
        <f>(C36-D36)*(B36*ABS('Population Figures'!G36-'Population Figures'!J36)*'Population Figures'!$C$8)</f>
        <v>0</v>
      </c>
      <c r="Z36" s="92">
        <f>ABS('Scenario 2 - Nut.Analysis'!C38-E36)*(B36*ABS('Population Figures'!G36-'Population Figures'!J36))*'Population Figures'!$C$8</f>
        <v>0</v>
      </c>
      <c r="AA36" s="92">
        <f>ABS('Scenario 2 - Nut.Analysis'!D38-F36)*(B36*ABS('Population Figures'!G36-'Population Figures'!J36)*'Population Figures'!$C$8)</f>
        <v>0</v>
      </c>
      <c r="AB36" s="353" t="str" cm="1">
        <f t="array" ref="AB36">IF('Population Figures'!H36&lt;&gt;"",IF(N36&lt;&gt;"",(C36-D36)*(ABS('Population Figures'!H36-'Population Figures'!K36)*B36*'Population Figures'!G36)*'Population Figures'!$C$8, IF(O36&lt;&gt;"", ABS('Scenario 2 - Nut.Analysis'!C38-E36)*(ABS('Population Figures'!H36-'Population Figures'!K36)*B36*'Population Figures'!G36)*'Population Figures'!$C$8, IF(P36&lt;&gt;"", AA*(B36*ABS('Population Figures'!H36-'Population Figures'!K36))*'Population Figures'!$C$7, "N/A"))), "N/A")</f>
        <v>N/A</v>
      </c>
      <c r="AC36" s="353" t="str" cm="1">
        <f t="array" ref="AC36">IF('Population Figures'!I36&lt;&gt;"",IF(O36&lt;&gt;"",(D36-E36)*(ABS('Population Figures'!I36-'Population Figures'!L36)*C36*'Population Figures'!H36)*'Population Figures'!$C$8, IF(P36&lt;&gt;"", ABS('Scenario 2 - Nut.Analysis'!D38-F36)*(ABS('Population Figures'!I36-'Population Figures'!L36)*C36*'Population Figures'!H36)*'Population Figures'!$C$8, IF(Q36&lt;&gt;"", AA*(C36*ABS('Population Figures'!I36-'Population Figures'!L36))*'Population Figures'!$C$7, "N/A"))), "N/A")</f>
        <v>N/A</v>
      </c>
      <c r="AD36" s="92">
        <f>Y36*'Population Figures'!$C$12</f>
        <v>0</v>
      </c>
      <c r="AE36" s="92" cm="1">
        <f t="array" ref="AE36">IF(Y36&lt;&gt;"", 'Population Figures'!P36*Y36*'Population Figures'!$C$13,
IF(Z&lt;&gt;"", 'Population Figures'!P36*Z36*'Population Figures'!$C$13,
IF(AA &lt;&gt;"",'Population Figures'!P36*AA36*'Population Figures'!$C$13, "N/A")))</f>
        <v>0</v>
      </c>
      <c r="AF36" s="353" t="str">
        <f>IF('Population Figures'!Q36&lt;&gt;"",'Population Figures'!Q36*Y36*'Population Figures'!$C$13,"N/A")</f>
        <v>N/A</v>
      </c>
      <c r="AG36" s="353" t="str">
        <f>IF('Population Figures'!R36&lt;&gt;"",'Population Figures'!R36*Y36*'Population Figures'!$C$13,"N/A")</f>
        <v>N/A</v>
      </c>
      <c r="AH36" s="92">
        <f>B36*'Population Figures'!S36*'Scenario 2 - Nut.Analysis'!D38</f>
        <v>0</v>
      </c>
      <c r="AI36" s="92">
        <f>B36*'Population Figures'!S36</f>
        <v>0</v>
      </c>
      <c r="AJ36" s="92">
        <f>B36*'Population Figures'!S36*ABS('Scenario 2 - Nut.Analysis'!D38-G36)*'Population Figures'!$C$17</f>
        <v>0</v>
      </c>
      <c r="AK36" s="92">
        <f>B36*'Population Figures'!S36*ABS('Scenario 2 - Nut.Analysis'!D38-G36)*'Population Figures'!$C$18</f>
        <v>0</v>
      </c>
      <c r="AL36" s="92">
        <f>B36*'Population Figures'!U36*'Scenario 2 Contributing Fact'!F39</f>
        <v>0</v>
      </c>
      <c r="AM36" s="353" t="str">
        <f>IF('Population Figures'!W36&lt;&gt;"",B36*'Population Figures'!U36*'Scenario 2 Contributing Fact'!F39*'Population Figures'!W36,"N/A")</f>
        <v>N/A</v>
      </c>
      <c r="AN36" s="353" t="str">
        <f>IF('Population Figures'!V36&lt;&gt;"",B36*'Population Figures'!U36*'Scenario 2 Contributing Fact'!F39*'Population Figures'!V36,"N/A")</f>
        <v>N/A</v>
      </c>
      <c r="AO36" s="92">
        <f>B36*'Population Figures'!U36</f>
        <v>0</v>
      </c>
      <c r="AP36" s="92">
        <f>B36*'Population Figures'!X36*'Scenario 2 Contributing Fact'!G39</f>
        <v>0</v>
      </c>
      <c r="AQ36" s="353" t="str">
        <f>IF('Population Figures'!Y36&lt;&gt;"", 'Population Figures'!Y36*B36*'Population Figures'!X36*'Scenario 2 Contributing Fact'!G39,"N/A")</f>
        <v>N/A</v>
      </c>
      <c r="AR36" s="353" t="str">
        <f>IF('Population Figures'!Z36&lt;&gt;"", 'Population Figures'!Z36*B36*'Population Figures'!X36*'Scenario 2 Contributing Fact'!G39,"N/A")</f>
        <v>N/A</v>
      </c>
      <c r="AS36" s="92">
        <f>I36*'Population Figures'!U36*'Scenario 3 - Nut. Analysis'!J35</f>
        <v>0</v>
      </c>
      <c r="AT36" s="353" t="str">
        <f>IF('Population Figures'!AD36&lt;&gt;"",I36*'Population Figures'!W36*'Scenario 3 - Nut. Analysis'!J35,"N/A")</f>
        <v>N/A</v>
      </c>
      <c r="AU36" s="353" t="str">
        <f>IF('Population Figures'!AC36&lt;&gt;"",I36*'Population Figures'!V36*'Scenario 3 - Nut. Analysis'!J35,"N/A")</f>
        <v>N/A</v>
      </c>
      <c r="AV36" s="92">
        <f>I36*'Population Figures'!U36</f>
        <v>0</v>
      </c>
      <c r="AW36" s="92">
        <f>I36*'Population Figures'!X36*'Scenario 3 - Nut. Analysis'!K35</f>
        <v>0</v>
      </c>
      <c r="AX36" s="353" t="str">
        <f>IF('Population Figures'!Y36&lt;&gt;"", I36*'Population Figures'!Y36*'Scenario 3 - Nut. Analysis'!K35,"N/A")</f>
        <v>N/A</v>
      </c>
      <c r="AY36" s="353" t="str">
        <f>IF('Population Figures'!Z36&lt;&gt;"", I36*'Population Figures'!Z36*'Scenario 3 - Nut. Analysis'!K35,"N/A")</f>
        <v>N/A</v>
      </c>
      <c r="AZ36" s="8"/>
      <c r="BA36" s="8"/>
      <c r="BB36" s="8"/>
      <c r="BC36" s="8"/>
      <c r="BD36" s="8"/>
      <c r="BE36" s="8"/>
      <c r="BF36" s="8"/>
      <c r="BG36" s="8"/>
      <c r="BH36" s="8"/>
      <c r="BI36" s="8"/>
      <c r="BJ36" s="8"/>
      <c r="BK36" s="8"/>
      <c r="BL36" s="8"/>
    </row>
    <row r="37" spans="1:64" s="9" customFormat="1" ht="15" x14ac:dyDescent="0.2">
      <c r="A37" s="89">
        <f>'Population Figures'!E37</f>
        <v>0</v>
      </c>
      <c r="B37" s="91">
        <f>'Population Figures'!F37</f>
        <v>0</v>
      </c>
      <c r="C37" s="253"/>
      <c r="D37" s="253"/>
      <c r="E37" s="253"/>
      <c r="F37" s="253"/>
      <c r="G37" s="253"/>
      <c r="H37" s="92">
        <f>B37*('Population Figures'!G37)*C37</f>
        <v>0</v>
      </c>
      <c r="I37" s="92">
        <f>B37*('Population Figures'!G37)*'Scenario 2 - Nut.Analysis'!B39</f>
        <v>0</v>
      </c>
      <c r="J37" s="92">
        <f>B37*('Population Figures'!G37)*'Scenario 2 - Nut.Analysis'!C39</f>
        <v>0</v>
      </c>
      <c r="K37" s="353" t="str">
        <f>IF('Population Figures'!H37&lt;&gt;"",IF(H37&lt;&gt;"",B37*('Population Figures'!H37)*C37, IF(I37&lt;&gt;"", B37*('Population Figures'!H37)*'Scenario 2 - Nut.Analysis'!B39, IF(J37&lt;&gt;"", B37*('Population Figures'!H37)*'Scenario 2 - Nut.Analysis'!C39, "N/A"))), "N/A")</f>
        <v>N/A</v>
      </c>
      <c r="L37" s="353" t="str">
        <f>IF('Population Figures'!I37&lt;&gt;"",IF(H37&lt;&gt;"",B37*('Population Figures'!I37)*C37, IF(I37&lt;&gt;"", B37*('Population Figures'!I37)*'Scenario 2 - Nut.Analysis'!B39, IF(J37&lt;&gt;"", B37*('Population Figures'!I37)*'Scenario 2 - Nut.Analysis'!C39, "N/A"))), "N/A")</f>
        <v>N/A</v>
      </c>
      <c r="M37" s="92">
        <f>B37*('Population Figures'!G37)</f>
        <v>0</v>
      </c>
      <c r="N37" s="92">
        <f>D37*(B37*'Population Figures'!G37)*'Population Figures'!$C$7</f>
        <v>0</v>
      </c>
      <c r="O37" s="92">
        <f>E37*(B37*'Population Figures'!G37)*'Population Figures'!$C$7</f>
        <v>0</v>
      </c>
      <c r="P37" s="92">
        <f>F37*(B37*'Population Figures'!G37)*'Population Figures'!$C$7</f>
        <v>0</v>
      </c>
      <c r="Q37" s="353" t="str">
        <f>IF('Population Figures'!H37&lt;&gt;"",IF(N37&lt;&gt;"",D37*(B37*'Population Figures'!H37)*'Population Figures'!$C$7, IF(O37&lt;&gt;"", E37*(B37*'Population Figures'!H37)*'Population Figures'!$C$7, IF(P37&lt;&gt;"", F37*(B37*'Population Figures'!H37)*'Population Figures'!$C$7, "N/A"))), "N/A")</f>
        <v>N/A</v>
      </c>
      <c r="R37" s="353" t="str">
        <f>IF('Population Figures'!I37&lt;&gt;"",IF(N37&lt;&gt;"",D37*(B37*'Population Figures'!I37)*'Population Figures'!$C$7, IF(O37&lt;&gt;"", E37*(B37*'Population Figures'!I37)*'Population Figures'!$C$7, IF(P37&lt;&gt;"", F37*(B37*'Population Figures'!I37)*'Population Figures'!$C$7, "N/A"))), "N/A")</f>
        <v>N/A</v>
      </c>
      <c r="S37" s="92">
        <f>IF(N37&lt;&gt;"",N37*'Population Figures'!$C$10,IF(O37&lt;&gt;"",O37*'Population Figures'!$C$10,IF(P37&lt;&gt;"",P37*'Population Figures'!$C$10,"Key Values")))</f>
        <v>0</v>
      </c>
      <c r="T37" s="353" t="str">
        <f>IF(Q37&lt;&gt;"N/A",Q37*'Population Figures'!$C$10,"N/A")</f>
        <v>N/A</v>
      </c>
      <c r="U37" s="353" t="str">
        <f>IF(R37&lt;&gt;"N/A",R37*'Population Figures'!$C$10,"N/A")</f>
        <v>N/A</v>
      </c>
      <c r="V37" s="92">
        <f>IF(N37&lt;&gt;"",
 D37*(B37*ABS('Population Figures'!G37-'Population Figures'!J37))*'Population Figures'!$C$7*'Population Figures'!$C$11,
IF(O37&lt;&gt;"",
E37*(B37*ABS('Population Figures'!G37-'Population Figures'!J37))*'Population Figures'!$C$7*'Population Figures'!$C$11,
IF(P37&lt;&gt;"",
F37*(B37*ABS('Population Figures'!G37-'Population Figures'!J37))*'Population Figures'!$C$7*'Population Figures'!$C$11, "Key Values")))</f>
        <v>0</v>
      </c>
      <c r="W37" s="353" t="str">
        <f>IF('Population Figures'!H37&lt;&gt;"",
IF(N37&lt;&gt;"",D37*(B37*ABS('Population Figures'!H37-'Population Figures'!K37))*'Population Figures'!$C$7,
 IF(O37&lt;&gt;"", E37*(B37*ABS('Population Figures'!H37-'Population Figures'!K37))*'Population Figures'!$C$7,
 IF(P37&lt;&gt;"", F37*(B37*ABS('Population Figures'!H37-'Population Figures'!K37))*'Population Figures'!$C$7, "N/A"))), "N/A")</f>
        <v>N/A</v>
      </c>
      <c r="X37" s="353" t="str">
        <f>IF('Population Figures'!H37&lt;&gt;"",
IF(N37&lt;&gt;"",D37*(B37*ABS('Population Figures'!I37-'Population Figures'!L37))*'Population Figures'!$C$7,
 IF(O37&lt;&gt;"", E37*(B37*ABS('Population Figures'!I37-'Population Figures'!L37))*'Population Figures'!$C$7,
 IF(P37&lt;&gt;"", F37*(B37*ABS('Population Figures'!I37-'Population Figures'!L37))*'Population Figures'!$C$7, "N/A"))), "N/A")</f>
        <v>N/A</v>
      </c>
      <c r="Y37" s="92">
        <f>(C37-D37)*(B37*ABS('Population Figures'!G37-'Population Figures'!J37)*'Population Figures'!$C$8)</f>
        <v>0</v>
      </c>
      <c r="Z37" s="92">
        <f>ABS('Scenario 2 - Nut.Analysis'!C39-E37)*(B37*ABS('Population Figures'!G37-'Population Figures'!J37))*'Population Figures'!$C$8</f>
        <v>0</v>
      </c>
      <c r="AA37" s="92">
        <f>ABS('Scenario 2 - Nut.Analysis'!D39-F37)*(B37*ABS('Population Figures'!G37-'Population Figures'!J37)*'Population Figures'!$C$8)</f>
        <v>0</v>
      </c>
      <c r="AB37" s="353" t="str" cm="1">
        <f t="array" ref="AB37">IF('Population Figures'!H37&lt;&gt;"",IF(N37&lt;&gt;"",(C37-D37)*(ABS('Population Figures'!H37-'Population Figures'!K37)*B37*'Population Figures'!G37)*'Population Figures'!$C$8, IF(O37&lt;&gt;"", ABS('Scenario 2 - Nut.Analysis'!C39-E37)*(ABS('Population Figures'!H37-'Population Figures'!K37)*B37*'Population Figures'!G37)*'Population Figures'!$C$8, IF(P37&lt;&gt;"", AA*(B37*ABS('Population Figures'!H37-'Population Figures'!K37))*'Population Figures'!$C$7, "N/A"))), "N/A")</f>
        <v>N/A</v>
      </c>
      <c r="AC37" s="353" t="str" cm="1">
        <f t="array" ref="AC37">IF('Population Figures'!I37&lt;&gt;"",IF(O37&lt;&gt;"",(D37-E37)*(ABS('Population Figures'!I37-'Population Figures'!L37)*C37*'Population Figures'!H37)*'Population Figures'!$C$8, IF(P37&lt;&gt;"", ABS('Scenario 2 - Nut.Analysis'!D39-F37)*(ABS('Population Figures'!I37-'Population Figures'!L37)*C37*'Population Figures'!H37)*'Population Figures'!$C$8, IF(Q37&lt;&gt;"", AA*(C37*ABS('Population Figures'!I37-'Population Figures'!L37))*'Population Figures'!$C$7, "N/A"))), "N/A")</f>
        <v>N/A</v>
      </c>
      <c r="AD37" s="92">
        <f>Y37*'Population Figures'!$C$12</f>
        <v>0</v>
      </c>
      <c r="AE37" s="92" cm="1">
        <f t="array" ref="AE37">IF(Y37&lt;&gt;"", 'Population Figures'!P37*Y37*'Population Figures'!$C$13,
IF(Z&lt;&gt;"", 'Population Figures'!P37*Z37*'Population Figures'!$C$13,
IF(AA &lt;&gt;"",'Population Figures'!P37*AA37*'Population Figures'!$C$13, "N/A")))</f>
        <v>0</v>
      </c>
      <c r="AF37" s="353" t="str">
        <f>IF('Population Figures'!Q37&lt;&gt;"",'Population Figures'!Q37*Y37*'Population Figures'!$C$13,"N/A")</f>
        <v>N/A</v>
      </c>
      <c r="AG37" s="353" t="str">
        <f>IF('Population Figures'!R37&lt;&gt;"",'Population Figures'!R37*Y37*'Population Figures'!$C$13,"N/A")</f>
        <v>N/A</v>
      </c>
      <c r="AH37" s="92">
        <f>B37*'Population Figures'!S37*'Scenario 2 - Nut.Analysis'!D39</f>
        <v>0</v>
      </c>
      <c r="AI37" s="92">
        <f>B37*'Population Figures'!S37</f>
        <v>0</v>
      </c>
      <c r="AJ37" s="92">
        <f>B37*'Population Figures'!S37*ABS('Scenario 2 - Nut.Analysis'!D39-G37)*'Population Figures'!$C$17</f>
        <v>0</v>
      </c>
      <c r="AK37" s="92">
        <f>B37*'Population Figures'!S37*ABS('Scenario 2 - Nut.Analysis'!D39-G37)*'Population Figures'!$C$18</f>
        <v>0</v>
      </c>
      <c r="AL37" s="92">
        <f>B37*'Population Figures'!U37*'Scenario 2 Contributing Fact'!F40</f>
        <v>0</v>
      </c>
      <c r="AM37" s="353" t="str">
        <f>IF('Population Figures'!W37&lt;&gt;"",B37*'Population Figures'!U37*'Scenario 2 Contributing Fact'!F40*'Population Figures'!W37,"N/A")</f>
        <v>N/A</v>
      </c>
      <c r="AN37" s="353" t="str">
        <f>IF('Population Figures'!V37&lt;&gt;"",B37*'Population Figures'!U37*'Scenario 2 Contributing Fact'!F40*'Population Figures'!V37,"N/A")</f>
        <v>N/A</v>
      </c>
      <c r="AO37" s="92">
        <f>B37*'Population Figures'!U37</f>
        <v>0</v>
      </c>
      <c r="AP37" s="92">
        <f>B37*'Population Figures'!X37*'Scenario 2 Contributing Fact'!G40</f>
        <v>0</v>
      </c>
      <c r="AQ37" s="353" t="str">
        <f>IF('Population Figures'!Y37&lt;&gt;"", 'Population Figures'!Y37*B37*'Population Figures'!X37*'Scenario 2 Contributing Fact'!G40,"N/A")</f>
        <v>N/A</v>
      </c>
      <c r="AR37" s="353" t="str">
        <f>IF('Population Figures'!Z37&lt;&gt;"", 'Population Figures'!Z37*B37*'Population Figures'!X37*'Scenario 2 Contributing Fact'!G40,"N/A")</f>
        <v>N/A</v>
      </c>
      <c r="AS37" s="92">
        <f>I37*'Population Figures'!U37*'Scenario 3 - Nut. Analysis'!J36</f>
        <v>0</v>
      </c>
      <c r="AT37" s="353" t="str">
        <f>IF('Population Figures'!AD37&lt;&gt;"",I37*'Population Figures'!W37*'Scenario 3 - Nut. Analysis'!J36,"N/A")</f>
        <v>N/A</v>
      </c>
      <c r="AU37" s="353" t="str">
        <f>IF('Population Figures'!AC37&lt;&gt;"",I37*'Population Figures'!V37*'Scenario 3 - Nut. Analysis'!J36,"N/A")</f>
        <v>N/A</v>
      </c>
      <c r="AV37" s="92">
        <f>I37*'Population Figures'!U37</f>
        <v>0</v>
      </c>
      <c r="AW37" s="92">
        <f>I37*'Population Figures'!X37*'Scenario 3 - Nut. Analysis'!K36</f>
        <v>0</v>
      </c>
      <c r="AX37" s="353" t="str">
        <f>IF('Population Figures'!Y37&lt;&gt;"", I37*'Population Figures'!Y37*'Scenario 3 - Nut. Analysis'!K36,"N/A")</f>
        <v>N/A</v>
      </c>
      <c r="AY37" s="353" t="str">
        <f>IF('Population Figures'!Z37&lt;&gt;"", I37*'Population Figures'!Z37*'Scenario 3 - Nut. Analysis'!K36,"N/A")</f>
        <v>N/A</v>
      </c>
      <c r="AZ37" s="8"/>
      <c r="BA37" s="8"/>
      <c r="BB37" s="8"/>
      <c r="BC37" s="8"/>
      <c r="BD37" s="8"/>
      <c r="BE37" s="8"/>
      <c r="BF37" s="8"/>
      <c r="BG37" s="8"/>
      <c r="BH37" s="8"/>
      <c r="BI37" s="8"/>
      <c r="BJ37" s="8"/>
      <c r="BK37" s="8"/>
      <c r="BL37" s="8"/>
    </row>
    <row r="38" spans="1:64" s="9" customFormat="1" ht="15" x14ac:dyDescent="0.2">
      <c r="A38" s="89">
        <f>'Population Figures'!E38</f>
        <v>0</v>
      </c>
      <c r="B38" s="91">
        <f>'Population Figures'!F38</f>
        <v>0</v>
      </c>
      <c r="C38" s="253"/>
      <c r="D38" s="253"/>
      <c r="E38" s="253"/>
      <c r="F38" s="253"/>
      <c r="G38" s="253"/>
      <c r="H38" s="92">
        <f>B38*('Population Figures'!G38)*C38</f>
        <v>0</v>
      </c>
      <c r="I38" s="92">
        <f>B38*('Population Figures'!G38)*'Scenario 2 - Nut.Analysis'!B40</f>
        <v>0</v>
      </c>
      <c r="J38" s="92">
        <f>B38*('Population Figures'!G38)*'Scenario 2 - Nut.Analysis'!C40</f>
        <v>0</v>
      </c>
      <c r="K38" s="353" t="str">
        <f>IF('Population Figures'!H38&lt;&gt;"",IF(H38&lt;&gt;"",B38*('Population Figures'!H38)*C38, IF(I38&lt;&gt;"", B38*('Population Figures'!H38)*'Scenario 2 - Nut.Analysis'!B40, IF(J38&lt;&gt;"", B38*('Population Figures'!H38)*'Scenario 2 - Nut.Analysis'!C40, "N/A"))), "N/A")</f>
        <v>N/A</v>
      </c>
      <c r="L38" s="353" t="str">
        <f>IF('Population Figures'!I38&lt;&gt;"",IF(H38&lt;&gt;"",B38*('Population Figures'!I38)*C38, IF(I38&lt;&gt;"", B38*('Population Figures'!I38)*'Scenario 2 - Nut.Analysis'!B40, IF(J38&lt;&gt;"", B38*('Population Figures'!I38)*'Scenario 2 - Nut.Analysis'!C40, "N/A"))), "N/A")</f>
        <v>N/A</v>
      </c>
      <c r="M38" s="92">
        <f>B38*('Population Figures'!G38)</f>
        <v>0</v>
      </c>
      <c r="N38" s="92">
        <f>D38*(B38*'Population Figures'!G38)*'Population Figures'!$C$7</f>
        <v>0</v>
      </c>
      <c r="O38" s="92">
        <f>E38*(B38*'Population Figures'!G38)*'Population Figures'!$C$7</f>
        <v>0</v>
      </c>
      <c r="P38" s="92">
        <f>F38*(B38*'Population Figures'!G38)*'Population Figures'!$C$7</f>
        <v>0</v>
      </c>
      <c r="Q38" s="353" t="str">
        <f>IF('Population Figures'!H38&lt;&gt;"",IF(N38&lt;&gt;"",D38*(B38*'Population Figures'!H38)*'Population Figures'!$C$7, IF(O38&lt;&gt;"", E38*(B38*'Population Figures'!H38)*'Population Figures'!$C$7, IF(P38&lt;&gt;"", F38*(B38*'Population Figures'!H38)*'Population Figures'!$C$7, "N/A"))), "N/A")</f>
        <v>N/A</v>
      </c>
      <c r="R38" s="353" t="str">
        <f>IF('Population Figures'!I38&lt;&gt;"",IF(N38&lt;&gt;"",D38*(B38*'Population Figures'!I38)*'Population Figures'!$C$7, IF(O38&lt;&gt;"", E38*(B38*'Population Figures'!I38)*'Population Figures'!$C$7, IF(P38&lt;&gt;"", F38*(B38*'Population Figures'!I38)*'Population Figures'!$C$7, "N/A"))), "N/A")</f>
        <v>N/A</v>
      </c>
      <c r="S38" s="92">
        <f>IF(N38&lt;&gt;"",N38*'Population Figures'!$C$10,IF(O38&lt;&gt;"",O38*'Population Figures'!$C$10,IF(P38&lt;&gt;"",P38*'Population Figures'!$C$10,"Key Values")))</f>
        <v>0</v>
      </c>
      <c r="T38" s="353" t="str">
        <f>IF(Q38&lt;&gt;"N/A",Q38*'Population Figures'!$C$10,"N/A")</f>
        <v>N/A</v>
      </c>
      <c r="U38" s="353" t="str">
        <f>IF(R38&lt;&gt;"N/A",R38*'Population Figures'!$C$10,"N/A")</f>
        <v>N/A</v>
      </c>
      <c r="V38" s="92">
        <f>IF(N38&lt;&gt;"",
 D38*(B38*ABS('Population Figures'!G38-'Population Figures'!J38))*'Population Figures'!$C$7*'Population Figures'!$C$11,
IF(O38&lt;&gt;"",
E38*(B38*ABS('Population Figures'!G38-'Population Figures'!J38))*'Population Figures'!$C$7*'Population Figures'!$C$11,
IF(P38&lt;&gt;"",
F38*(B38*ABS('Population Figures'!G38-'Population Figures'!J38))*'Population Figures'!$C$7*'Population Figures'!$C$11, "Key Values")))</f>
        <v>0</v>
      </c>
      <c r="W38" s="353" t="str">
        <f>IF('Population Figures'!H38&lt;&gt;"",
IF(N38&lt;&gt;"",D38*(B38*ABS('Population Figures'!H38-'Population Figures'!K38))*'Population Figures'!$C$7,
 IF(O38&lt;&gt;"", E38*(B38*ABS('Population Figures'!H38-'Population Figures'!K38))*'Population Figures'!$C$7,
 IF(P38&lt;&gt;"", F38*(B38*ABS('Population Figures'!H38-'Population Figures'!K38))*'Population Figures'!$C$7, "N/A"))), "N/A")</f>
        <v>N/A</v>
      </c>
      <c r="X38" s="353" t="str">
        <f>IF('Population Figures'!H38&lt;&gt;"",
IF(N38&lt;&gt;"",D38*(B38*ABS('Population Figures'!I38-'Population Figures'!L38))*'Population Figures'!$C$7,
 IF(O38&lt;&gt;"", E38*(B38*ABS('Population Figures'!I38-'Population Figures'!L38))*'Population Figures'!$C$7,
 IF(P38&lt;&gt;"", F38*(B38*ABS('Population Figures'!I38-'Population Figures'!L38))*'Population Figures'!$C$7, "N/A"))), "N/A")</f>
        <v>N/A</v>
      </c>
      <c r="Y38" s="92">
        <f>(C38-D38)*(B38*ABS('Population Figures'!G38-'Population Figures'!J38)*'Population Figures'!$C$8)</f>
        <v>0</v>
      </c>
      <c r="Z38" s="92">
        <f>ABS('Scenario 2 - Nut.Analysis'!C40-E38)*(B38*ABS('Population Figures'!G38-'Population Figures'!J38))*'Population Figures'!$C$8</f>
        <v>0</v>
      </c>
      <c r="AA38" s="92">
        <f>ABS('Scenario 2 - Nut.Analysis'!D40-F38)*(B38*ABS('Population Figures'!G38-'Population Figures'!J38)*'Population Figures'!$C$8)</f>
        <v>0</v>
      </c>
      <c r="AB38" s="353" t="str" cm="1">
        <f t="array" ref="AB38">IF('Population Figures'!H38&lt;&gt;"",IF(N38&lt;&gt;"",(C38-D38)*(ABS('Population Figures'!H38-'Population Figures'!K38)*B38*'Population Figures'!G38)*'Population Figures'!$C$8, IF(O38&lt;&gt;"", ABS('Scenario 2 - Nut.Analysis'!C40-E38)*(ABS('Population Figures'!H38-'Population Figures'!K38)*B38*'Population Figures'!G38)*'Population Figures'!$C$8, IF(P38&lt;&gt;"", AA*(B38*ABS('Population Figures'!H38-'Population Figures'!K38))*'Population Figures'!$C$7, "N/A"))), "N/A")</f>
        <v>N/A</v>
      </c>
      <c r="AC38" s="353" t="str" cm="1">
        <f t="array" ref="AC38">IF('Population Figures'!I38&lt;&gt;"",IF(O38&lt;&gt;"",(D38-E38)*(ABS('Population Figures'!I38-'Population Figures'!L38)*C38*'Population Figures'!H38)*'Population Figures'!$C$8, IF(P38&lt;&gt;"", ABS('Scenario 2 - Nut.Analysis'!D40-F38)*(ABS('Population Figures'!I38-'Population Figures'!L38)*C38*'Population Figures'!H38)*'Population Figures'!$C$8, IF(Q38&lt;&gt;"", AA*(C38*ABS('Population Figures'!I38-'Population Figures'!L38))*'Population Figures'!$C$7, "N/A"))), "N/A")</f>
        <v>N/A</v>
      </c>
      <c r="AD38" s="92">
        <f>Y38*'Population Figures'!$C$12</f>
        <v>0</v>
      </c>
      <c r="AE38" s="92" cm="1">
        <f t="array" ref="AE38">IF(Y38&lt;&gt;"", 'Population Figures'!P38*Y38*'Population Figures'!$C$13,
IF(Z&lt;&gt;"", 'Population Figures'!P38*Z38*'Population Figures'!$C$13,
IF(AA &lt;&gt;"",'Population Figures'!P38*AA38*'Population Figures'!$C$13, "N/A")))</f>
        <v>0</v>
      </c>
      <c r="AF38" s="353" t="str">
        <f>IF('Population Figures'!Q38&lt;&gt;"",'Population Figures'!Q38*Y38*'Population Figures'!$C$13,"N/A")</f>
        <v>N/A</v>
      </c>
      <c r="AG38" s="353" t="str">
        <f>IF('Population Figures'!R38&lt;&gt;"",'Population Figures'!R38*Y38*'Population Figures'!$C$13,"N/A")</f>
        <v>N/A</v>
      </c>
      <c r="AH38" s="92">
        <f>B38*'Population Figures'!S38*'Scenario 2 - Nut.Analysis'!D40</f>
        <v>0</v>
      </c>
      <c r="AI38" s="92">
        <f>B38*'Population Figures'!S38</f>
        <v>0</v>
      </c>
      <c r="AJ38" s="92">
        <f>B38*'Population Figures'!S38*ABS('Scenario 2 - Nut.Analysis'!D40-G38)*'Population Figures'!$C$17</f>
        <v>0</v>
      </c>
      <c r="AK38" s="92">
        <f>B38*'Population Figures'!S38*ABS('Scenario 2 - Nut.Analysis'!D40-G38)*'Population Figures'!$C$18</f>
        <v>0</v>
      </c>
      <c r="AL38" s="92">
        <f>B38*'Population Figures'!U38*'Scenario 2 Contributing Fact'!F41</f>
        <v>0</v>
      </c>
      <c r="AM38" s="353" t="str">
        <f>IF('Population Figures'!W38&lt;&gt;"",B38*'Population Figures'!U38*'Scenario 2 Contributing Fact'!F41*'Population Figures'!W38,"N/A")</f>
        <v>N/A</v>
      </c>
      <c r="AN38" s="353" t="str">
        <f>IF('Population Figures'!V38&lt;&gt;"",B38*'Population Figures'!U38*'Scenario 2 Contributing Fact'!F41*'Population Figures'!V38,"N/A")</f>
        <v>N/A</v>
      </c>
      <c r="AO38" s="92">
        <f>B38*'Population Figures'!U38</f>
        <v>0</v>
      </c>
      <c r="AP38" s="92">
        <f>B38*'Population Figures'!X38*'Scenario 2 Contributing Fact'!G41</f>
        <v>0</v>
      </c>
      <c r="AQ38" s="353" t="str">
        <f>IF('Population Figures'!Y38&lt;&gt;"", 'Population Figures'!Y38*B38*'Population Figures'!X38*'Scenario 2 Contributing Fact'!G41,"N/A")</f>
        <v>N/A</v>
      </c>
      <c r="AR38" s="353" t="str">
        <f>IF('Population Figures'!Z38&lt;&gt;"", 'Population Figures'!Z38*B38*'Population Figures'!X38*'Scenario 2 Contributing Fact'!G41,"N/A")</f>
        <v>N/A</v>
      </c>
      <c r="AS38" s="92">
        <f>I38*'Population Figures'!U38*'Scenario 3 - Nut. Analysis'!J37</f>
        <v>0</v>
      </c>
      <c r="AT38" s="353" t="str">
        <f>IF('Population Figures'!AD38&lt;&gt;"",I38*'Population Figures'!W38*'Scenario 3 - Nut. Analysis'!J37,"N/A")</f>
        <v>N/A</v>
      </c>
      <c r="AU38" s="353" t="str">
        <f>IF('Population Figures'!AC38&lt;&gt;"",I38*'Population Figures'!V38*'Scenario 3 - Nut. Analysis'!J37,"N/A")</f>
        <v>N/A</v>
      </c>
      <c r="AV38" s="92">
        <f>I38*'Population Figures'!U38</f>
        <v>0</v>
      </c>
      <c r="AW38" s="92">
        <f>I38*'Population Figures'!X38*'Scenario 3 - Nut. Analysis'!K37</f>
        <v>0</v>
      </c>
      <c r="AX38" s="353" t="str">
        <f>IF('Population Figures'!Y38&lt;&gt;"", I38*'Population Figures'!Y38*'Scenario 3 - Nut. Analysis'!K37,"N/A")</f>
        <v>N/A</v>
      </c>
      <c r="AY38" s="353" t="str">
        <f>IF('Population Figures'!Z38&lt;&gt;"", I38*'Population Figures'!Z38*'Scenario 3 - Nut. Analysis'!K37,"N/A")</f>
        <v>N/A</v>
      </c>
      <c r="AZ38" s="8"/>
      <c r="BA38" s="8"/>
      <c r="BB38" s="8"/>
      <c r="BC38" s="8"/>
      <c r="BD38" s="8"/>
      <c r="BE38" s="8"/>
      <c r="BF38" s="8"/>
      <c r="BG38" s="8"/>
      <c r="BH38" s="8"/>
      <c r="BI38" s="8"/>
      <c r="BJ38" s="8"/>
      <c r="BK38" s="8"/>
      <c r="BL38" s="8"/>
    </row>
    <row r="39" spans="1:64" s="9" customFormat="1" ht="15" x14ac:dyDescent="0.2">
      <c r="A39" s="89">
        <f>'Population Figures'!E39</f>
        <v>0</v>
      </c>
      <c r="B39" s="91">
        <f>'Population Figures'!F39</f>
        <v>0</v>
      </c>
      <c r="C39" s="253"/>
      <c r="D39" s="253"/>
      <c r="E39" s="253"/>
      <c r="F39" s="253"/>
      <c r="G39" s="253"/>
      <c r="H39" s="92">
        <f>B39*('Population Figures'!G39)*C39</f>
        <v>0</v>
      </c>
      <c r="I39" s="92">
        <f>B39*('Population Figures'!G39)*'Scenario 2 - Nut.Analysis'!B41</f>
        <v>0</v>
      </c>
      <c r="J39" s="92">
        <f>B39*('Population Figures'!G39)*'Scenario 2 - Nut.Analysis'!C41</f>
        <v>0</v>
      </c>
      <c r="K39" s="353" t="str">
        <f>IF('Population Figures'!H39&lt;&gt;"",IF(H39&lt;&gt;"",B39*('Population Figures'!H39)*C39, IF(I39&lt;&gt;"", B39*('Population Figures'!H39)*'Scenario 2 - Nut.Analysis'!B41, IF(J39&lt;&gt;"", B39*('Population Figures'!H39)*'Scenario 2 - Nut.Analysis'!C41, "N/A"))), "N/A")</f>
        <v>N/A</v>
      </c>
      <c r="L39" s="353" t="str">
        <f>IF('Population Figures'!I39&lt;&gt;"",IF(H39&lt;&gt;"",B39*('Population Figures'!I39)*C39, IF(I39&lt;&gt;"", B39*('Population Figures'!I39)*'Scenario 2 - Nut.Analysis'!B41, IF(J39&lt;&gt;"", B39*('Population Figures'!I39)*'Scenario 2 - Nut.Analysis'!C41, "N/A"))), "N/A")</f>
        <v>N/A</v>
      </c>
      <c r="M39" s="92">
        <f>B39*('Population Figures'!G39)</f>
        <v>0</v>
      </c>
      <c r="N39" s="92">
        <f>D39*(B39*'Population Figures'!G39)*'Population Figures'!$C$7</f>
        <v>0</v>
      </c>
      <c r="O39" s="92">
        <f>E39*(B39*'Population Figures'!G39)*'Population Figures'!$C$7</f>
        <v>0</v>
      </c>
      <c r="P39" s="92">
        <f>F39*(B39*'Population Figures'!G39)*'Population Figures'!$C$7</f>
        <v>0</v>
      </c>
      <c r="Q39" s="353" t="str">
        <f>IF('Population Figures'!H39&lt;&gt;"",IF(N39&lt;&gt;"",D39*(B39*'Population Figures'!H39)*'Population Figures'!$C$7, IF(O39&lt;&gt;"", E39*(B39*'Population Figures'!H39)*'Population Figures'!$C$7, IF(P39&lt;&gt;"", F39*(B39*'Population Figures'!H39)*'Population Figures'!$C$7, "N/A"))), "N/A")</f>
        <v>N/A</v>
      </c>
      <c r="R39" s="353" t="str">
        <f>IF('Population Figures'!I39&lt;&gt;"",IF(N39&lt;&gt;"",D39*(B39*'Population Figures'!I39)*'Population Figures'!$C$7, IF(O39&lt;&gt;"", E39*(B39*'Population Figures'!I39)*'Population Figures'!$C$7, IF(P39&lt;&gt;"", F39*(B39*'Population Figures'!I39)*'Population Figures'!$C$7, "N/A"))), "N/A")</f>
        <v>N/A</v>
      </c>
      <c r="S39" s="92">
        <f>IF(N39&lt;&gt;"",N39*'Population Figures'!$C$10,IF(O39&lt;&gt;"",O39*'Population Figures'!$C$10,IF(P39&lt;&gt;"",P39*'Population Figures'!$C$10,"Key Values")))</f>
        <v>0</v>
      </c>
      <c r="T39" s="353" t="str">
        <f>IF(Q39&lt;&gt;"N/A",Q39*'Population Figures'!$C$10,"N/A")</f>
        <v>N/A</v>
      </c>
      <c r="U39" s="353" t="str">
        <f>IF(R39&lt;&gt;"N/A",R39*'Population Figures'!$C$10,"N/A")</f>
        <v>N/A</v>
      </c>
      <c r="V39" s="92">
        <f>IF(N39&lt;&gt;"",
 D39*(B39*ABS('Population Figures'!G39-'Population Figures'!J39))*'Population Figures'!$C$7*'Population Figures'!$C$11,
IF(O39&lt;&gt;"",
E39*(B39*ABS('Population Figures'!G39-'Population Figures'!J39))*'Population Figures'!$C$7*'Population Figures'!$C$11,
IF(P39&lt;&gt;"",
F39*(B39*ABS('Population Figures'!G39-'Population Figures'!J39))*'Population Figures'!$C$7*'Population Figures'!$C$11, "Key Values")))</f>
        <v>0</v>
      </c>
      <c r="W39" s="353" t="str">
        <f>IF('Population Figures'!H39&lt;&gt;"",
IF(N39&lt;&gt;"",D39*(B39*ABS('Population Figures'!H39-'Population Figures'!K39))*'Population Figures'!$C$7,
 IF(O39&lt;&gt;"", E39*(B39*ABS('Population Figures'!H39-'Population Figures'!K39))*'Population Figures'!$C$7,
 IF(P39&lt;&gt;"", F39*(B39*ABS('Population Figures'!H39-'Population Figures'!K39))*'Population Figures'!$C$7, "N/A"))), "N/A")</f>
        <v>N/A</v>
      </c>
      <c r="X39" s="353" t="str">
        <f>IF('Population Figures'!H39&lt;&gt;"",
IF(N39&lt;&gt;"",D39*(B39*ABS('Population Figures'!I39-'Population Figures'!L39))*'Population Figures'!$C$7,
 IF(O39&lt;&gt;"", E39*(B39*ABS('Population Figures'!I39-'Population Figures'!L39))*'Population Figures'!$C$7,
 IF(P39&lt;&gt;"", F39*(B39*ABS('Population Figures'!I39-'Population Figures'!L39))*'Population Figures'!$C$7, "N/A"))), "N/A")</f>
        <v>N/A</v>
      </c>
      <c r="Y39" s="92">
        <f>(C39-D39)*(B39*ABS('Population Figures'!G39-'Population Figures'!J39)*'Population Figures'!$C$8)</f>
        <v>0</v>
      </c>
      <c r="Z39" s="92">
        <f>ABS('Scenario 2 - Nut.Analysis'!C41-E39)*(B39*ABS('Population Figures'!G39-'Population Figures'!J39))*'Population Figures'!$C$8</f>
        <v>0</v>
      </c>
      <c r="AA39" s="92">
        <f>ABS('Scenario 2 - Nut.Analysis'!D41-F39)*(B39*ABS('Population Figures'!G39-'Population Figures'!J39)*'Population Figures'!$C$8)</f>
        <v>0</v>
      </c>
      <c r="AB39" s="353" t="str" cm="1">
        <f t="array" ref="AB39">IF('Population Figures'!H39&lt;&gt;"",IF(N39&lt;&gt;"",(C39-D39)*(ABS('Population Figures'!H39-'Population Figures'!K39)*B39*'Population Figures'!G39)*'Population Figures'!$C$8, IF(O39&lt;&gt;"", ABS('Scenario 2 - Nut.Analysis'!C41-E39)*(ABS('Population Figures'!H39-'Population Figures'!K39)*B39*'Population Figures'!G39)*'Population Figures'!$C$8, IF(P39&lt;&gt;"", AA*(B39*ABS('Population Figures'!H39-'Population Figures'!K39))*'Population Figures'!$C$7, "N/A"))), "N/A")</f>
        <v>N/A</v>
      </c>
      <c r="AC39" s="353" t="str" cm="1">
        <f t="array" ref="AC39">IF('Population Figures'!I39&lt;&gt;"",IF(O39&lt;&gt;"",(D39-E39)*(ABS('Population Figures'!I39-'Population Figures'!L39)*C39*'Population Figures'!H39)*'Population Figures'!$C$8, IF(P39&lt;&gt;"", ABS('Scenario 2 - Nut.Analysis'!D41-F39)*(ABS('Population Figures'!I39-'Population Figures'!L39)*C39*'Population Figures'!H39)*'Population Figures'!$C$8, IF(Q39&lt;&gt;"", AA*(C39*ABS('Population Figures'!I39-'Population Figures'!L39))*'Population Figures'!$C$7, "N/A"))), "N/A")</f>
        <v>N/A</v>
      </c>
      <c r="AD39" s="92">
        <f>Y39*'Population Figures'!$C$12</f>
        <v>0</v>
      </c>
      <c r="AE39" s="92" cm="1">
        <f t="array" ref="AE39">IF(Y39&lt;&gt;"", 'Population Figures'!P39*Y39*'Population Figures'!$C$13,
IF(Z&lt;&gt;"", 'Population Figures'!P39*Z39*'Population Figures'!$C$13,
IF(AA &lt;&gt;"",'Population Figures'!P39*AA39*'Population Figures'!$C$13, "N/A")))</f>
        <v>0</v>
      </c>
      <c r="AF39" s="353" t="str">
        <f>IF('Population Figures'!Q39&lt;&gt;"",'Population Figures'!Q39*Y39*'Population Figures'!$C$13,"N/A")</f>
        <v>N/A</v>
      </c>
      <c r="AG39" s="353" t="str">
        <f>IF('Population Figures'!R39&lt;&gt;"",'Population Figures'!R39*Y39*'Population Figures'!$C$13,"N/A")</f>
        <v>N/A</v>
      </c>
      <c r="AH39" s="92">
        <f>B39*'Population Figures'!S39*'Scenario 2 - Nut.Analysis'!D41</f>
        <v>0</v>
      </c>
      <c r="AI39" s="92">
        <f>B39*'Population Figures'!S39</f>
        <v>0</v>
      </c>
      <c r="AJ39" s="92">
        <f>B39*'Population Figures'!S39*ABS('Scenario 2 - Nut.Analysis'!D41-G39)*'Population Figures'!$C$17</f>
        <v>0</v>
      </c>
      <c r="AK39" s="92">
        <f>B39*'Population Figures'!S39*ABS('Scenario 2 - Nut.Analysis'!D41-G39)*'Population Figures'!$C$18</f>
        <v>0</v>
      </c>
      <c r="AL39" s="92">
        <f>B39*'Population Figures'!U39*'Scenario 2 Contributing Fact'!F42</f>
        <v>0</v>
      </c>
      <c r="AM39" s="353" t="str">
        <f>IF('Population Figures'!W39&lt;&gt;"",B39*'Population Figures'!U39*'Scenario 2 Contributing Fact'!F42*'Population Figures'!W39,"N/A")</f>
        <v>N/A</v>
      </c>
      <c r="AN39" s="353" t="str">
        <f>IF('Population Figures'!V39&lt;&gt;"",B39*'Population Figures'!U39*'Scenario 2 Contributing Fact'!F42*'Population Figures'!V39,"N/A")</f>
        <v>N/A</v>
      </c>
      <c r="AO39" s="92">
        <f>B39*'Population Figures'!U39</f>
        <v>0</v>
      </c>
      <c r="AP39" s="92">
        <f>B39*'Population Figures'!X39*'Scenario 2 Contributing Fact'!G42</f>
        <v>0</v>
      </c>
      <c r="AQ39" s="353" t="str">
        <f>IF('Population Figures'!Y39&lt;&gt;"", 'Population Figures'!Y39*B39*'Population Figures'!X39*'Scenario 2 Contributing Fact'!G42,"N/A")</f>
        <v>N/A</v>
      </c>
      <c r="AR39" s="353" t="str">
        <f>IF('Population Figures'!Z39&lt;&gt;"", 'Population Figures'!Z39*B39*'Population Figures'!X39*'Scenario 2 Contributing Fact'!G42,"N/A")</f>
        <v>N/A</v>
      </c>
      <c r="AS39" s="92">
        <f>I39*'Population Figures'!U39*'Scenario 3 - Nut. Analysis'!J38</f>
        <v>0</v>
      </c>
      <c r="AT39" s="353" t="str">
        <f>IF('Population Figures'!AD39&lt;&gt;"",I39*'Population Figures'!W39*'Scenario 3 - Nut. Analysis'!J38,"N/A")</f>
        <v>N/A</v>
      </c>
      <c r="AU39" s="353" t="str">
        <f>IF('Population Figures'!AC39&lt;&gt;"",I39*'Population Figures'!V39*'Scenario 3 - Nut. Analysis'!J38,"N/A")</f>
        <v>N/A</v>
      </c>
      <c r="AV39" s="92">
        <f>I39*'Population Figures'!U39</f>
        <v>0</v>
      </c>
      <c r="AW39" s="92">
        <f>I39*'Population Figures'!X39*'Scenario 3 - Nut. Analysis'!K38</f>
        <v>0</v>
      </c>
      <c r="AX39" s="353" t="str">
        <f>IF('Population Figures'!Y39&lt;&gt;"", I39*'Population Figures'!Y39*'Scenario 3 - Nut. Analysis'!K38,"N/A")</f>
        <v>N/A</v>
      </c>
      <c r="AY39" s="353" t="str">
        <f>IF('Population Figures'!Z39&lt;&gt;"", I39*'Population Figures'!Z39*'Scenario 3 - Nut. Analysis'!K38,"N/A")</f>
        <v>N/A</v>
      </c>
      <c r="AZ39" s="8"/>
      <c r="BA39" s="8"/>
      <c r="BB39" s="8"/>
      <c r="BC39" s="8"/>
      <c r="BD39" s="8"/>
      <c r="BE39" s="8"/>
      <c r="BF39" s="8"/>
      <c r="BG39" s="8"/>
      <c r="BH39" s="8"/>
      <c r="BI39" s="8"/>
      <c r="BJ39" s="8"/>
      <c r="BK39" s="8"/>
      <c r="BL39" s="8"/>
    </row>
    <row r="40" spans="1:64" s="9" customFormat="1" ht="15" x14ac:dyDescent="0.2">
      <c r="A40" s="89">
        <f>'Population Figures'!E40</f>
        <v>0</v>
      </c>
      <c r="B40" s="91">
        <f>'Population Figures'!F40</f>
        <v>0</v>
      </c>
      <c r="C40" s="253"/>
      <c r="D40" s="253"/>
      <c r="E40" s="253"/>
      <c r="F40" s="253"/>
      <c r="G40" s="253"/>
      <c r="H40" s="92">
        <f>B40*('Population Figures'!G40)*C40</f>
        <v>0</v>
      </c>
      <c r="I40" s="92">
        <f>B40*('Population Figures'!G40)*'Scenario 2 - Nut.Analysis'!B42</f>
        <v>0</v>
      </c>
      <c r="J40" s="92">
        <f>B40*('Population Figures'!G40)*'Scenario 2 - Nut.Analysis'!C42</f>
        <v>0</v>
      </c>
      <c r="K40" s="353" t="str">
        <f>IF('Population Figures'!H40&lt;&gt;"",IF(H40&lt;&gt;"",B40*('Population Figures'!H40)*C40, IF(I40&lt;&gt;"", B40*('Population Figures'!H40)*'Scenario 2 - Nut.Analysis'!B42, IF(J40&lt;&gt;"", B40*('Population Figures'!H40)*'Scenario 2 - Nut.Analysis'!C42, "N/A"))), "N/A")</f>
        <v>N/A</v>
      </c>
      <c r="L40" s="353" t="str">
        <f>IF('Population Figures'!I40&lt;&gt;"",IF(H40&lt;&gt;"",B40*('Population Figures'!I40)*C40, IF(I40&lt;&gt;"", B40*('Population Figures'!I40)*'Scenario 2 - Nut.Analysis'!B42, IF(J40&lt;&gt;"", B40*('Population Figures'!I40)*'Scenario 2 - Nut.Analysis'!C42, "N/A"))), "N/A")</f>
        <v>N/A</v>
      </c>
      <c r="M40" s="92">
        <f>B40*('Population Figures'!G40)</f>
        <v>0</v>
      </c>
      <c r="N40" s="92">
        <f>D40*(B40*'Population Figures'!G40)*'Population Figures'!$C$7</f>
        <v>0</v>
      </c>
      <c r="O40" s="92">
        <f>E40*(B40*'Population Figures'!G40)*'Population Figures'!$C$7</f>
        <v>0</v>
      </c>
      <c r="P40" s="92">
        <f>F40*(B40*'Population Figures'!G40)*'Population Figures'!$C$7</f>
        <v>0</v>
      </c>
      <c r="Q40" s="353" t="str">
        <f>IF('Population Figures'!H40&lt;&gt;"",IF(N40&lt;&gt;"",D40*(B40*'Population Figures'!H40)*'Population Figures'!$C$7, IF(O40&lt;&gt;"", E40*(B40*'Population Figures'!H40)*'Population Figures'!$C$7, IF(P40&lt;&gt;"", F40*(B40*'Population Figures'!H40)*'Population Figures'!$C$7, "N/A"))), "N/A")</f>
        <v>N/A</v>
      </c>
      <c r="R40" s="353" t="str">
        <f>IF('Population Figures'!I40&lt;&gt;"",IF(N40&lt;&gt;"",D40*(B40*'Population Figures'!I40)*'Population Figures'!$C$7, IF(O40&lt;&gt;"", E40*(B40*'Population Figures'!I40)*'Population Figures'!$C$7, IF(P40&lt;&gt;"", F40*(B40*'Population Figures'!I40)*'Population Figures'!$C$7, "N/A"))), "N/A")</f>
        <v>N/A</v>
      </c>
      <c r="S40" s="92">
        <f>IF(N40&lt;&gt;"",N40*'Population Figures'!$C$10,IF(O40&lt;&gt;"",O40*'Population Figures'!$C$10,IF(P40&lt;&gt;"",P40*'Population Figures'!$C$10,"Key Values")))</f>
        <v>0</v>
      </c>
      <c r="T40" s="353" t="str">
        <f>IF(Q40&lt;&gt;"N/A",Q40*'Population Figures'!$C$10,"N/A")</f>
        <v>N/A</v>
      </c>
      <c r="U40" s="353" t="str">
        <f>IF(R40&lt;&gt;"N/A",R40*'Population Figures'!$C$10,"N/A")</f>
        <v>N/A</v>
      </c>
      <c r="V40" s="92">
        <f>IF(N40&lt;&gt;"",
 D40*(B40*ABS('Population Figures'!G40-'Population Figures'!J40))*'Population Figures'!$C$7*'Population Figures'!$C$11,
IF(O40&lt;&gt;"",
E40*(B40*ABS('Population Figures'!G40-'Population Figures'!J40))*'Population Figures'!$C$7*'Population Figures'!$C$11,
IF(P40&lt;&gt;"",
F40*(B40*ABS('Population Figures'!G40-'Population Figures'!J40))*'Population Figures'!$C$7*'Population Figures'!$C$11, "Key Values")))</f>
        <v>0</v>
      </c>
      <c r="W40" s="353" t="str">
        <f>IF('Population Figures'!H40&lt;&gt;"",
IF(N40&lt;&gt;"",D40*(B40*ABS('Population Figures'!H40-'Population Figures'!K40))*'Population Figures'!$C$7,
 IF(O40&lt;&gt;"", E40*(B40*ABS('Population Figures'!H40-'Population Figures'!K40))*'Population Figures'!$C$7,
 IF(P40&lt;&gt;"", F40*(B40*ABS('Population Figures'!H40-'Population Figures'!K40))*'Population Figures'!$C$7, "N/A"))), "N/A")</f>
        <v>N/A</v>
      </c>
      <c r="X40" s="353" t="str">
        <f>IF('Population Figures'!H40&lt;&gt;"",
IF(N40&lt;&gt;"",D40*(B40*ABS('Population Figures'!I40-'Population Figures'!L40))*'Population Figures'!$C$7,
 IF(O40&lt;&gt;"", E40*(B40*ABS('Population Figures'!I40-'Population Figures'!L40))*'Population Figures'!$C$7,
 IF(P40&lt;&gt;"", F40*(B40*ABS('Population Figures'!I40-'Population Figures'!L40))*'Population Figures'!$C$7, "N/A"))), "N/A")</f>
        <v>N/A</v>
      </c>
      <c r="Y40" s="92">
        <f>(C40-D40)*(B40*ABS('Population Figures'!G40-'Population Figures'!J40)*'Population Figures'!$C$8)</f>
        <v>0</v>
      </c>
      <c r="Z40" s="92">
        <f>ABS('Scenario 2 - Nut.Analysis'!C42-E40)*(B40*ABS('Population Figures'!G40-'Population Figures'!J40))*'Population Figures'!$C$8</f>
        <v>0</v>
      </c>
      <c r="AA40" s="92">
        <f>ABS('Scenario 2 - Nut.Analysis'!D42-F40)*(B40*ABS('Population Figures'!G40-'Population Figures'!J40)*'Population Figures'!$C$8)</f>
        <v>0</v>
      </c>
      <c r="AB40" s="353" t="str" cm="1">
        <f t="array" ref="AB40">IF('Population Figures'!H40&lt;&gt;"",IF(N40&lt;&gt;"",(C40-D40)*(ABS('Population Figures'!H40-'Population Figures'!K40)*B40*'Population Figures'!G40)*'Population Figures'!$C$8, IF(O40&lt;&gt;"", ABS('Scenario 2 - Nut.Analysis'!C42-E40)*(ABS('Population Figures'!H40-'Population Figures'!K40)*B40*'Population Figures'!G40)*'Population Figures'!$C$8, IF(P40&lt;&gt;"", AA*(B40*ABS('Population Figures'!H40-'Population Figures'!K40))*'Population Figures'!$C$7, "N/A"))), "N/A")</f>
        <v>N/A</v>
      </c>
      <c r="AC40" s="353" t="str" cm="1">
        <f t="array" ref="AC40">IF('Population Figures'!I40&lt;&gt;"",IF(O40&lt;&gt;"",(D40-E40)*(ABS('Population Figures'!I40-'Population Figures'!L40)*C40*'Population Figures'!H40)*'Population Figures'!$C$8, IF(P40&lt;&gt;"", ABS('Scenario 2 - Nut.Analysis'!D42-F40)*(ABS('Population Figures'!I40-'Population Figures'!L40)*C40*'Population Figures'!H40)*'Population Figures'!$C$8, IF(Q40&lt;&gt;"", AA*(C40*ABS('Population Figures'!I40-'Population Figures'!L40))*'Population Figures'!$C$7, "N/A"))), "N/A")</f>
        <v>N/A</v>
      </c>
      <c r="AD40" s="92">
        <f>Y40*'Population Figures'!$C$12</f>
        <v>0</v>
      </c>
      <c r="AE40" s="92" cm="1">
        <f t="array" ref="AE40">IF(Y40&lt;&gt;"", 'Population Figures'!P40*Y40*'Population Figures'!$C$13,
IF(Z&lt;&gt;"", 'Population Figures'!P40*Z40*'Population Figures'!$C$13,
IF(AA &lt;&gt;"",'Population Figures'!P40*AA40*'Population Figures'!$C$13, "N/A")))</f>
        <v>0</v>
      </c>
      <c r="AF40" s="353" t="str">
        <f>IF('Population Figures'!Q40&lt;&gt;"",'Population Figures'!Q40*Y40*'Population Figures'!$C$13,"N/A")</f>
        <v>N/A</v>
      </c>
      <c r="AG40" s="353" t="str">
        <f>IF('Population Figures'!R40&lt;&gt;"",'Population Figures'!R40*Y40*'Population Figures'!$C$13,"N/A")</f>
        <v>N/A</v>
      </c>
      <c r="AH40" s="92">
        <f>B40*'Population Figures'!S40*'Scenario 2 - Nut.Analysis'!D42</f>
        <v>0</v>
      </c>
      <c r="AI40" s="92">
        <f>B40*'Population Figures'!S40</f>
        <v>0</v>
      </c>
      <c r="AJ40" s="92">
        <f>B40*'Population Figures'!S40*ABS('Scenario 2 - Nut.Analysis'!D42-G40)*'Population Figures'!$C$17</f>
        <v>0</v>
      </c>
      <c r="AK40" s="92">
        <f>B40*'Population Figures'!S40*ABS('Scenario 2 - Nut.Analysis'!D42-G40)*'Population Figures'!$C$18</f>
        <v>0</v>
      </c>
      <c r="AL40" s="92">
        <f>B40*'Population Figures'!U40*'Scenario 2 Contributing Fact'!F43</f>
        <v>0</v>
      </c>
      <c r="AM40" s="353" t="str">
        <f>IF('Population Figures'!W40&lt;&gt;"",B40*'Population Figures'!U40*'Scenario 2 Contributing Fact'!F43*'Population Figures'!W40,"N/A")</f>
        <v>N/A</v>
      </c>
      <c r="AN40" s="353" t="str">
        <f>IF('Population Figures'!V40&lt;&gt;"",B40*'Population Figures'!U40*'Scenario 2 Contributing Fact'!F43*'Population Figures'!V40,"N/A")</f>
        <v>N/A</v>
      </c>
      <c r="AO40" s="92">
        <f>B40*'Population Figures'!U40</f>
        <v>0</v>
      </c>
      <c r="AP40" s="92">
        <f>B40*'Population Figures'!X40*'Scenario 2 Contributing Fact'!G43</f>
        <v>0</v>
      </c>
      <c r="AQ40" s="353" t="str">
        <f>IF('Population Figures'!Y40&lt;&gt;"", 'Population Figures'!Y40*B40*'Population Figures'!X40*'Scenario 2 Contributing Fact'!G43,"N/A")</f>
        <v>N/A</v>
      </c>
      <c r="AR40" s="353" t="str">
        <f>IF('Population Figures'!Z40&lt;&gt;"", 'Population Figures'!Z40*B40*'Population Figures'!X40*'Scenario 2 Contributing Fact'!G43,"N/A")</f>
        <v>N/A</v>
      </c>
      <c r="AS40" s="92">
        <f>I40*'Population Figures'!U40*'Scenario 3 - Nut. Analysis'!J39</f>
        <v>0</v>
      </c>
      <c r="AT40" s="353" t="str">
        <f>IF('Population Figures'!AD40&lt;&gt;"",I40*'Population Figures'!W40*'Scenario 3 - Nut. Analysis'!J39,"N/A")</f>
        <v>N/A</v>
      </c>
      <c r="AU40" s="353" t="str">
        <f>IF('Population Figures'!AC40&lt;&gt;"",I40*'Population Figures'!V40*'Scenario 3 - Nut. Analysis'!J39,"N/A")</f>
        <v>N/A</v>
      </c>
      <c r="AV40" s="92">
        <f>I40*'Population Figures'!U40</f>
        <v>0</v>
      </c>
      <c r="AW40" s="92">
        <f>I40*'Population Figures'!X40*'Scenario 3 - Nut. Analysis'!K39</f>
        <v>0</v>
      </c>
      <c r="AX40" s="353" t="str">
        <f>IF('Population Figures'!Y40&lt;&gt;"", I40*'Population Figures'!Y40*'Scenario 3 - Nut. Analysis'!K39,"N/A")</f>
        <v>N/A</v>
      </c>
      <c r="AY40" s="353" t="str">
        <f>IF('Population Figures'!Z40&lt;&gt;"", I40*'Population Figures'!Z40*'Scenario 3 - Nut. Analysis'!K39,"N/A")</f>
        <v>N/A</v>
      </c>
      <c r="AZ40" s="8"/>
      <c r="BA40" s="8"/>
      <c r="BB40" s="8"/>
      <c r="BC40" s="8"/>
      <c r="BD40" s="8"/>
      <c r="BE40" s="8"/>
      <c r="BF40" s="8"/>
      <c r="BG40" s="8"/>
      <c r="BH40" s="8"/>
      <c r="BI40" s="8"/>
      <c r="BJ40" s="8"/>
      <c r="BK40" s="8"/>
      <c r="BL40" s="8"/>
    </row>
    <row r="41" spans="1:64" s="9" customFormat="1" ht="15" x14ac:dyDescent="0.2">
      <c r="A41" s="89">
        <f>'Population Figures'!E41</f>
        <v>0</v>
      </c>
      <c r="B41" s="91">
        <f>'Population Figures'!F41</f>
        <v>0</v>
      </c>
      <c r="C41" s="253"/>
      <c r="D41" s="253"/>
      <c r="E41" s="253"/>
      <c r="F41" s="253"/>
      <c r="G41" s="253"/>
      <c r="H41" s="92">
        <f>B41*('Population Figures'!G41)*C41</f>
        <v>0</v>
      </c>
      <c r="I41" s="92">
        <f>B41*('Population Figures'!G41)*'Scenario 2 - Nut.Analysis'!B43</f>
        <v>0</v>
      </c>
      <c r="J41" s="92">
        <f>B41*('Population Figures'!G41)*'Scenario 2 - Nut.Analysis'!C43</f>
        <v>0</v>
      </c>
      <c r="K41" s="353" t="str">
        <f>IF('Population Figures'!H41&lt;&gt;"",IF(H41&lt;&gt;"",B41*('Population Figures'!H41)*C41, IF(I41&lt;&gt;"", B41*('Population Figures'!H41)*'Scenario 2 - Nut.Analysis'!B43, IF(J41&lt;&gt;"", B41*('Population Figures'!H41)*'Scenario 2 - Nut.Analysis'!C43, "N/A"))), "N/A")</f>
        <v>N/A</v>
      </c>
      <c r="L41" s="353" t="str">
        <f>IF('Population Figures'!I41&lt;&gt;"",IF(H41&lt;&gt;"",B41*('Population Figures'!I41)*C41, IF(I41&lt;&gt;"", B41*('Population Figures'!I41)*'Scenario 2 - Nut.Analysis'!B43, IF(J41&lt;&gt;"", B41*('Population Figures'!I41)*'Scenario 2 - Nut.Analysis'!C43, "N/A"))), "N/A")</f>
        <v>N/A</v>
      </c>
      <c r="M41" s="92">
        <f>B41*('Population Figures'!G41)</f>
        <v>0</v>
      </c>
      <c r="N41" s="92">
        <f>D41*(B41*'Population Figures'!G41)*'Population Figures'!$C$7</f>
        <v>0</v>
      </c>
      <c r="O41" s="92">
        <f>E41*(B41*'Population Figures'!G41)*'Population Figures'!$C$7</f>
        <v>0</v>
      </c>
      <c r="P41" s="92">
        <f>F41*(B41*'Population Figures'!G41)*'Population Figures'!$C$7</f>
        <v>0</v>
      </c>
      <c r="Q41" s="353" t="str">
        <f>IF('Population Figures'!H41&lt;&gt;"",IF(N41&lt;&gt;"",D41*(B41*'Population Figures'!H41)*'Population Figures'!$C$7, IF(O41&lt;&gt;"", E41*(B41*'Population Figures'!H41)*'Population Figures'!$C$7, IF(P41&lt;&gt;"", F41*(B41*'Population Figures'!H41)*'Population Figures'!$C$7, "N/A"))), "N/A")</f>
        <v>N/A</v>
      </c>
      <c r="R41" s="353" t="str">
        <f>IF('Population Figures'!I41&lt;&gt;"",IF(N41&lt;&gt;"",D41*(B41*'Population Figures'!I41)*'Population Figures'!$C$7, IF(O41&lt;&gt;"", E41*(B41*'Population Figures'!I41)*'Population Figures'!$C$7, IF(P41&lt;&gt;"", F41*(B41*'Population Figures'!I41)*'Population Figures'!$C$7, "N/A"))), "N/A")</f>
        <v>N/A</v>
      </c>
      <c r="S41" s="92">
        <f>IF(N41&lt;&gt;"",N41*'Population Figures'!$C$10,IF(O41&lt;&gt;"",O41*'Population Figures'!$C$10,IF(P41&lt;&gt;"",P41*'Population Figures'!$C$10,"Key Values")))</f>
        <v>0</v>
      </c>
      <c r="T41" s="353" t="str">
        <f>IF(Q41&lt;&gt;"N/A",Q41*'Population Figures'!$C$10,"N/A")</f>
        <v>N/A</v>
      </c>
      <c r="U41" s="353" t="str">
        <f>IF(R41&lt;&gt;"N/A",R41*'Population Figures'!$C$10,"N/A")</f>
        <v>N/A</v>
      </c>
      <c r="V41" s="92">
        <f>IF(N41&lt;&gt;"",
 D41*(B41*ABS('Population Figures'!G41-'Population Figures'!J41))*'Population Figures'!$C$7*'Population Figures'!$C$11,
IF(O41&lt;&gt;"",
E41*(B41*ABS('Population Figures'!G41-'Population Figures'!J41))*'Population Figures'!$C$7*'Population Figures'!$C$11,
IF(P41&lt;&gt;"",
F41*(B41*ABS('Population Figures'!G41-'Population Figures'!J41))*'Population Figures'!$C$7*'Population Figures'!$C$11, "Key Values")))</f>
        <v>0</v>
      </c>
      <c r="W41" s="353" t="str">
        <f>IF('Population Figures'!H41&lt;&gt;"",
IF(N41&lt;&gt;"",D41*(B41*ABS('Population Figures'!H41-'Population Figures'!K41))*'Population Figures'!$C$7,
 IF(O41&lt;&gt;"", E41*(B41*ABS('Population Figures'!H41-'Population Figures'!K41))*'Population Figures'!$C$7,
 IF(P41&lt;&gt;"", F41*(B41*ABS('Population Figures'!H41-'Population Figures'!K41))*'Population Figures'!$C$7, "N/A"))), "N/A")</f>
        <v>N/A</v>
      </c>
      <c r="X41" s="353" t="str">
        <f>IF('Population Figures'!H41&lt;&gt;"",
IF(N41&lt;&gt;"",D41*(B41*ABS('Population Figures'!I41-'Population Figures'!L41))*'Population Figures'!$C$7,
 IF(O41&lt;&gt;"", E41*(B41*ABS('Population Figures'!I41-'Population Figures'!L41))*'Population Figures'!$C$7,
 IF(P41&lt;&gt;"", F41*(B41*ABS('Population Figures'!I41-'Population Figures'!L41))*'Population Figures'!$C$7, "N/A"))), "N/A")</f>
        <v>N/A</v>
      </c>
      <c r="Y41" s="92">
        <f>(C41-D41)*(B41*ABS('Population Figures'!G41-'Population Figures'!J41)*'Population Figures'!$C$8)</f>
        <v>0</v>
      </c>
      <c r="Z41" s="92">
        <f>ABS('Scenario 2 - Nut.Analysis'!C43-E41)*(B41*ABS('Population Figures'!G41-'Population Figures'!J41))*'Population Figures'!$C$8</f>
        <v>0</v>
      </c>
      <c r="AA41" s="92">
        <f>ABS('Scenario 2 - Nut.Analysis'!D43-F41)*(B41*ABS('Population Figures'!G41-'Population Figures'!J41)*'Population Figures'!$C$8)</f>
        <v>0</v>
      </c>
      <c r="AB41" s="353" t="str" cm="1">
        <f t="array" ref="AB41">IF('Population Figures'!H41&lt;&gt;"",IF(N41&lt;&gt;"",(C41-D41)*(ABS('Population Figures'!H41-'Population Figures'!K41)*B41*'Population Figures'!G41)*'Population Figures'!$C$8, IF(O41&lt;&gt;"", ABS('Scenario 2 - Nut.Analysis'!C43-E41)*(ABS('Population Figures'!H41-'Population Figures'!K41)*B41*'Population Figures'!G41)*'Population Figures'!$C$8, IF(P41&lt;&gt;"", AA*(B41*ABS('Population Figures'!H41-'Population Figures'!K41))*'Population Figures'!$C$7, "N/A"))), "N/A")</f>
        <v>N/A</v>
      </c>
      <c r="AC41" s="353" t="str" cm="1">
        <f t="array" ref="AC41">IF('Population Figures'!I41&lt;&gt;"",IF(O41&lt;&gt;"",(D41-E41)*(ABS('Population Figures'!I41-'Population Figures'!L41)*C41*'Population Figures'!H41)*'Population Figures'!$C$8, IF(P41&lt;&gt;"", ABS('Scenario 2 - Nut.Analysis'!D43-F41)*(ABS('Population Figures'!I41-'Population Figures'!L41)*C41*'Population Figures'!H41)*'Population Figures'!$C$8, IF(Q41&lt;&gt;"", AA*(C41*ABS('Population Figures'!I41-'Population Figures'!L41))*'Population Figures'!$C$7, "N/A"))), "N/A")</f>
        <v>N/A</v>
      </c>
      <c r="AD41" s="92">
        <f>Y41*'Population Figures'!$C$12</f>
        <v>0</v>
      </c>
      <c r="AE41" s="92" cm="1">
        <f t="array" ref="AE41">IF(Y41&lt;&gt;"", 'Population Figures'!P41*Y41*'Population Figures'!$C$13,
IF(Z&lt;&gt;"", 'Population Figures'!P41*Z41*'Population Figures'!$C$13,
IF(AA &lt;&gt;"",'Population Figures'!P41*AA41*'Population Figures'!$C$13, "N/A")))</f>
        <v>0</v>
      </c>
      <c r="AF41" s="353" t="str">
        <f>IF('Population Figures'!Q41&lt;&gt;"",'Population Figures'!Q41*Y41*'Population Figures'!$C$13,"N/A")</f>
        <v>N/A</v>
      </c>
      <c r="AG41" s="353" t="str">
        <f>IF('Population Figures'!R41&lt;&gt;"",'Population Figures'!R41*Y41*'Population Figures'!$C$13,"N/A")</f>
        <v>N/A</v>
      </c>
      <c r="AH41" s="92">
        <f>B41*'Population Figures'!S41*'Scenario 2 - Nut.Analysis'!D43</f>
        <v>0</v>
      </c>
      <c r="AI41" s="92">
        <f>B41*'Population Figures'!S41</f>
        <v>0</v>
      </c>
      <c r="AJ41" s="92">
        <f>B41*'Population Figures'!S41*ABS('Scenario 2 - Nut.Analysis'!D43-G41)*'Population Figures'!$C$17</f>
        <v>0</v>
      </c>
      <c r="AK41" s="92">
        <f>B41*'Population Figures'!S41*ABS('Scenario 2 - Nut.Analysis'!D43-G41)*'Population Figures'!$C$18</f>
        <v>0</v>
      </c>
      <c r="AL41" s="92">
        <f>B41*'Population Figures'!U41*'Scenario 2 Contributing Fact'!F44</f>
        <v>0</v>
      </c>
      <c r="AM41" s="353" t="str">
        <f>IF('Population Figures'!W41&lt;&gt;"",B41*'Population Figures'!U41*'Scenario 2 Contributing Fact'!F44*'Population Figures'!W41,"N/A")</f>
        <v>N/A</v>
      </c>
      <c r="AN41" s="353" t="str">
        <f>IF('Population Figures'!V41&lt;&gt;"",B41*'Population Figures'!U41*'Scenario 2 Contributing Fact'!F44*'Population Figures'!V41,"N/A")</f>
        <v>N/A</v>
      </c>
      <c r="AO41" s="92">
        <f>B41*'Population Figures'!U41</f>
        <v>0</v>
      </c>
      <c r="AP41" s="92">
        <f>B41*'Population Figures'!X41*'Scenario 2 Contributing Fact'!G44</f>
        <v>0</v>
      </c>
      <c r="AQ41" s="353" t="str">
        <f>IF('Population Figures'!Y41&lt;&gt;"", 'Population Figures'!Y41*B41*'Population Figures'!X41*'Scenario 2 Contributing Fact'!G44,"N/A")</f>
        <v>N/A</v>
      </c>
      <c r="AR41" s="353" t="str">
        <f>IF('Population Figures'!Z41&lt;&gt;"", 'Population Figures'!Z41*B41*'Population Figures'!X41*'Scenario 2 Contributing Fact'!G44,"N/A")</f>
        <v>N/A</v>
      </c>
      <c r="AS41" s="92">
        <f>I41*'Population Figures'!U41*'Scenario 3 - Nut. Analysis'!J40</f>
        <v>0</v>
      </c>
      <c r="AT41" s="353" t="str">
        <f>IF('Population Figures'!AD41&lt;&gt;"",I41*'Population Figures'!W41*'Scenario 3 - Nut. Analysis'!J40,"N/A")</f>
        <v>N/A</v>
      </c>
      <c r="AU41" s="353" t="str">
        <f>IF('Population Figures'!AC41&lt;&gt;"",I41*'Population Figures'!V41*'Scenario 3 - Nut. Analysis'!J40,"N/A")</f>
        <v>N/A</v>
      </c>
      <c r="AV41" s="92">
        <f>I41*'Population Figures'!U41</f>
        <v>0</v>
      </c>
      <c r="AW41" s="92">
        <f>I41*'Population Figures'!X41*'Scenario 3 - Nut. Analysis'!K40</f>
        <v>0</v>
      </c>
      <c r="AX41" s="353" t="str">
        <f>IF('Population Figures'!Y41&lt;&gt;"", I41*'Population Figures'!Y41*'Scenario 3 - Nut. Analysis'!K40,"N/A")</f>
        <v>N/A</v>
      </c>
      <c r="AY41" s="353" t="str">
        <f>IF('Population Figures'!Z41&lt;&gt;"", I41*'Population Figures'!Z41*'Scenario 3 - Nut. Analysis'!K40,"N/A")</f>
        <v>N/A</v>
      </c>
      <c r="AZ41" s="8"/>
      <c r="BA41" s="8"/>
      <c r="BB41" s="8"/>
      <c r="BC41" s="8"/>
      <c r="BD41" s="8"/>
      <c r="BE41" s="8"/>
      <c r="BF41" s="8"/>
      <c r="BG41" s="8"/>
      <c r="BH41" s="8"/>
      <c r="BI41" s="8"/>
      <c r="BJ41" s="8"/>
      <c r="BK41" s="8"/>
      <c r="BL41" s="8"/>
    </row>
    <row r="42" spans="1:64" s="9" customFormat="1" ht="15" x14ac:dyDescent="0.2">
      <c r="A42" s="89">
        <f>'Population Figures'!E42</f>
        <v>0</v>
      </c>
      <c r="B42" s="91">
        <f>'Population Figures'!F42</f>
        <v>0</v>
      </c>
      <c r="C42" s="253"/>
      <c r="D42" s="253"/>
      <c r="E42" s="253"/>
      <c r="F42" s="253"/>
      <c r="G42" s="253"/>
      <c r="H42" s="92">
        <f>B42*('Population Figures'!G42)*C42</f>
        <v>0</v>
      </c>
      <c r="I42" s="92">
        <f>B42*('Population Figures'!G42)*'Scenario 2 - Nut.Analysis'!B44</f>
        <v>0</v>
      </c>
      <c r="J42" s="92">
        <f>B42*('Population Figures'!G42)*'Scenario 2 - Nut.Analysis'!C44</f>
        <v>0</v>
      </c>
      <c r="K42" s="353" t="str">
        <f>IF('Population Figures'!H42&lt;&gt;"",IF(H42&lt;&gt;"",B42*('Population Figures'!H42)*C42, IF(I42&lt;&gt;"", B42*('Population Figures'!H42)*'Scenario 2 - Nut.Analysis'!B44, IF(J42&lt;&gt;"", B42*('Population Figures'!H42)*'Scenario 2 - Nut.Analysis'!C44, "N/A"))), "N/A")</f>
        <v>N/A</v>
      </c>
      <c r="L42" s="353" t="str">
        <f>IF('Population Figures'!I42&lt;&gt;"",IF(H42&lt;&gt;"",B42*('Population Figures'!I42)*C42, IF(I42&lt;&gt;"", B42*('Population Figures'!I42)*'Scenario 2 - Nut.Analysis'!B44, IF(J42&lt;&gt;"", B42*('Population Figures'!I42)*'Scenario 2 - Nut.Analysis'!C44, "N/A"))), "N/A")</f>
        <v>N/A</v>
      </c>
      <c r="M42" s="92">
        <f>B42*('Population Figures'!G42)</f>
        <v>0</v>
      </c>
      <c r="N42" s="92">
        <f>D42*(B42*'Population Figures'!G42)*'Population Figures'!$C$7</f>
        <v>0</v>
      </c>
      <c r="O42" s="92">
        <f>E42*(B42*'Population Figures'!G42)*'Population Figures'!$C$7</f>
        <v>0</v>
      </c>
      <c r="P42" s="92">
        <f>F42*(B42*'Population Figures'!G42)*'Population Figures'!$C$7</f>
        <v>0</v>
      </c>
      <c r="Q42" s="353" t="str">
        <f>IF('Population Figures'!H42&lt;&gt;"",IF(N42&lt;&gt;"",D42*(B42*'Population Figures'!H42)*'Population Figures'!$C$7, IF(O42&lt;&gt;"", E42*(B42*'Population Figures'!H42)*'Population Figures'!$C$7, IF(P42&lt;&gt;"", F42*(B42*'Population Figures'!H42)*'Population Figures'!$C$7, "N/A"))), "N/A")</f>
        <v>N/A</v>
      </c>
      <c r="R42" s="353" t="str">
        <f>IF('Population Figures'!I42&lt;&gt;"",IF(N42&lt;&gt;"",D42*(B42*'Population Figures'!I42)*'Population Figures'!$C$7, IF(O42&lt;&gt;"", E42*(B42*'Population Figures'!I42)*'Population Figures'!$C$7, IF(P42&lt;&gt;"", F42*(B42*'Population Figures'!I42)*'Population Figures'!$C$7, "N/A"))), "N/A")</f>
        <v>N/A</v>
      </c>
      <c r="S42" s="92">
        <f>IF(N42&lt;&gt;"",N42*'Population Figures'!$C$10,IF(O42&lt;&gt;"",O42*'Population Figures'!$C$10,IF(P42&lt;&gt;"",P42*'Population Figures'!$C$10,"Key Values")))</f>
        <v>0</v>
      </c>
      <c r="T42" s="353" t="str">
        <f>IF(Q42&lt;&gt;"N/A",Q42*'Population Figures'!$C$10,"N/A")</f>
        <v>N/A</v>
      </c>
      <c r="U42" s="353" t="str">
        <f>IF(R42&lt;&gt;"N/A",R42*'Population Figures'!$C$10,"N/A")</f>
        <v>N/A</v>
      </c>
      <c r="V42" s="92">
        <f>IF(N42&lt;&gt;"",
 D42*(B42*ABS('Population Figures'!G42-'Population Figures'!J42))*'Population Figures'!$C$7*'Population Figures'!$C$11,
IF(O42&lt;&gt;"",
E42*(B42*ABS('Population Figures'!G42-'Population Figures'!J42))*'Population Figures'!$C$7*'Population Figures'!$C$11,
IF(P42&lt;&gt;"",
F42*(B42*ABS('Population Figures'!G42-'Population Figures'!J42))*'Population Figures'!$C$7*'Population Figures'!$C$11, "Key Values")))</f>
        <v>0</v>
      </c>
      <c r="W42" s="353" t="str">
        <f>IF('Population Figures'!H42&lt;&gt;"",
IF(N42&lt;&gt;"",D42*(B42*ABS('Population Figures'!H42-'Population Figures'!K42))*'Population Figures'!$C$7,
 IF(O42&lt;&gt;"", E42*(B42*ABS('Population Figures'!H42-'Population Figures'!K42))*'Population Figures'!$C$7,
 IF(P42&lt;&gt;"", F42*(B42*ABS('Population Figures'!H42-'Population Figures'!K42))*'Population Figures'!$C$7, "N/A"))), "N/A")</f>
        <v>N/A</v>
      </c>
      <c r="X42" s="353" t="str">
        <f>IF('Population Figures'!H42&lt;&gt;"",
IF(N42&lt;&gt;"",D42*(B42*ABS('Population Figures'!I42-'Population Figures'!L42))*'Population Figures'!$C$7,
 IF(O42&lt;&gt;"", E42*(B42*ABS('Population Figures'!I42-'Population Figures'!L42))*'Population Figures'!$C$7,
 IF(P42&lt;&gt;"", F42*(B42*ABS('Population Figures'!I42-'Population Figures'!L42))*'Population Figures'!$C$7, "N/A"))), "N/A")</f>
        <v>N/A</v>
      </c>
      <c r="Y42" s="92">
        <f>(C42-D42)*(B42*ABS('Population Figures'!G42-'Population Figures'!J42)*'Population Figures'!$C$8)</f>
        <v>0</v>
      </c>
      <c r="Z42" s="92">
        <f>ABS('Scenario 2 - Nut.Analysis'!C44-E42)*(B42*ABS('Population Figures'!G42-'Population Figures'!J42))*'Population Figures'!$C$8</f>
        <v>0</v>
      </c>
      <c r="AA42" s="92">
        <f>ABS('Scenario 2 - Nut.Analysis'!D44-F42)*(B42*ABS('Population Figures'!G42-'Population Figures'!J42)*'Population Figures'!$C$8)</f>
        <v>0</v>
      </c>
      <c r="AB42" s="353" t="str" cm="1">
        <f t="array" ref="AB42">IF('Population Figures'!H42&lt;&gt;"",IF(N42&lt;&gt;"",(C42-D42)*(ABS('Population Figures'!H42-'Population Figures'!K42)*B42*'Population Figures'!G42)*'Population Figures'!$C$8, IF(O42&lt;&gt;"", ABS('Scenario 2 - Nut.Analysis'!C44-E42)*(ABS('Population Figures'!H42-'Population Figures'!K42)*B42*'Population Figures'!G42)*'Population Figures'!$C$8, IF(P42&lt;&gt;"", AA*(B42*ABS('Population Figures'!H42-'Population Figures'!K42))*'Population Figures'!$C$7, "N/A"))), "N/A")</f>
        <v>N/A</v>
      </c>
      <c r="AC42" s="353" t="str" cm="1">
        <f t="array" ref="AC42">IF('Population Figures'!I42&lt;&gt;"",IF(O42&lt;&gt;"",(D42-E42)*(ABS('Population Figures'!I42-'Population Figures'!L42)*C42*'Population Figures'!H42)*'Population Figures'!$C$8, IF(P42&lt;&gt;"", ABS('Scenario 2 - Nut.Analysis'!D44-F42)*(ABS('Population Figures'!I42-'Population Figures'!L42)*C42*'Population Figures'!H42)*'Population Figures'!$C$8, IF(Q42&lt;&gt;"", AA*(C42*ABS('Population Figures'!I42-'Population Figures'!L42))*'Population Figures'!$C$7, "N/A"))), "N/A")</f>
        <v>N/A</v>
      </c>
      <c r="AD42" s="92">
        <f>Y42*'Population Figures'!$C$12</f>
        <v>0</v>
      </c>
      <c r="AE42" s="92" cm="1">
        <f t="array" ref="AE42">IF(Y42&lt;&gt;"", 'Population Figures'!P42*Y42*'Population Figures'!$C$13,
IF(Z&lt;&gt;"", 'Population Figures'!P42*Z42*'Population Figures'!$C$13,
IF(AA &lt;&gt;"",'Population Figures'!P42*AA42*'Population Figures'!$C$13, "N/A")))</f>
        <v>0</v>
      </c>
      <c r="AF42" s="353" t="str">
        <f>IF('Population Figures'!Q42&lt;&gt;"",'Population Figures'!Q42*Y42*'Population Figures'!$C$13,"N/A")</f>
        <v>N/A</v>
      </c>
      <c r="AG42" s="353" t="str">
        <f>IF('Population Figures'!R42&lt;&gt;"",'Population Figures'!R42*Y42*'Population Figures'!$C$13,"N/A")</f>
        <v>N/A</v>
      </c>
      <c r="AH42" s="92">
        <f>B42*'Population Figures'!S42*'Scenario 2 - Nut.Analysis'!D44</f>
        <v>0</v>
      </c>
      <c r="AI42" s="92">
        <f>B42*'Population Figures'!S42</f>
        <v>0</v>
      </c>
      <c r="AJ42" s="92">
        <f>B42*'Population Figures'!S42*ABS('Scenario 2 - Nut.Analysis'!D44-G42)*'Population Figures'!$C$17</f>
        <v>0</v>
      </c>
      <c r="AK42" s="92">
        <f>B42*'Population Figures'!S42*ABS('Scenario 2 - Nut.Analysis'!D44-G42)*'Population Figures'!$C$18</f>
        <v>0</v>
      </c>
      <c r="AL42" s="92">
        <f>B42*'Population Figures'!U42*'Scenario 2 Contributing Fact'!F45</f>
        <v>0</v>
      </c>
      <c r="AM42" s="353" t="str">
        <f>IF('Population Figures'!W42&lt;&gt;"",B42*'Population Figures'!U42*'Scenario 2 Contributing Fact'!F45*'Population Figures'!W42,"N/A")</f>
        <v>N/A</v>
      </c>
      <c r="AN42" s="353" t="str">
        <f>IF('Population Figures'!V42&lt;&gt;"",B42*'Population Figures'!U42*'Scenario 2 Contributing Fact'!F45*'Population Figures'!V42,"N/A")</f>
        <v>N/A</v>
      </c>
      <c r="AO42" s="92">
        <f>B42*'Population Figures'!U42</f>
        <v>0</v>
      </c>
      <c r="AP42" s="92">
        <f>B42*'Population Figures'!X42*'Scenario 2 Contributing Fact'!G45</f>
        <v>0</v>
      </c>
      <c r="AQ42" s="353" t="str">
        <f>IF('Population Figures'!Y42&lt;&gt;"", 'Population Figures'!Y42*B42*'Population Figures'!X42*'Scenario 2 Contributing Fact'!G45,"N/A")</f>
        <v>N/A</v>
      </c>
      <c r="AR42" s="353" t="str">
        <f>IF('Population Figures'!Z42&lt;&gt;"", 'Population Figures'!Z42*B42*'Population Figures'!X42*'Scenario 2 Contributing Fact'!G45,"N/A")</f>
        <v>N/A</v>
      </c>
      <c r="AS42" s="92">
        <f>I42*'Population Figures'!U42*'Scenario 3 - Nut. Analysis'!J41</f>
        <v>0</v>
      </c>
      <c r="AT42" s="353" t="str">
        <f>IF('Population Figures'!AD42&lt;&gt;"",I42*'Population Figures'!W42*'Scenario 3 - Nut. Analysis'!J41,"N/A")</f>
        <v>N/A</v>
      </c>
      <c r="AU42" s="353" t="str">
        <f>IF('Population Figures'!AC42&lt;&gt;"",I42*'Population Figures'!V42*'Scenario 3 - Nut. Analysis'!J41,"N/A")</f>
        <v>N/A</v>
      </c>
      <c r="AV42" s="92">
        <f>I42*'Population Figures'!U42</f>
        <v>0</v>
      </c>
      <c r="AW42" s="92">
        <f>I42*'Population Figures'!X42*'Scenario 3 - Nut. Analysis'!K41</f>
        <v>0</v>
      </c>
      <c r="AX42" s="353" t="str">
        <f>IF('Population Figures'!Y42&lt;&gt;"", I42*'Population Figures'!Y42*'Scenario 3 - Nut. Analysis'!K41,"N/A")</f>
        <v>N/A</v>
      </c>
      <c r="AY42" s="353" t="str">
        <f>IF('Population Figures'!Z42&lt;&gt;"", I42*'Population Figures'!Z42*'Scenario 3 - Nut. Analysis'!K41,"N/A")</f>
        <v>N/A</v>
      </c>
      <c r="AZ42" s="8"/>
      <c r="BA42" s="8"/>
      <c r="BB42" s="8"/>
      <c r="BC42" s="8"/>
      <c r="BD42" s="8"/>
      <c r="BE42" s="8"/>
      <c r="BF42" s="8"/>
      <c r="BG42" s="8"/>
      <c r="BH42" s="8"/>
      <c r="BI42" s="8"/>
      <c r="BJ42" s="8"/>
      <c r="BK42" s="8"/>
      <c r="BL42" s="8"/>
    </row>
    <row r="43" spans="1:64" x14ac:dyDescent="0.2">
      <c r="A43" s="2"/>
      <c r="B43" s="2"/>
      <c r="C43" s="2"/>
      <c r="D43" s="2"/>
      <c r="E43" s="2"/>
      <c r="F43" s="2"/>
      <c r="G43" s="2"/>
      <c r="AA43" s="2"/>
      <c r="AE43" s="1"/>
      <c r="AF43" s="1"/>
      <c r="AG43" s="1"/>
    </row>
    <row r="44" spans="1:64" x14ac:dyDescent="0.2">
      <c r="A44" s="2"/>
      <c r="B44" s="2"/>
      <c r="C44" s="2"/>
      <c r="D44" s="2"/>
      <c r="E44" s="2"/>
      <c r="F44" s="2"/>
      <c r="G44" s="2"/>
      <c r="AA44" s="2"/>
    </row>
    <row r="45" spans="1:64" x14ac:dyDescent="0.2">
      <c r="A45" s="2"/>
      <c r="B45" s="2"/>
      <c r="C45" s="2"/>
      <c r="D45" s="2"/>
      <c r="E45" s="2"/>
      <c r="F45" s="2"/>
      <c r="G45" s="2"/>
    </row>
  </sheetData>
  <mergeCells count="9">
    <mergeCell ref="AS2:AY2"/>
    <mergeCell ref="AL2:AR2"/>
    <mergeCell ref="A1:Z1"/>
    <mergeCell ref="H2:AK2"/>
    <mergeCell ref="D4:F4"/>
    <mergeCell ref="H4:J4"/>
    <mergeCell ref="N4:P4"/>
    <mergeCell ref="Y4:AA4"/>
    <mergeCell ref="C2:G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AU39"/>
  <sheetViews>
    <sheetView topLeftCell="AB1" workbookViewId="0">
      <selection sqref="A1:R1"/>
    </sheetView>
    <sheetView topLeftCell="G1" workbookViewId="1">
      <selection sqref="A1:R1"/>
    </sheetView>
  </sheetViews>
  <sheetFormatPr defaultColWidth="7.125" defaultRowHeight="12.75" x14ac:dyDescent="0.2"/>
  <cols>
    <col min="1" max="1" width="20" style="1" customWidth="1"/>
    <col min="2" max="2" width="21" style="1" customWidth="1"/>
    <col min="3" max="5" width="20" style="3" customWidth="1"/>
    <col min="6" max="8" width="19.5" style="3" customWidth="1"/>
    <col min="9" max="9" width="20.625" style="2" customWidth="1"/>
    <col min="10" max="10" width="14.375" style="2" customWidth="1"/>
    <col min="11" max="11" width="15.375" style="2" customWidth="1"/>
    <col min="12" max="12" width="37.5" style="1" customWidth="1"/>
    <col min="13" max="13" width="34.375" style="1" customWidth="1"/>
    <col min="14" max="14" width="29.75" style="1" customWidth="1"/>
    <col min="15" max="17" width="19.5" style="1" customWidth="1"/>
    <col min="18" max="20" width="20.875" style="1" customWidth="1"/>
    <col min="21" max="23" width="18.5" style="3" customWidth="1"/>
    <col min="24" max="26" width="27" style="3" customWidth="1"/>
    <col min="27" max="29" width="18.875" style="3" customWidth="1"/>
    <col min="30" max="32" width="18.75" style="3" customWidth="1"/>
    <col min="33" max="47" width="7.125" style="3"/>
    <col min="48" max="16384" width="7.125" style="1"/>
  </cols>
  <sheetData>
    <row r="1" spans="1:47" ht="48" customHeight="1" thickBot="1" x14ac:dyDescent="0.25">
      <c r="A1" s="515" t="s">
        <v>712</v>
      </c>
      <c r="B1" s="515"/>
      <c r="C1" s="515"/>
      <c r="D1" s="515"/>
      <c r="E1" s="515"/>
      <c r="F1" s="515"/>
      <c r="G1" s="515"/>
      <c r="H1" s="515"/>
      <c r="I1" s="515"/>
      <c r="J1" s="515"/>
      <c r="K1" s="515"/>
      <c r="L1" s="515"/>
      <c r="M1" s="515"/>
      <c r="N1" s="515"/>
      <c r="O1" s="515"/>
      <c r="P1" s="515"/>
      <c r="Q1" s="515"/>
      <c r="R1" s="515"/>
      <c r="S1" s="350"/>
      <c r="T1" s="350"/>
    </row>
    <row r="2" spans="1:47" s="9" customFormat="1" ht="18" customHeight="1" thickBot="1" x14ac:dyDescent="0.25">
      <c r="A2" s="56"/>
      <c r="B2" s="56"/>
      <c r="C2" s="543" t="s">
        <v>835</v>
      </c>
      <c r="D2" s="544"/>
      <c r="E2" s="544"/>
      <c r="F2" s="544"/>
      <c r="G2" s="544"/>
      <c r="H2" s="544"/>
      <c r="I2" s="544"/>
      <c r="J2" s="544"/>
      <c r="K2" s="544"/>
      <c r="L2" s="544"/>
      <c r="M2" s="544"/>
      <c r="N2" s="544"/>
      <c r="O2" s="544"/>
      <c r="P2" s="544"/>
      <c r="Q2" s="544"/>
      <c r="R2" s="545"/>
      <c r="S2" s="351"/>
      <c r="T2" s="351"/>
      <c r="U2" s="546" t="s">
        <v>834</v>
      </c>
      <c r="V2" s="547"/>
      <c r="W2" s="547"/>
      <c r="X2" s="547"/>
      <c r="Y2" s="547"/>
      <c r="Z2" s="547"/>
      <c r="AA2" s="547"/>
      <c r="AB2" s="547"/>
      <c r="AC2" s="547"/>
      <c r="AD2" s="547"/>
      <c r="AE2" s="547"/>
      <c r="AF2" s="548"/>
      <c r="AG2" s="8"/>
      <c r="AH2" s="8"/>
      <c r="AI2" s="8"/>
      <c r="AJ2" s="8"/>
      <c r="AK2" s="8"/>
      <c r="AL2" s="8"/>
      <c r="AM2" s="8"/>
      <c r="AN2" s="8"/>
      <c r="AO2" s="8"/>
      <c r="AP2" s="8"/>
      <c r="AQ2" s="8"/>
      <c r="AR2" s="8"/>
      <c r="AS2" s="8"/>
      <c r="AT2" s="8"/>
      <c r="AU2" s="8"/>
    </row>
    <row r="3" spans="1:47" s="5" customFormat="1" ht="53.45" customHeight="1" x14ac:dyDescent="0.25">
      <c r="A3" s="104" t="s">
        <v>516</v>
      </c>
      <c r="B3" s="104" t="s">
        <v>688</v>
      </c>
      <c r="C3" s="300" t="s">
        <v>74</v>
      </c>
      <c r="D3" s="366" t="s">
        <v>893</v>
      </c>
      <c r="E3" s="366" t="s">
        <v>894</v>
      </c>
      <c r="F3" s="53" t="s">
        <v>895</v>
      </c>
      <c r="G3" s="366" t="s">
        <v>896</v>
      </c>
      <c r="H3" s="366" t="s">
        <v>897</v>
      </c>
      <c r="I3" s="53" t="s">
        <v>831</v>
      </c>
      <c r="J3" s="366" t="s">
        <v>898</v>
      </c>
      <c r="K3" s="366" t="s">
        <v>899</v>
      </c>
      <c r="L3" s="53" t="s">
        <v>906</v>
      </c>
      <c r="M3" s="366" t="s">
        <v>930</v>
      </c>
      <c r="N3" s="366" t="s">
        <v>931</v>
      </c>
      <c r="O3" s="53" t="s">
        <v>443</v>
      </c>
      <c r="P3" s="366" t="s">
        <v>900</v>
      </c>
      <c r="Q3" s="366" t="s">
        <v>901</v>
      </c>
      <c r="R3" s="301" t="s">
        <v>557</v>
      </c>
      <c r="S3" s="366" t="s">
        <v>902</v>
      </c>
      <c r="T3" s="366" t="s">
        <v>903</v>
      </c>
      <c r="U3" s="306" t="s">
        <v>504</v>
      </c>
      <c r="V3" s="368" t="s">
        <v>898</v>
      </c>
      <c r="W3" s="368" t="s">
        <v>899</v>
      </c>
      <c r="X3" s="297" t="s">
        <v>877</v>
      </c>
      <c r="Y3" s="368" t="s">
        <v>930</v>
      </c>
      <c r="Z3" s="368" t="s">
        <v>931</v>
      </c>
      <c r="AA3" s="297" t="s">
        <v>443</v>
      </c>
      <c r="AB3" s="368" t="s">
        <v>900</v>
      </c>
      <c r="AC3" s="368" t="s">
        <v>901</v>
      </c>
      <c r="AD3" s="307" t="s">
        <v>557</v>
      </c>
      <c r="AE3" s="368" t="s">
        <v>902</v>
      </c>
      <c r="AF3" s="368" t="s">
        <v>903</v>
      </c>
      <c r="AG3" s="4"/>
      <c r="AH3" s="4"/>
      <c r="AI3" s="4"/>
      <c r="AJ3" s="4"/>
      <c r="AK3" s="4"/>
      <c r="AL3" s="4"/>
      <c r="AM3" s="4"/>
      <c r="AN3" s="4"/>
      <c r="AO3" s="4"/>
      <c r="AP3" s="4"/>
      <c r="AQ3" s="4"/>
      <c r="AR3" s="4"/>
      <c r="AS3" s="4"/>
      <c r="AT3" s="4"/>
      <c r="AU3" s="4"/>
    </row>
    <row r="4" spans="1:47" s="6" customFormat="1" ht="55.15" customHeight="1" x14ac:dyDescent="0.25">
      <c r="A4" s="97" t="s">
        <v>590</v>
      </c>
      <c r="B4" s="298" t="s">
        <v>590</v>
      </c>
      <c r="C4" s="302" t="s">
        <v>832</v>
      </c>
      <c r="D4" s="302" t="s">
        <v>927</v>
      </c>
      <c r="E4" s="302" t="s">
        <v>927</v>
      </c>
      <c r="F4" s="302" t="s">
        <v>832</v>
      </c>
      <c r="G4" s="302" t="s">
        <v>927</v>
      </c>
      <c r="H4" s="302" t="s">
        <v>927</v>
      </c>
      <c r="I4" s="302" t="s">
        <v>832</v>
      </c>
      <c r="J4" s="302" t="s">
        <v>927</v>
      </c>
      <c r="K4" s="302" t="s">
        <v>927</v>
      </c>
      <c r="L4" s="302" t="s">
        <v>832</v>
      </c>
      <c r="M4" s="302" t="s">
        <v>927</v>
      </c>
      <c r="N4" s="302" t="s">
        <v>927</v>
      </c>
      <c r="O4" s="302" t="s">
        <v>832</v>
      </c>
      <c r="P4" s="302" t="s">
        <v>927</v>
      </c>
      <c r="Q4" s="302" t="s">
        <v>927</v>
      </c>
      <c r="R4" s="302" t="s">
        <v>832</v>
      </c>
      <c r="S4" s="302" t="s">
        <v>927</v>
      </c>
      <c r="T4" s="302" t="s">
        <v>927</v>
      </c>
      <c r="U4" s="302" t="s">
        <v>833</v>
      </c>
      <c r="V4" s="302" t="s">
        <v>927</v>
      </c>
      <c r="W4" s="302" t="s">
        <v>927</v>
      </c>
      <c r="X4" s="302" t="s">
        <v>833</v>
      </c>
      <c r="Y4" s="302" t="s">
        <v>927</v>
      </c>
      <c r="Z4" s="302" t="s">
        <v>927</v>
      </c>
      <c r="AA4" s="302" t="s">
        <v>833</v>
      </c>
      <c r="AB4" s="352" t="s">
        <v>927</v>
      </c>
      <c r="AC4" s="367" t="s">
        <v>927</v>
      </c>
      <c r="AD4" s="367" t="s">
        <v>833</v>
      </c>
      <c r="AE4" s="367" t="s">
        <v>927</v>
      </c>
      <c r="AF4" s="367" t="s">
        <v>927</v>
      </c>
    </row>
    <row r="5" spans="1:47" s="9" customFormat="1" x14ac:dyDescent="0.2">
      <c r="A5" s="89" t="str">
        <f>'Population Figures'!E5</f>
        <v>Badakhshan</v>
      </c>
      <c r="B5" s="299">
        <f>'Population Figures'!F5</f>
        <v>2958374.34</v>
      </c>
      <c r="C5" s="303">
        <f>B5*'Population Figures'!G5*'Scenario 2 Contributing Fact'!B8</f>
        <v>47333.989440000005</v>
      </c>
      <c r="D5" s="355" t="str">
        <f>IF('Population Figures'!H5&lt;&gt;"", B5*'Population Figures'!H5*'Scenario 2 Contributing Fact'!B8, "N/A")</f>
        <v>N/A</v>
      </c>
      <c r="E5" s="355" t="str">
        <f>IF('Population Figures'!I5&lt;&gt;"", B5*'Population Figures'!I5*'Scenario 2 Contributing Fact'!B8, "N/A")</f>
        <v>N/A</v>
      </c>
      <c r="F5" s="92">
        <f>B5*('Population Figures'!G5)*'Scenario 2 Contributing Fact'!C8</f>
        <v>56800.787327999999</v>
      </c>
      <c r="G5" s="353" t="str">
        <f>IF('Population Figures'!H5&lt;&gt;"", B5*('Population Figures'!H5)*'Scenario 2 Contributing Fact'!C8, "N/A")</f>
        <v>N/A</v>
      </c>
      <c r="H5" s="353" t="str">
        <f>IF('Population Figures'!I5&lt;&gt;"", B5*('Population Figures'!I5)*'Scenario 2 Contributing Fact'!C8, "N/A")</f>
        <v>N/A</v>
      </c>
      <c r="I5" s="92">
        <f>B5*'Population Figures'!J5*(1-'Scenario 2 Contributing Fact'!H8)</f>
        <v>47925.664307999999</v>
      </c>
      <c r="J5" s="353" t="str">
        <f>IF('Population Figures'!K5&lt;&gt;"", B5*'Population Figures'!K5*(1-'Scenario 2 Contributing Fact'!H8), "N/A")</f>
        <v>N/A</v>
      </c>
      <c r="K5" s="353" t="str">
        <f>IF('Population Figures'!L5&lt;&gt;"", B5*'Population Figures'!L5*(1-'Scenario 2 Contributing Fact'!H8), "N/A")</f>
        <v>N/A</v>
      </c>
      <c r="L5" s="92">
        <f>B5*'Population Figures'!P5*(1-'Scenario 2 Contributing Fact'!K8)</f>
        <v>143776.99292399999</v>
      </c>
      <c r="M5" s="353" t="str">
        <f>IF('Population Figures'!Q5&lt;&gt;"", B5*'Population Figures'!Q5*(1-'Scenario 2 Contributing Fact'!K8), "N/A")</f>
        <v>N/A</v>
      </c>
      <c r="N5" s="353" t="str">
        <f>IF('Population Figures'!R5&lt;&gt;"", B5*'Population Figures'!R5*(1-'Scenario 2 Contributing Fact'!K8), "N/A")</f>
        <v>N/A</v>
      </c>
      <c r="O5" s="92">
        <f>B5*'Population Figures'!J5*(1-'Scenario 2 Contributing Fact'!I8)</f>
        <v>47925.664307999999</v>
      </c>
      <c r="P5" s="356" t="str">
        <f>IF('Population Figures'!K5&lt;&gt;"", B5*'Population Figures'!K5*(1-'Scenario 2 Contributing Fact'!I8), "N/A")</f>
        <v>N/A</v>
      </c>
      <c r="Q5" s="356" t="str">
        <f>IF('Population Figures'!L5&lt;&gt;"", B5*'Population Figures'!L5*(1-'Scenario 2 Contributing Fact'!I8), "N/A")</f>
        <v>N/A</v>
      </c>
      <c r="R5" s="362">
        <f>B5*'Population Figures'!M5*(1-'Scenario 2 Contributing Fact'!J8)</f>
        <v>45263.127401999991</v>
      </c>
      <c r="S5" s="353" t="str">
        <f>IF('Population Figures'!N5&lt;&gt;"", B5*'Population Figures'!N5*(1-'Scenario 2 Contributing Fact'!J8), "N/A")</f>
        <v>N/A</v>
      </c>
      <c r="T5" s="353" t="str">
        <f>IF('Population Figures'!O5&lt;&gt;"", B5*'Population Figures'!O5*(1-'Scenario 2 Contributing Fact'!J8), "N/A")</f>
        <v>N/A</v>
      </c>
      <c r="U5" s="364">
        <f>B5*'Population Figures'!J5*(1-'Scenario 3 - Nut. Analysis'!B4)</f>
        <v>37275.516683999995</v>
      </c>
      <c r="V5" s="355" t="str">
        <f>IF('Population Figures'!K5&lt;&gt;"", B5*'Population Figures'!K5*(1-'Scenario 3 - Nut. Analysis'!B4), "N/A")</f>
        <v>N/A</v>
      </c>
      <c r="W5" s="355" t="str">
        <f>IF('Population Figures'!L5&lt;&gt;"", B5*'Population Figures'!L5*(1-'Scenario 3 - Nut. Analysis'!B4), "N/A")</f>
        <v>N/A</v>
      </c>
      <c r="X5" s="92">
        <f>B5*'Population Figures'!P5*(1-'Scenario 3 - Nut. Analysis'!C4)</f>
        <v>127801.771488</v>
      </c>
      <c r="Y5" s="353" t="str">
        <f>IF('Population Figures'!Q5&lt;&gt;"", B5*'Population Figures'!Q5*(1-'Scenario 3 - Nut. Analysis'!C4), "N/A")</f>
        <v>N/A</v>
      </c>
      <c r="Z5" s="353" t="str">
        <f>IF('Population Figures'!R5&lt;&gt;"",B5*'Population Figures'!R5*(1-'Scenario 3 - Nut. Analysis'!C4),"N/A")</f>
        <v>N/A</v>
      </c>
      <c r="AA5" s="92">
        <f>B5*'Population Figures'!J5*(1-'Scenario 3 - Nut. Analysis'!H4)</f>
        <v>37275.516683999995</v>
      </c>
      <c r="AB5" s="356" t="str">
        <f>IF('Population Figures'!K5&lt;&gt;"", B5*'Population Figures'!K5*(1-'Scenario 3 - Nut. Analysis'!H4), "N/A")</f>
        <v>N/A</v>
      </c>
      <c r="AC5" s="353" t="str">
        <f>IF('Population Figures'!L5&lt;&gt;"", B5*'Population Figures'!L5*(1-'Scenario 3 - Nut. Analysis'!H4), "N/A")</f>
        <v>N/A</v>
      </c>
      <c r="AD5" s="92">
        <f>B5*'Population Figures'!M5*(1-'Scenario 3 - Nut. Analysis'!I4)</f>
        <v>37275.516683999995</v>
      </c>
      <c r="AE5" s="353" t="str">
        <f>IF('Population Figures'!N5&lt;&gt;"", B5*'Population Figures'!N5*(1-'Scenario 3 - Nut. Analysis'!I4), "N/A")</f>
        <v>N/A</v>
      </c>
      <c r="AF5" s="353" t="str">
        <f>IF('Population Figures'!O5&lt;&gt;"", B5*'Population Figures'!O5*(1-'Scenario 3 - Nut. Analysis'!I4), "N/A")</f>
        <v>N/A</v>
      </c>
      <c r="AG5" s="8"/>
      <c r="AH5" s="8"/>
      <c r="AI5" s="8"/>
      <c r="AJ5" s="8"/>
      <c r="AK5" s="8"/>
      <c r="AL5" s="8"/>
      <c r="AM5" s="8"/>
      <c r="AN5" s="8"/>
      <c r="AO5" s="8"/>
      <c r="AP5" s="8"/>
      <c r="AQ5" s="8"/>
      <c r="AR5" s="8"/>
      <c r="AS5" s="8"/>
      <c r="AT5" s="8"/>
      <c r="AU5" s="8"/>
    </row>
    <row r="6" spans="1:47" s="9" customFormat="1" x14ac:dyDescent="0.2">
      <c r="A6" s="89" t="str">
        <f>'Population Figures'!E6</f>
        <v>Badghis</v>
      </c>
      <c r="B6" s="299">
        <f>'Population Figures'!F6</f>
        <v>1542806.1</v>
      </c>
      <c r="C6" s="303">
        <f>B6*'Population Figures'!G6*'Scenario 2 Contributing Fact'!B9</f>
        <v>20827.88235</v>
      </c>
      <c r="D6" s="355" t="str">
        <f>IF('Population Figures'!H6&lt;&gt;"", B6*'Population Figures'!H6*'Scenario 2 Contributing Fact'!B9, "N/A")</f>
        <v>N/A</v>
      </c>
      <c r="E6" s="355" t="str">
        <f>IF('Population Figures'!I6&lt;&gt;"", B6*'Population Figures'!I6*'Scenario 2 Contributing Fact'!B9, "N/A")</f>
        <v>N/A</v>
      </c>
      <c r="F6" s="92">
        <f>B6*('Population Figures'!G6)*'Scenario 2 Contributing Fact'!C9</f>
        <v>57855.228750000002</v>
      </c>
      <c r="G6" s="353" t="str">
        <f>IF('Population Figures'!H6&lt;&gt;"", B6*('Population Figures'!H6)*'Scenario 2 Contributing Fact'!C9, "N/A")</f>
        <v>N/A</v>
      </c>
      <c r="H6" s="353" t="str">
        <f>IF('Population Figures'!I6&lt;&gt;"", B6*('Population Figures'!I6)*'Scenario 2 Contributing Fact'!C9, "N/A")</f>
        <v>N/A</v>
      </c>
      <c r="I6" s="92">
        <f>B6*'Population Figures'!J6*(1-'Scenario 2 Contributing Fact'!H9)</f>
        <v>25271.163918000002</v>
      </c>
      <c r="J6" s="353" t="str">
        <f>IF('Population Figures'!K6&lt;&gt;"", B6*'Population Figures'!K6*(1-'Scenario 2 Contributing Fact'!H9), "N/A")</f>
        <v>N/A</v>
      </c>
      <c r="K6" s="353" t="str">
        <f>IF('Population Figures'!L6&lt;&gt;"", B6*'Population Figures'!L6*(1-'Scenario 2 Contributing Fact'!H9), "N/A")</f>
        <v>N/A</v>
      </c>
      <c r="L6" s="92">
        <f>B6*'Population Figures'!P6*(1-'Scenario 2 Contributing Fact'!K9)</f>
        <v>76646.607048000005</v>
      </c>
      <c r="M6" s="353" t="str">
        <f>IF('Population Figures'!Q6&lt;&gt;"", B6*'Population Figures'!Q6*(1-'Scenario 2 Contributing Fact'!K9), "N/A")</f>
        <v>N/A</v>
      </c>
      <c r="N6" s="353" t="str">
        <f>IF('Population Figures'!R6&lt;&gt;"", B6*'Population Figures'!R6*(1-'Scenario 2 Contributing Fact'!K9), "N/A")</f>
        <v>N/A</v>
      </c>
      <c r="O6" s="92">
        <f>B6*'Population Figures'!J6*(1-'Scenario 2 Contributing Fact'!I9)</f>
        <v>25271.163918000002</v>
      </c>
      <c r="P6" s="356" t="str">
        <f>IF('Population Figures'!K6&lt;&gt;"", B6*'Population Figures'!K6*(1-'Scenario 2 Contributing Fact'!I9), "N/A")</f>
        <v>N/A</v>
      </c>
      <c r="Q6" s="356" t="str">
        <f>IF('Population Figures'!L6&lt;&gt;"", B6*'Population Figures'!L6*(1-'Scenario 2 Contributing Fact'!I9), "N/A")</f>
        <v>N/A</v>
      </c>
      <c r="R6" s="362">
        <f>B6*'Population Figures'!M6*(1-'Scenario 2 Contributing Fact'!J9)</f>
        <v>25271.163918000002</v>
      </c>
      <c r="S6" s="353" t="str">
        <f>IF('Population Figures'!N6&lt;&gt;"", B6*'Population Figures'!N6*(1-'Scenario 2 Contributing Fact'!J9), "N/A")</f>
        <v>N/A</v>
      </c>
      <c r="T6" s="353" t="str">
        <f>IF('Population Figures'!O6&lt;&gt;"", B6*'Population Figures'!O6*(1-'Scenario 2 Contributing Fact'!J9), "N/A")</f>
        <v>N/A</v>
      </c>
      <c r="U6" s="364">
        <f>B6*'Population Figures'!J6*(1-'Scenario 3 - Nut. Analysis'!B5)</f>
        <v>24715.753722000001</v>
      </c>
      <c r="V6" s="355" t="str">
        <f>IF('Population Figures'!K6&lt;&gt;"", B6*'Population Figures'!K6*(1-'Scenario 3 - Nut. Analysis'!B5), "N/A")</f>
        <v>N/A</v>
      </c>
      <c r="W6" s="355" t="str">
        <f>IF('Population Figures'!L6&lt;&gt;"", B6*'Population Figures'!L6*(1-'Scenario 3 - Nut. Analysis'!B5), "N/A")</f>
        <v>N/A</v>
      </c>
      <c r="X6" s="92">
        <f>B6*'Population Figures'!P6*(1-'Scenario 3 - Nut. Analysis'!C5)</f>
        <v>37490.188229999992</v>
      </c>
      <c r="Y6" s="353" t="str">
        <f>IF('Population Figures'!Q6&lt;&gt;"", B6*'Population Figures'!Q6*(1-'Scenario 3 - Nut. Analysis'!C5), "N/A")</f>
        <v>N/A</v>
      </c>
      <c r="Z6" s="353" t="str">
        <f>IF('Population Figures'!R6&lt;&gt;"",B6*'Population Figures'!R6*(1-'Scenario 3 - Nut. Analysis'!C5),"N/A")</f>
        <v>N/A</v>
      </c>
      <c r="AA6" s="92">
        <f>B6*'Population Figures'!J6*(1-'Scenario 3 - Nut. Analysis'!H5)</f>
        <v>13885.2549</v>
      </c>
      <c r="AB6" s="356" t="str">
        <f>IF('Population Figures'!K6&lt;&gt;"", B6*'Population Figures'!K6*(1-'Scenario 3 - Nut. Analysis'!H5), "N/A")</f>
        <v>N/A</v>
      </c>
      <c r="AC6" s="353" t="str">
        <f>IF('Population Figures'!L6&lt;&gt;"", B6*'Population Figures'!L6*(1-'Scenario 3 - Nut. Analysis'!H5), "N/A")</f>
        <v>N/A</v>
      </c>
      <c r="AD6" s="92">
        <f>B6*'Population Figures'!M6*(1-'Scenario 3 - Nut. Analysis'!I5)</f>
        <v>12496.729409999998</v>
      </c>
      <c r="AE6" s="353" t="str">
        <f>IF('Population Figures'!N6&lt;&gt;"", B6*'Population Figures'!N6*(1-'Scenario 3 - Nut. Analysis'!I5), "N/A")</f>
        <v>N/A</v>
      </c>
      <c r="AF6" s="353" t="str">
        <f>IF('Population Figures'!O6&lt;&gt;"", B6*'Population Figures'!O6*(1-'Scenario 3 - Nut. Analysis'!I5), "N/A")</f>
        <v>N/A</v>
      </c>
      <c r="AG6" s="8"/>
      <c r="AH6" s="8"/>
      <c r="AI6" s="8"/>
      <c r="AJ6" s="8"/>
      <c r="AK6" s="8"/>
      <c r="AL6" s="8"/>
      <c r="AM6" s="8"/>
      <c r="AN6" s="8"/>
      <c r="AO6" s="8"/>
      <c r="AP6" s="8"/>
      <c r="AQ6" s="8"/>
      <c r="AR6" s="8"/>
      <c r="AS6" s="8"/>
      <c r="AT6" s="8"/>
      <c r="AU6" s="8"/>
    </row>
    <row r="7" spans="1:47" s="9" customFormat="1" x14ac:dyDescent="0.2">
      <c r="A7" s="89" t="str">
        <f>'Population Figures'!E7</f>
        <v>Baghlan</v>
      </c>
      <c r="B7" s="299">
        <f>'Population Figures'!F7</f>
        <v>2836525.14</v>
      </c>
      <c r="C7" s="303">
        <f>B7*'Population Figures'!G7*'Scenario 2 Contributing Fact'!B10</f>
        <v>81691.924031999995</v>
      </c>
      <c r="D7" s="355" t="str">
        <f>IF('Population Figures'!H7&lt;&gt;"", B7*'Population Figures'!H7*'Scenario 2 Contributing Fact'!B10, "N/A")</f>
        <v>N/A</v>
      </c>
      <c r="E7" s="355" t="str">
        <f>IF('Population Figures'!I7&lt;&gt;"", B7*'Population Figures'!I7*'Scenario 2 Contributing Fact'!B10, "N/A")</f>
        <v>N/A</v>
      </c>
      <c r="F7" s="92">
        <f>B7*('Population Figures'!G7)*'Scenario 2 Contributing Fact'!C10</f>
        <v>49922.842464000001</v>
      </c>
      <c r="G7" s="353" t="str">
        <f>IF('Population Figures'!H7&lt;&gt;"", B7*('Population Figures'!H7)*'Scenario 2 Contributing Fact'!C10, "N/A")</f>
        <v>N/A</v>
      </c>
      <c r="H7" s="353" t="str">
        <f>IF('Population Figures'!I7&lt;&gt;"", B7*('Population Figures'!I7)*'Scenario 2 Contributing Fact'!C10, "N/A")</f>
        <v>N/A</v>
      </c>
      <c r="I7" s="92">
        <f>B7*'Population Figures'!J7*(1-'Scenario 2 Contributing Fact'!H10)</f>
        <v>41867.111066400001</v>
      </c>
      <c r="J7" s="353" t="str">
        <f>IF('Population Figures'!K7&lt;&gt;"", B7*'Population Figures'!K7*(1-'Scenario 2 Contributing Fact'!H10), "N/A")</f>
        <v>N/A</v>
      </c>
      <c r="K7" s="353" t="str">
        <f>IF('Population Figures'!L7&lt;&gt;"", B7*'Population Figures'!L7*(1-'Scenario 2 Contributing Fact'!H10), "N/A")</f>
        <v>N/A</v>
      </c>
      <c r="L7" s="92">
        <f>B7*'Population Figures'!P7*(1-'Scenario 2 Contributing Fact'!K10)</f>
        <v>127133.0567748</v>
      </c>
      <c r="M7" s="353" t="str">
        <f>IF('Population Figures'!Q7&lt;&gt;"", B7*'Population Figures'!Q7*(1-'Scenario 2 Contributing Fact'!K10), "N/A")</f>
        <v>N/A</v>
      </c>
      <c r="N7" s="353" t="str">
        <f>IF('Population Figures'!R7&lt;&gt;"", B7*'Population Figures'!R7*(1-'Scenario 2 Contributing Fact'!K10), "N/A")</f>
        <v>N/A</v>
      </c>
      <c r="O7" s="92">
        <f>B7*'Population Figures'!J7*(1-'Scenario 2 Contributing Fact'!I10)</f>
        <v>41867.111066400001</v>
      </c>
      <c r="P7" s="356" t="str">
        <f>IF('Population Figures'!K7&lt;&gt;"", B7*'Population Figures'!K7*(1-'Scenario 2 Contributing Fact'!I10), "N/A")</f>
        <v>N/A</v>
      </c>
      <c r="Q7" s="356" t="str">
        <f>IF('Population Figures'!L7&lt;&gt;"", B7*'Population Figures'!L7*(1-'Scenario 2 Contributing Fact'!I10), "N/A")</f>
        <v>N/A</v>
      </c>
      <c r="R7" s="362">
        <f>B7*'Population Figures'!M7*(1-'Scenario 2 Contributing Fact'!J10)</f>
        <v>41867.111066400001</v>
      </c>
      <c r="S7" s="353" t="str">
        <f>IF('Population Figures'!N7&lt;&gt;"", B7*'Population Figures'!N7*(1-'Scenario 2 Contributing Fact'!J10), "N/A")</f>
        <v>N/A</v>
      </c>
      <c r="T7" s="353" t="str">
        <f>IF('Population Figures'!O7&lt;&gt;"", B7*'Population Figures'!O7*(1-'Scenario 2 Contributing Fact'!J10), "N/A")</f>
        <v>N/A</v>
      </c>
      <c r="U7" s="364">
        <f>B7*'Population Figures'!J7*(1-'Scenario 3 - Nut. Analysis'!B6)</f>
        <v>41867.111066400001</v>
      </c>
      <c r="V7" s="355" t="str">
        <f>IF('Population Figures'!K7&lt;&gt;"", B7*'Population Figures'!K7*(1-'Scenario 3 - Nut. Analysis'!B6), "N/A")</f>
        <v>N/A</v>
      </c>
      <c r="W7" s="355" t="str">
        <f>IF('Population Figures'!L7&lt;&gt;"", B7*'Population Figures'!L7*(1-'Scenario 3 - Nut. Analysis'!B6), "N/A")</f>
        <v>N/A</v>
      </c>
      <c r="X7" s="92">
        <f>B7*'Population Figures'!P7*(1-'Scenario 3 - Nut. Analysis'!C6)</f>
        <v>125601.33319920002</v>
      </c>
      <c r="Y7" s="353" t="str">
        <f>IF('Population Figures'!Q7&lt;&gt;"", B7*'Population Figures'!Q7*(1-'Scenario 3 - Nut. Analysis'!C6), "N/A")</f>
        <v>N/A</v>
      </c>
      <c r="Z7" s="353" t="str">
        <f>IF('Population Figures'!R7&lt;&gt;"",B7*'Population Figures'!R7*(1-'Scenario 3 - Nut. Analysis'!C6),"N/A")</f>
        <v>N/A</v>
      </c>
      <c r="AA7" s="92">
        <f>B7*'Population Figures'!J7*(1-'Scenario 3 - Nut. Analysis'!H6)</f>
        <v>41867.111066400001</v>
      </c>
      <c r="AB7" s="356" t="str">
        <f>IF('Population Figures'!K7&lt;&gt;"", B7*'Population Figures'!K7*(1-'Scenario 3 - Nut. Analysis'!H6), "N/A")</f>
        <v>N/A</v>
      </c>
      <c r="AC7" s="353" t="str">
        <f>IF('Population Figures'!L7&lt;&gt;"", B7*'Population Figures'!L7*(1-'Scenario 3 - Nut. Analysis'!H6), "N/A")</f>
        <v>N/A</v>
      </c>
      <c r="AD7" s="92">
        <f>B7*'Population Figures'!M7*(1-'Scenario 3 - Nut. Analysis'!I6)</f>
        <v>41867.111066400001</v>
      </c>
      <c r="AE7" s="353" t="str">
        <f>IF('Population Figures'!N7&lt;&gt;"", B7*'Population Figures'!N7*(1-'Scenario 3 - Nut. Analysis'!I6), "N/A")</f>
        <v>N/A</v>
      </c>
      <c r="AF7" s="353" t="str">
        <f>IF('Population Figures'!O7&lt;&gt;"", B7*'Population Figures'!O7*(1-'Scenario 3 - Nut. Analysis'!I6), "N/A")</f>
        <v>N/A</v>
      </c>
      <c r="AG7" s="8"/>
      <c r="AH7" s="8"/>
      <c r="AI7" s="8"/>
      <c r="AJ7" s="8"/>
      <c r="AK7" s="8"/>
      <c r="AL7" s="8"/>
      <c r="AM7" s="8"/>
      <c r="AN7" s="8"/>
      <c r="AO7" s="8"/>
      <c r="AP7" s="8"/>
      <c r="AQ7" s="8"/>
      <c r="AR7" s="8"/>
      <c r="AS7" s="8"/>
      <c r="AT7" s="8"/>
      <c r="AU7" s="8"/>
    </row>
    <row r="8" spans="1:47" s="9" customFormat="1" x14ac:dyDescent="0.2">
      <c r="A8" s="89" t="str">
        <f>'Population Figures'!E8</f>
        <v>Balkh</v>
      </c>
      <c r="B8" s="299">
        <f>'Population Figures'!F8</f>
        <v>4142095.56</v>
      </c>
      <c r="C8" s="303">
        <f>B8*'Population Figures'!G8*'Scenario 2 Contributing Fact'!B11</f>
        <v>46391.470272000006</v>
      </c>
      <c r="D8" s="355" t="str">
        <f>IF('Population Figures'!H8&lt;&gt;"", B8*'Population Figures'!H8*'Scenario 2 Contributing Fact'!B11, "N/A")</f>
        <v>N/A</v>
      </c>
      <c r="E8" s="355" t="str">
        <f>IF('Population Figures'!I8&lt;&gt;"", B8*'Population Figures'!I8*'Scenario 2 Contributing Fact'!B11, "N/A")</f>
        <v>N/A</v>
      </c>
      <c r="F8" s="92">
        <f>B8*('Population Figures'!G8)*'Scenario 2 Contributing Fact'!C11</f>
        <v>37452.45903648602</v>
      </c>
      <c r="G8" s="353" t="str">
        <f>IF('Population Figures'!H8&lt;&gt;"", B8*('Population Figures'!H8)*'Scenario 2 Contributing Fact'!C11, "N/A")</f>
        <v>N/A</v>
      </c>
      <c r="H8" s="353" t="str">
        <f>IF('Population Figures'!I8&lt;&gt;"", B8*('Population Figures'!I8)*'Scenario 2 Contributing Fact'!C11, "N/A")</f>
        <v>N/A</v>
      </c>
      <c r="I8" s="92">
        <f>B8*'Population Figures'!J8*(1-'Scenario 2 Contributing Fact'!H11)</f>
        <v>69338.679674399988</v>
      </c>
      <c r="J8" s="353" t="str">
        <f>IF('Population Figures'!K8&lt;&gt;"", B8*'Population Figures'!K8*(1-'Scenario 2 Contributing Fact'!H11), "N/A")</f>
        <v>N/A</v>
      </c>
      <c r="K8" s="353" t="str">
        <f>IF('Population Figures'!L8&lt;&gt;"", B8*'Population Figures'!L8*(1-'Scenario 2 Contributing Fact'!H11), "N/A")</f>
        <v>N/A</v>
      </c>
      <c r="L8" s="92">
        <f>B8*'Population Figures'!P8*(1-'Scenario 2 Contributing Fact'!K11)</f>
        <v>203542.57581840002</v>
      </c>
      <c r="M8" s="353" t="str">
        <f>IF('Population Figures'!Q8&lt;&gt;"", B8*'Population Figures'!Q8*(1-'Scenario 2 Contributing Fact'!K11), "N/A")</f>
        <v>N/A</v>
      </c>
      <c r="N8" s="353" t="str">
        <f>IF('Population Figures'!R8&lt;&gt;"", B8*'Population Figures'!R8*(1-'Scenario 2 Contributing Fact'!K11), "N/A")</f>
        <v>N/A</v>
      </c>
      <c r="O8" s="92">
        <f>B8*'Population Figures'!J8*(1-'Scenario 2 Contributing Fact'!I11)</f>
        <v>69338.679674399988</v>
      </c>
      <c r="P8" s="356" t="str">
        <f>IF('Population Figures'!K8&lt;&gt;"", B8*'Population Figures'!K8*(1-'Scenario 2 Contributing Fact'!I11), "N/A")</f>
        <v>N/A</v>
      </c>
      <c r="Q8" s="356" t="str">
        <f>IF('Population Figures'!L8&lt;&gt;"", B8*'Population Figures'!L8*(1-'Scenario 2 Contributing Fact'!I11), "N/A")</f>
        <v>N/A</v>
      </c>
      <c r="R8" s="362">
        <f>B8*'Population Figures'!M8*(1-'Scenario 2 Contributing Fact'!J11)</f>
        <v>69338.679674399988</v>
      </c>
      <c r="S8" s="353" t="str">
        <f>IF('Population Figures'!N8&lt;&gt;"", B8*'Population Figures'!N8*(1-'Scenario 2 Contributing Fact'!J11), "N/A")</f>
        <v>N/A</v>
      </c>
      <c r="T8" s="353" t="str">
        <f>IF('Population Figures'!O8&lt;&gt;"", B8*'Population Figures'!O8*(1-'Scenario 2 Contributing Fact'!J11), "N/A")</f>
        <v>N/A</v>
      </c>
      <c r="U8" s="364">
        <f>B8*'Population Figures'!J8*(1-'Scenario 3 - Nut. Analysis'!B7)</f>
        <v>14911.544015999996</v>
      </c>
      <c r="V8" s="355" t="str">
        <f>IF('Population Figures'!K8&lt;&gt;"", B8*'Population Figures'!K8*(1-'Scenario 3 - Nut. Analysis'!B7), "N/A")</f>
        <v>N/A</v>
      </c>
      <c r="W8" s="355" t="str">
        <f>IF('Population Figures'!L8&lt;&gt;"", B8*'Population Figures'!L8*(1-'Scenario 3 - Nut. Analysis'!B7), "N/A")</f>
        <v>N/A</v>
      </c>
      <c r="X8" s="92">
        <f>B8*'Population Figures'!P8*(1-'Scenario 3 - Nut. Analysis'!C7)</f>
        <v>44734.632047999992</v>
      </c>
      <c r="Y8" s="353" t="str">
        <f>IF('Population Figures'!Q8&lt;&gt;"", B8*'Population Figures'!Q8*(1-'Scenario 3 - Nut. Analysis'!C7), "N/A")</f>
        <v>N/A</v>
      </c>
      <c r="Z8" s="353" t="str">
        <f>IF('Population Figures'!R8&lt;&gt;"",B8*'Population Figures'!R8*(1-'Scenario 3 - Nut. Analysis'!C7),"N/A")</f>
        <v>N/A</v>
      </c>
      <c r="AA8" s="92">
        <f>B8*'Population Figures'!J8*(1-'Scenario 3 - Nut. Analysis'!H7)</f>
        <v>14911.544015999996</v>
      </c>
      <c r="AB8" s="356" t="str">
        <f>IF('Population Figures'!K8&lt;&gt;"", B8*'Population Figures'!K8*(1-'Scenario 3 - Nut. Analysis'!H7), "N/A")</f>
        <v>N/A</v>
      </c>
      <c r="AC8" s="353" t="str">
        <f>IF('Population Figures'!L8&lt;&gt;"", B8*'Population Figures'!L8*(1-'Scenario 3 - Nut. Analysis'!H7), "N/A")</f>
        <v>N/A</v>
      </c>
      <c r="AD8" s="92">
        <f>B8*'Population Figures'!M8*(1-'Scenario 3 - Nut. Analysis'!I7)</f>
        <v>14911.544015999996</v>
      </c>
      <c r="AE8" s="353" t="str">
        <f>IF('Population Figures'!N8&lt;&gt;"", B8*'Population Figures'!N8*(1-'Scenario 3 - Nut. Analysis'!I7), "N/A")</f>
        <v>N/A</v>
      </c>
      <c r="AF8" s="353" t="str">
        <f>IF('Population Figures'!O8&lt;&gt;"", B8*'Population Figures'!O8*(1-'Scenario 3 - Nut. Analysis'!I7), "N/A")</f>
        <v>N/A</v>
      </c>
      <c r="AG8" s="8"/>
      <c r="AH8" s="8"/>
      <c r="AI8" s="8"/>
      <c r="AJ8" s="8"/>
      <c r="AK8" s="8"/>
      <c r="AL8" s="8"/>
      <c r="AM8" s="8"/>
      <c r="AN8" s="8"/>
      <c r="AO8" s="8"/>
      <c r="AP8" s="8"/>
      <c r="AQ8" s="8"/>
      <c r="AR8" s="8"/>
      <c r="AS8" s="8"/>
      <c r="AT8" s="8"/>
      <c r="AU8" s="8"/>
    </row>
    <row r="9" spans="1:47" s="9" customFormat="1" x14ac:dyDescent="0.2">
      <c r="A9" s="89" t="str">
        <f>'Population Figures'!E9</f>
        <v>Bamyan</v>
      </c>
      <c r="B9" s="299">
        <f>'Population Figures'!F9</f>
        <v>1391176.98</v>
      </c>
      <c r="C9" s="303">
        <f>B9*'Population Figures'!G9*'Scenario 2 Contributing Fact'!B12</f>
        <v>13355.299008</v>
      </c>
      <c r="D9" s="355" t="str">
        <f>IF('Population Figures'!H9&lt;&gt;"", B9*'Population Figures'!H9*'Scenario 2 Contributing Fact'!B12, "N/A")</f>
        <v>N/A</v>
      </c>
      <c r="E9" s="355" t="str">
        <f>IF('Population Figures'!I9&lt;&gt;"", B9*'Population Figures'!I9*'Scenario 2 Contributing Fact'!B12, "N/A")</f>
        <v>N/A</v>
      </c>
      <c r="F9" s="92">
        <f>B9*('Population Figures'!G9)*'Scenario 2 Contributing Fact'!C12</f>
        <v>11086.495266098498</v>
      </c>
      <c r="G9" s="353" t="str">
        <f>IF('Population Figures'!H9&lt;&gt;"", B9*('Population Figures'!H9)*'Scenario 2 Contributing Fact'!C12, "N/A")</f>
        <v>N/A</v>
      </c>
      <c r="H9" s="353" t="str">
        <f>IF('Population Figures'!I9&lt;&gt;"", B9*('Population Figures'!I9)*'Scenario 2 Contributing Fact'!C12, "N/A")</f>
        <v>N/A</v>
      </c>
      <c r="I9" s="92">
        <f>B9*'Population Figures'!J9*(1-'Scenario 2 Contributing Fact'!H12)</f>
        <v>23538.714501599996</v>
      </c>
      <c r="J9" s="353" t="str">
        <f>IF('Population Figures'!K9&lt;&gt;"", B9*'Population Figures'!K9*(1-'Scenario 2 Contributing Fact'!H12), "N/A")</f>
        <v>N/A</v>
      </c>
      <c r="K9" s="353" t="str">
        <f>IF('Population Figures'!L9&lt;&gt;"", B9*'Population Figures'!L9*(1-'Scenario 2 Contributing Fact'!H12), "N/A")</f>
        <v>N/A</v>
      </c>
      <c r="L9" s="92">
        <f>B9*'Population Figures'!P9*(1-'Scenario 2 Contributing Fact'!K12)</f>
        <v>69113.672366400002</v>
      </c>
      <c r="M9" s="353" t="str">
        <f>IF('Population Figures'!Q9&lt;&gt;"", B9*'Population Figures'!Q9*(1-'Scenario 2 Contributing Fact'!K12), "N/A")</f>
        <v>N/A</v>
      </c>
      <c r="N9" s="353" t="str">
        <f>IF('Population Figures'!R9&lt;&gt;"", B9*'Population Figures'!R9*(1-'Scenario 2 Contributing Fact'!K12), "N/A")</f>
        <v>N/A</v>
      </c>
      <c r="O9" s="92">
        <f>B9*'Population Figures'!J9*(1-'Scenario 2 Contributing Fact'!I12)</f>
        <v>23538.714501599996</v>
      </c>
      <c r="P9" s="356" t="str">
        <f>IF('Population Figures'!K9&lt;&gt;"", B9*'Population Figures'!K9*(1-'Scenario 2 Contributing Fact'!I12), "N/A")</f>
        <v>N/A</v>
      </c>
      <c r="Q9" s="356" t="str">
        <f>IF('Population Figures'!L9&lt;&gt;"", B9*'Population Figures'!L9*(1-'Scenario 2 Contributing Fact'!I12), "N/A")</f>
        <v>N/A</v>
      </c>
      <c r="R9" s="362">
        <f>B9*'Population Figures'!M9*(1-'Scenario 2 Contributing Fact'!J12)</f>
        <v>23538.714501599996</v>
      </c>
      <c r="S9" s="353" t="str">
        <f>IF('Population Figures'!N9&lt;&gt;"", B9*'Population Figures'!N9*(1-'Scenario 2 Contributing Fact'!J12), "N/A")</f>
        <v>N/A</v>
      </c>
      <c r="T9" s="353" t="str">
        <f>IF('Population Figures'!O9&lt;&gt;"", B9*'Population Figures'!O9*(1-'Scenario 2 Contributing Fact'!J12), "N/A")</f>
        <v>N/A</v>
      </c>
      <c r="U9" s="364">
        <f>B9*'Population Figures'!J9*(1-'Scenario 3 - Nut. Analysis'!B8)</f>
        <v>23538.714501599996</v>
      </c>
      <c r="V9" s="355" t="str">
        <f>IF('Population Figures'!K9&lt;&gt;"", B9*'Population Figures'!K9*(1-'Scenario 3 - Nut. Analysis'!B8), "N/A")</f>
        <v>N/A</v>
      </c>
      <c r="W9" s="355" t="str">
        <f>IF('Population Figures'!L9&lt;&gt;"", B9*'Population Figures'!L9*(1-'Scenario 3 - Nut. Analysis'!B8), "N/A")</f>
        <v>N/A</v>
      </c>
      <c r="X9" s="92">
        <f>B9*'Population Figures'!P9*(1-'Scenario 3 - Nut. Analysis'!C8)</f>
        <v>70616.143504799998</v>
      </c>
      <c r="Y9" s="353" t="str">
        <f>IF('Population Figures'!Q9&lt;&gt;"", B9*'Population Figures'!Q9*(1-'Scenario 3 - Nut. Analysis'!C8), "N/A")</f>
        <v>N/A</v>
      </c>
      <c r="Z9" s="353" t="str">
        <f>IF('Population Figures'!R9&lt;&gt;"",B9*'Population Figures'!R9*(1-'Scenario 3 - Nut. Analysis'!C8),"N/A")</f>
        <v>N/A</v>
      </c>
      <c r="AA9" s="92">
        <f>B9*'Population Figures'!J9*(1-'Scenario 3 - Nut. Analysis'!H8)</f>
        <v>23538.714501599996</v>
      </c>
      <c r="AB9" s="356" t="str">
        <f>IF('Population Figures'!K9&lt;&gt;"", B9*'Population Figures'!K9*(1-'Scenario 3 - Nut. Analysis'!H8), "N/A")</f>
        <v>N/A</v>
      </c>
      <c r="AC9" s="353" t="str">
        <f>IF('Population Figures'!L9&lt;&gt;"", B9*'Population Figures'!L9*(1-'Scenario 3 - Nut. Analysis'!H8), "N/A")</f>
        <v>N/A</v>
      </c>
      <c r="AD9" s="92">
        <f>B9*'Population Figures'!M9*(1-'Scenario 3 - Nut. Analysis'!I8)</f>
        <v>23538.714501599996</v>
      </c>
      <c r="AE9" s="353" t="str">
        <f>IF('Population Figures'!N9&lt;&gt;"", B9*'Population Figures'!N9*(1-'Scenario 3 - Nut. Analysis'!I8), "N/A")</f>
        <v>N/A</v>
      </c>
      <c r="AF9" s="353" t="str">
        <f>IF('Population Figures'!O9&lt;&gt;"", B9*'Population Figures'!O9*(1-'Scenario 3 - Nut. Analysis'!I8), "N/A")</f>
        <v>N/A</v>
      </c>
      <c r="AG9" s="8"/>
      <c r="AH9" s="8"/>
      <c r="AI9" s="8"/>
      <c r="AJ9" s="8"/>
      <c r="AK9" s="8"/>
      <c r="AL9" s="8"/>
      <c r="AM9" s="8"/>
      <c r="AN9" s="8"/>
      <c r="AO9" s="8"/>
      <c r="AP9" s="8"/>
      <c r="AQ9" s="8"/>
      <c r="AR9" s="8"/>
      <c r="AS9" s="8"/>
      <c r="AT9" s="8"/>
      <c r="AU9" s="8"/>
    </row>
    <row r="10" spans="1:47" s="9" customFormat="1" x14ac:dyDescent="0.2">
      <c r="A10" s="89" t="str">
        <f>'Population Figures'!E10</f>
        <v>Dykundi</v>
      </c>
      <c r="B10" s="299">
        <f>'Population Figures'!F10</f>
        <v>1432624.68</v>
      </c>
      <c r="C10" s="303">
        <f>B10*'Population Figures'!G10*'Scenario 2 Contributing Fact'!B13</f>
        <v>11460.997439999999</v>
      </c>
      <c r="D10" s="355" t="str">
        <f>IF('Population Figures'!H10&lt;&gt;"", B10*'Population Figures'!H10*'Scenario 2 Contributing Fact'!B13, "N/A")</f>
        <v>N/A</v>
      </c>
      <c r="E10" s="355" t="str">
        <f>IF('Population Figures'!I10&lt;&gt;"", B10*'Population Figures'!I10*'Scenario 2 Contributing Fact'!B13, "N/A")</f>
        <v>N/A</v>
      </c>
      <c r="F10" s="92">
        <f>B10*('Population Figures'!G10)*'Scenario 2 Contributing Fact'!C13</f>
        <v>12105.264699616466</v>
      </c>
      <c r="G10" s="353" t="str">
        <f>IF('Population Figures'!H10&lt;&gt;"", B10*('Population Figures'!H10)*'Scenario 2 Contributing Fact'!C13, "N/A")</f>
        <v>N/A</v>
      </c>
      <c r="H10" s="353" t="str">
        <f>IF('Population Figures'!I10&lt;&gt;"", B10*('Population Figures'!I10)*'Scenario 2 Contributing Fact'!C13, "N/A")</f>
        <v>N/A</v>
      </c>
      <c r="I10" s="92">
        <f>B10*'Population Figures'!J10*(1-'Scenario 2 Contributing Fact'!H13)</f>
        <v>24497.882027999996</v>
      </c>
      <c r="J10" s="353" t="str">
        <f>IF('Population Figures'!K10&lt;&gt;"", B10*'Population Figures'!K10*(1-'Scenario 2 Contributing Fact'!H13), "N/A")</f>
        <v>N/A</v>
      </c>
      <c r="K10" s="353" t="str">
        <f>IF('Population Figures'!L10&lt;&gt;"", B10*'Population Figures'!L10*(1-'Scenario 2 Contributing Fact'!H13), "N/A")</f>
        <v>N/A</v>
      </c>
      <c r="L10" s="92">
        <f>B10*'Population Figures'!P10*(1-'Scenario 2 Contributing Fact'!K13)</f>
        <v>75040.880738399996</v>
      </c>
      <c r="M10" s="353" t="str">
        <f>IF('Population Figures'!Q10&lt;&gt;"", B10*'Population Figures'!Q10*(1-'Scenario 2 Contributing Fact'!K13), "N/A")</f>
        <v>N/A</v>
      </c>
      <c r="N10" s="353" t="str">
        <f>IF('Population Figures'!R10&lt;&gt;"", B10*'Population Figures'!R10*(1-'Scenario 2 Contributing Fact'!K13), "N/A")</f>
        <v>N/A</v>
      </c>
      <c r="O10" s="92">
        <f>B10*'Population Figures'!J10*(1-'Scenario 2 Contributing Fact'!I13)</f>
        <v>24497.882027999996</v>
      </c>
      <c r="P10" s="356" t="str">
        <f>IF('Population Figures'!K10&lt;&gt;"", B10*'Population Figures'!K10*(1-'Scenario 2 Contributing Fact'!I13), "N/A")</f>
        <v>N/A</v>
      </c>
      <c r="Q10" s="356" t="str">
        <f>IF('Population Figures'!L10&lt;&gt;"", B10*'Population Figures'!L10*(1-'Scenario 2 Contributing Fact'!I13), "N/A")</f>
        <v>N/A</v>
      </c>
      <c r="R10" s="362">
        <f>B10*'Population Figures'!M10*(1-'Scenario 2 Contributing Fact'!J13)</f>
        <v>24497.882027999996</v>
      </c>
      <c r="S10" s="353" t="str">
        <f>IF('Population Figures'!N10&lt;&gt;"", B10*'Population Figures'!N10*(1-'Scenario 2 Contributing Fact'!J13), "N/A")</f>
        <v>N/A</v>
      </c>
      <c r="T10" s="353" t="str">
        <f>IF('Population Figures'!O10&lt;&gt;"", B10*'Population Figures'!O10*(1-'Scenario 2 Contributing Fact'!J13), "N/A")</f>
        <v>N/A</v>
      </c>
      <c r="U10" s="364">
        <f>B10*'Population Figures'!J10*(1-'Scenario 3 - Nut. Analysis'!B9)</f>
        <v>18051.070967999996</v>
      </c>
      <c r="V10" s="355" t="str">
        <f>IF('Population Figures'!K10&lt;&gt;"", B10*'Population Figures'!K10*(1-'Scenario 3 - Nut. Analysis'!B9), "N/A")</f>
        <v>N/A</v>
      </c>
      <c r="W10" s="355" t="str">
        <f>IF('Population Figures'!L10&lt;&gt;"", B10*'Population Figures'!L10*(1-'Scenario 3 - Nut. Analysis'!B9), "N/A")</f>
        <v>N/A</v>
      </c>
      <c r="X10" s="92">
        <f>B10*'Population Figures'!P10*(1-'Scenario 3 - Nut. Analysis'!C9)</f>
        <v>54153.212904</v>
      </c>
      <c r="Y10" s="353" t="str">
        <f>IF('Population Figures'!Q10&lt;&gt;"", B10*'Population Figures'!Q10*(1-'Scenario 3 - Nut. Analysis'!C9), "N/A")</f>
        <v>N/A</v>
      </c>
      <c r="Z10" s="353" t="str">
        <f>IF('Population Figures'!R10&lt;&gt;"",B10*'Population Figures'!R10*(1-'Scenario 3 - Nut. Analysis'!C9),"N/A")</f>
        <v>N/A</v>
      </c>
      <c r="AA10" s="92">
        <f>B10*'Population Figures'!J10*(1-'Scenario 3 - Nut. Analysis'!H9)</f>
        <v>18051.070967999996</v>
      </c>
      <c r="AB10" s="356" t="str">
        <f>IF('Population Figures'!K10&lt;&gt;"", B10*'Population Figures'!K10*(1-'Scenario 3 - Nut. Analysis'!H9), "N/A")</f>
        <v>N/A</v>
      </c>
      <c r="AC10" s="353" t="str">
        <f>IF('Population Figures'!L10&lt;&gt;"", B10*'Population Figures'!L10*(1-'Scenario 3 - Nut. Analysis'!H9), "N/A")</f>
        <v>N/A</v>
      </c>
      <c r="AD10" s="92">
        <f>B10*'Population Figures'!M10*(1-'Scenario 3 - Nut. Analysis'!I9)</f>
        <v>18051.070967999996</v>
      </c>
      <c r="AE10" s="353" t="str">
        <f>IF('Population Figures'!N10&lt;&gt;"", B10*'Population Figures'!N10*(1-'Scenario 3 - Nut. Analysis'!I9), "N/A")</f>
        <v>N/A</v>
      </c>
      <c r="AF10" s="353" t="str">
        <f>IF('Population Figures'!O10&lt;&gt;"", B10*'Population Figures'!O10*(1-'Scenario 3 - Nut. Analysis'!I9), "N/A")</f>
        <v>N/A</v>
      </c>
      <c r="AG10" s="8"/>
      <c r="AH10" s="8"/>
      <c r="AI10" s="8"/>
      <c r="AJ10" s="8"/>
      <c r="AK10" s="8"/>
      <c r="AL10" s="8"/>
      <c r="AM10" s="8"/>
      <c r="AN10" s="8"/>
      <c r="AO10" s="8"/>
      <c r="AP10" s="8"/>
      <c r="AQ10" s="8"/>
      <c r="AR10" s="8"/>
      <c r="AS10" s="8"/>
      <c r="AT10" s="8"/>
      <c r="AU10" s="8"/>
    </row>
    <row r="11" spans="1:47" s="9" customFormat="1" x14ac:dyDescent="0.2">
      <c r="A11" s="89" t="str">
        <f>'Population Figures'!E11</f>
        <v>Farah</v>
      </c>
      <c r="B11" s="299">
        <f>'Population Figures'!F11</f>
        <v>1578877.38</v>
      </c>
      <c r="C11" s="303">
        <f>B11*'Population Figures'!G11*'Scenario 2 Contributing Fact'!B14</f>
        <v>10104.815231999999</v>
      </c>
      <c r="D11" s="355" t="str">
        <f>IF('Population Figures'!H11&lt;&gt;"", B11*'Population Figures'!H11*'Scenario 2 Contributing Fact'!B14, "N/A")</f>
        <v>N/A</v>
      </c>
      <c r="E11" s="355" t="str">
        <f>IF('Population Figures'!I11&lt;&gt;"", B11*'Population Figures'!I11*'Scenario 2 Contributing Fact'!B14, "N/A")</f>
        <v>N/A</v>
      </c>
      <c r="F11" s="92">
        <f>B11*('Population Figures'!G11)*'Scenario 2 Contributing Fact'!C14</f>
        <v>9960.1842687699391</v>
      </c>
      <c r="G11" s="353" t="str">
        <f>IF('Population Figures'!H11&lt;&gt;"", B11*('Population Figures'!H11)*'Scenario 2 Contributing Fact'!C14, "N/A")</f>
        <v>N/A</v>
      </c>
      <c r="H11" s="353" t="str">
        <f>IF('Population Figures'!I11&lt;&gt;"", B11*('Population Figures'!I11)*'Scenario 2 Contributing Fact'!C14, "N/A")</f>
        <v>N/A</v>
      </c>
      <c r="I11" s="92">
        <f>B11*'Population Figures'!J11*(1-'Scenario 2 Contributing Fact'!H14)</f>
        <v>27283.001126399995</v>
      </c>
      <c r="J11" s="353" t="str">
        <f>IF('Population Figures'!K11&lt;&gt;"", B11*'Population Figures'!K11*(1-'Scenario 2 Contributing Fact'!H14), "N/A")</f>
        <v>N/A</v>
      </c>
      <c r="K11" s="353" t="str">
        <f>IF('Population Figures'!L11&lt;&gt;"", B11*'Population Figures'!L11*(1-'Scenario 2 Contributing Fact'!H14), "N/A")</f>
        <v>N/A</v>
      </c>
      <c r="L11" s="92">
        <f>B11*'Population Figures'!P11*(1-'Scenario 2 Contributing Fact'!K14)</f>
        <v>80996.409593999997</v>
      </c>
      <c r="M11" s="353" t="str">
        <f>IF('Population Figures'!Q11&lt;&gt;"", B11*'Population Figures'!Q11*(1-'Scenario 2 Contributing Fact'!K14), "N/A")</f>
        <v>N/A</v>
      </c>
      <c r="N11" s="353" t="str">
        <f>IF('Population Figures'!R11&lt;&gt;"", B11*'Population Figures'!R11*(1-'Scenario 2 Contributing Fact'!K14), "N/A")</f>
        <v>N/A</v>
      </c>
      <c r="O11" s="92">
        <f>B11*'Population Figures'!J11*(1-'Scenario 2 Contributing Fact'!I14)</f>
        <v>27283.001126399995</v>
      </c>
      <c r="P11" s="356" t="str">
        <f>IF('Population Figures'!K11&lt;&gt;"", B11*'Population Figures'!K11*(1-'Scenario 2 Contributing Fact'!I14), "N/A")</f>
        <v>N/A</v>
      </c>
      <c r="Q11" s="356" t="str">
        <f>IF('Population Figures'!L11&lt;&gt;"", B11*'Population Figures'!L11*(1-'Scenario 2 Contributing Fact'!I14), "N/A")</f>
        <v>N/A</v>
      </c>
      <c r="R11" s="362">
        <f>B11*'Population Figures'!M11*(1-'Scenario 2 Contributing Fact'!J14)</f>
        <v>27283.001126399995</v>
      </c>
      <c r="S11" s="353" t="str">
        <f>IF('Population Figures'!N11&lt;&gt;"", B11*'Population Figures'!N11*(1-'Scenario 2 Contributing Fact'!J14), "N/A")</f>
        <v>N/A</v>
      </c>
      <c r="T11" s="353" t="str">
        <f>IF('Population Figures'!O11&lt;&gt;"", B11*'Population Figures'!O11*(1-'Scenario 2 Contributing Fact'!J14), "N/A")</f>
        <v>N/A</v>
      </c>
      <c r="U11" s="364">
        <f>B11*'Population Figures'!J11*(1-'Scenario 3 - Nut. Analysis'!B10)</f>
        <v>27283.001126399995</v>
      </c>
      <c r="V11" s="355" t="str">
        <f>IF('Population Figures'!K11&lt;&gt;"", B11*'Population Figures'!K11*(1-'Scenario 3 - Nut. Analysis'!B10), "N/A")</f>
        <v>N/A</v>
      </c>
      <c r="W11" s="355" t="str">
        <f>IF('Population Figures'!L11&lt;&gt;"", B11*'Population Figures'!L11*(1-'Scenario 3 - Nut. Analysis'!B10), "N/A")</f>
        <v>N/A</v>
      </c>
      <c r="X11" s="92">
        <f>B11*'Population Figures'!P11*(1-'Scenario 3 - Nut. Analysis'!C10)</f>
        <v>81849.003379199989</v>
      </c>
      <c r="Y11" s="353" t="str">
        <f>IF('Population Figures'!Q11&lt;&gt;"", B11*'Population Figures'!Q11*(1-'Scenario 3 - Nut. Analysis'!C10), "N/A")</f>
        <v>N/A</v>
      </c>
      <c r="Z11" s="353" t="str">
        <f>IF('Population Figures'!R11&lt;&gt;"",B11*'Population Figures'!R11*(1-'Scenario 3 - Nut. Analysis'!C10),"N/A")</f>
        <v>N/A</v>
      </c>
      <c r="AA11" s="92">
        <f>B11*'Population Figures'!J11*(1-'Scenario 3 - Nut. Analysis'!H10)</f>
        <v>27283.001126399995</v>
      </c>
      <c r="AB11" s="356" t="str">
        <f>IF('Population Figures'!K11&lt;&gt;"", B11*'Population Figures'!K11*(1-'Scenario 3 - Nut. Analysis'!H10), "N/A")</f>
        <v>N/A</v>
      </c>
      <c r="AC11" s="353" t="str">
        <f>IF('Population Figures'!L11&lt;&gt;"", B11*'Population Figures'!L11*(1-'Scenario 3 - Nut. Analysis'!H10), "N/A")</f>
        <v>N/A</v>
      </c>
      <c r="AD11" s="92">
        <f>B11*'Population Figures'!M11*(1-'Scenario 3 - Nut. Analysis'!I10)</f>
        <v>27283.001126399995</v>
      </c>
      <c r="AE11" s="353" t="str">
        <f>IF('Population Figures'!N11&lt;&gt;"", B11*'Population Figures'!N11*(1-'Scenario 3 - Nut. Analysis'!I10), "N/A")</f>
        <v>N/A</v>
      </c>
      <c r="AF11" s="353" t="str">
        <f>IF('Population Figures'!O11&lt;&gt;"", B11*'Population Figures'!O11*(1-'Scenario 3 - Nut. Analysis'!I10), "N/A")</f>
        <v>N/A</v>
      </c>
      <c r="AG11" s="8"/>
      <c r="AH11" s="8"/>
      <c r="AI11" s="8"/>
      <c r="AJ11" s="8"/>
      <c r="AK11" s="8"/>
      <c r="AL11" s="8"/>
      <c r="AM11" s="8"/>
      <c r="AN11" s="8"/>
      <c r="AO11" s="8"/>
      <c r="AP11" s="8"/>
      <c r="AQ11" s="8"/>
      <c r="AR11" s="8"/>
      <c r="AS11" s="8"/>
      <c r="AT11" s="8"/>
      <c r="AU11" s="8"/>
    </row>
    <row r="12" spans="1:47" s="9" customFormat="1" x14ac:dyDescent="0.2">
      <c r="A12" s="89" t="str">
        <f>'Population Figures'!E12</f>
        <v>Faryab</v>
      </c>
      <c r="B12" s="299">
        <f>'Population Figures'!F12</f>
        <v>3106925.1</v>
      </c>
      <c r="C12" s="303">
        <f>B12*'Population Figures'!G12*'Scenario 2 Contributing Fact'!B15</f>
        <v>19884.320640000002</v>
      </c>
      <c r="D12" s="355" t="str">
        <f>IF('Population Figures'!H12&lt;&gt;"", B12*'Population Figures'!H12*'Scenario 2 Contributing Fact'!B15, "N/A")</f>
        <v>N/A</v>
      </c>
      <c r="E12" s="355" t="str">
        <f>IF('Population Figures'!I12&lt;&gt;"", B12*'Population Figures'!I12*'Scenario 2 Contributing Fact'!B15, "N/A")</f>
        <v>N/A</v>
      </c>
      <c r="F12" s="92">
        <f>B12*('Population Figures'!G12)*'Scenario 2 Contributing Fact'!C15</f>
        <v>18564.591907446607</v>
      </c>
      <c r="G12" s="353" t="str">
        <f>IF('Population Figures'!H12&lt;&gt;"", B12*('Population Figures'!H12)*'Scenario 2 Contributing Fact'!C15, "N/A")</f>
        <v>N/A</v>
      </c>
      <c r="H12" s="353" t="str">
        <f>IF('Population Figures'!I12&lt;&gt;"", B12*('Population Figures'!I12)*'Scenario 2 Contributing Fact'!C15, "N/A")</f>
        <v>N/A</v>
      </c>
      <c r="I12" s="92">
        <f>B12*'Population Figures'!J12*(1-'Scenario 2 Contributing Fact'!H15)</f>
        <v>53687.665728</v>
      </c>
      <c r="J12" s="353" t="str">
        <f>IF('Population Figures'!K12&lt;&gt;"", B12*'Population Figures'!K12*(1-'Scenario 2 Contributing Fact'!H15), "N/A")</f>
        <v>N/A</v>
      </c>
      <c r="K12" s="353" t="str">
        <f>IF('Population Figures'!L12&lt;&gt;"", B12*'Population Figures'!L12*(1-'Scenario 2 Contributing Fact'!H15), "N/A")</f>
        <v>N/A</v>
      </c>
      <c r="L12" s="92">
        <f>B12*'Population Figures'!P12*(1-'Scenario 2 Contributing Fact'!K15)</f>
        <v>162740.73673800001</v>
      </c>
      <c r="M12" s="353" t="str">
        <f>IF('Population Figures'!Q12&lt;&gt;"", B12*'Population Figures'!Q12*(1-'Scenario 2 Contributing Fact'!K15), "N/A")</f>
        <v>N/A</v>
      </c>
      <c r="N12" s="353" t="str">
        <f>IF('Population Figures'!R12&lt;&gt;"", B12*'Population Figures'!R12*(1-'Scenario 2 Contributing Fact'!K15), "N/A")</f>
        <v>N/A</v>
      </c>
      <c r="O12" s="92">
        <f>B12*'Population Figures'!J12*(1-'Scenario 2 Contributing Fact'!I15)</f>
        <v>53687.665728</v>
      </c>
      <c r="P12" s="356" t="str">
        <f>IF('Population Figures'!K12&lt;&gt;"", B12*'Population Figures'!K12*(1-'Scenario 2 Contributing Fact'!I15), "N/A")</f>
        <v>N/A</v>
      </c>
      <c r="Q12" s="356" t="str">
        <f>IF('Population Figures'!L12&lt;&gt;"", B12*'Population Figures'!L12*(1-'Scenario 2 Contributing Fact'!I15), "N/A")</f>
        <v>N/A</v>
      </c>
      <c r="R12" s="362">
        <f>B12*'Population Figures'!M12*(1-'Scenario 2 Contributing Fact'!J15)</f>
        <v>53687.665728</v>
      </c>
      <c r="S12" s="353" t="str">
        <f>IF('Population Figures'!N12&lt;&gt;"", B12*'Population Figures'!N12*(1-'Scenario 2 Contributing Fact'!J15), "N/A")</f>
        <v>N/A</v>
      </c>
      <c r="T12" s="353" t="str">
        <f>IF('Population Figures'!O12&lt;&gt;"", B12*'Population Figures'!O12*(1-'Scenario 2 Contributing Fact'!J15), "N/A")</f>
        <v>N/A</v>
      </c>
      <c r="U12" s="364">
        <f>B12*'Population Figures'!J12*(1-'Scenario 3 - Nut. Analysis'!B11)</f>
        <v>53687.665728</v>
      </c>
      <c r="V12" s="355" t="str">
        <f>IF('Population Figures'!K12&lt;&gt;"", B12*'Population Figures'!K12*(1-'Scenario 3 - Nut. Analysis'!B11), "N/A")</f>
        <v>N/A</v>
      </c>
      <c r="W12" s="355" t="str">
        <f>IF('Population Figures'!L12&lt;&gt;"", B12*'Population Figures'!L12*(1-'Scenario 3 - Nut. Analysis'!B11), "N/A")</f>
        <v>N/A</v>
      </c>
      <c r="X12" s="92">
        <f>B12*'Population Figures'!P12*(1-'Scenario 3 - Nut. Analysis'!C11)</f>
        <v>161062.99718400001</v>
      </c>
      <c r="Y12" s="353" t="str">
        <f>IF('Population Figures'!Q12&lt;&gt;"", B12*'Population Figures'!Q12*(1-'Scenario 3 - Nut. Analysis'!C11), "N/A")</f>
        <v>N/A</v>
      </c>
      <c r="Z12" s="353" t="str">
        <f>IF('Population Figures'!R12&lt;&gt;"",B12*'Population Figures'!R12*(1-'Scenario 3 - Nut. Analysis'!C11),"N/A")</f>
        <v>N/A</v>
      </c>
      <c r="AA12" s="92">
        <f>B12*'Population Figures'!J12*(1-'Scenario 3 - Nut. Analysis'!H11)</f>
        <v>53687.665728</v>
      </c>
      <c r="AB12" s="356" t="str">
        <f>IF('Population Figures'!K12&lt;&gt;"", B12*'Population Figures'!K12*(1-'Scenario 3 - Nut. Analysis'!H11), "N/A")</f>
        <v>N/A</v>
      </c>
      <c r="AC12" s="353" t="str">
        <f>IF('Population Figures'!L12&lt;&gt;"", B12*'Population Figures'!L12*(1-'Scenario 3 - Nut. Analysis'!H11), "N/A")</f>
        <v>N/A</v>
      </c>
      <c r="AD12" s="92">
        <f>B12*'Population Figures'!M12*(1-'Scenario 3 - Nut. Analysis'!I11)</f>
        <v>53687.665728</v>
      </c>
      <c r="AE12" s="353" t="str">
        <f>IF('Population Figures'!N12&lt;&gt;"", B12*'Population Figures'!N12*(1-'Scenario 3 - Nut. Analysis'!I11), "N/A")</f>
        <v>N/A</v>
      </c>
      <c r="AF12" s="353" t="str">
        <f>IF('Population Figures'!O12&lt;&gt;"", B12*'Population Figures'!O12*(1-'Scenario 3 - Nut. Analysis'!I11), "N/A")</f>
        <v>N/A</v>
      </c>
      <c r="AG12" s="8"/>
      <c r="AH12" s="8"/>
      <c r="AI12" s="8"/>
      <c r="AJ12" s="8"/>
      <c r="AK12" s="8"/>
      <c r="AL12" s="8"/>
      <c r="AM12" s="8"/>
      <c r="AN12" s="8"/>
      <c r="AO12" s="8"/>
      <c r="AP12" s="8"/>
      <c r="AQ12" s="8"/>
      <c r="AR12" s="8"/>
      <c r="AS12" s="8"/>
      <c r="AT12" s="8"/>
      <c r="AU12" s="8"/>
    </row>
    <row r="13" spans="1:47" s="9" customFormat="1" x14ac:dyDescent="0.2">
      <c r="A13" s="89" t="str">
        <f>'Population Figures'!E13</f>
        <v>Ghazni</v>
      </c>
      <c r="B13" s="299">
        <f>'Population Figures'!F13</f>
        <v>3823090.56</v>
      </c>
      <c r="C13" s="303">
        <f>B13*'Population Figures'!G13*'Scenario 2 Contributing Fact'!B16</f>
        <v>134572.78771199999</v>
      </c>
      <c r="D13" s="355" t="str">
        <f>IF('Population Figures'!H13&lt;&gt;"", B13*'Population Figures'!H13*'Scenario 2 Contributing Fact'!B16, "N/A")</f>
        <v>N/A</v>
      </c>
      <c r="E13" s="355" t="str">
        <f>IF('Population Figures'!I13&lt;&gt;"", B13*'Population Figures'!I13*'Scenario 2 Contributing Fact'!B16, "N/A")</f>
        <v>N/A</v>
      </c>
      <c r="F13" s="92">
        <f>B13*('Population Figures'!G13)*'Scenario 2 Contributing Fact'!C16</f>
        <v>119892.11996159999</v>
      </c>
      <c r="G13" s="353" t="str">
        <f>IF('Population Figures'!H13&lt;&gt;"", B13*('Population Figures'!H13)*'Scenario 2 Contributing Fact'!C16, "N/A")</f>
        <v>N/A</v>
      </c>
      <c r="H13" s="353" t="str">
        <f>IF('Population Figures'!I13&lt;&gt;"", B13*('Population Figures'!I13)*'Scenario 2 Contributing Fact'!C16, "N/A")</f>
        <v>N/A</v>
      </c>
      <c r="I13" s="92">
        <f>B13*'Population Figures'!J13*(1-'Scenario 2 Contributing Fact'!H16)</f>
        <v>53676.191462400006</v>
      </c>
      <c r="J13" s="353" t="str">
        <f>IF('Population Figures'!K13&lt;&gt;"", B13*'Population Figures'!K13*(1-'Scenario 2 Contributing Fact'!H16), "N/A")</f>
        <v>N/A</v>
      </c>
      <c r="K13" s="353" t="str">
        <f>IF('Population Figures'!L13&lt;&gt;"", B13*'Population Figures'!L13*(1-'Scenario 2 Contributing Fact'!H16), "N/A")</f>
        <v>N/A</v>
      </c>
      <c r="L13" s="92">
        <f>B13*'Population Figures'!P13*(1-'Scenario 2 Contributing Fact'!K16)</f>
        <v>173415.38780160001</v>
      </c>
      <c r="M13" s="353" t="str">
        <f>IF('Population Figures'!Q13&lt;&gt;"", B13*'Population Figures'!Q13*(1-'Scenario 2 Contributing Fact'!K16), "N/A")</f>
        <v>N/A</v>
      </c>
      <c r="N13" s="353" t="str">
        <f>IF('Population Figures'!R13&lt;&gt;"", B13*'Population Figures'!R13*(1-'Scenario 2 Contributing Fact'!K16), "N/A")</f>
        <v>N/A</v>
      </c>
      <c r="O13" s="92">
        <f>B13*'Population Figures'!J13*(1-'Scenario 2 Contributing Fact'!I16)</f>
        <v>53676.191462400006</v>
      </c>
      <c r="P13" s="356" t="str">
        <f>IF('Population Figures'!K13&lt;&gt;"", B13*'Population Figures'!K13*(1-'Scenario 2 Contributing Fact'!I16), "N/A")</f>
        <v>N/A</v>
      </c>
      <c r="Q13" s="356" t="str">
        <f>IF('Population Figures'!L13&lt;&gt;"", B13*'Population Figures'!L13*(1-'Scenario 2 Contributing Fact'!I16), "N/A")</f>
        <v>N/A</v>
      </c>
      <c r="R13" s="362">
        <f>B13*'Population Figures'!M13*(1-'Scenario 2 Contributing Fact'!J16)</f>
        <v>53676.191462400006</v>
      </c>
      <c r="S13" s="353" t="str">
        <f>IF('Population Figures'!N13&lt;&gt;"", B13*'Population Figures'!N13*(1-'Scenario 2 Contributing Fact'!J16), "N/A")</f>
        <v>N/A</v>
      </c>
      <c r="T13" s="353" t="str">
        <f>IF('Population Figures'!O13&lt;&gt;"", B13*'Population Figures'!O13*(1-'Scenario 2 Contributing Fact'!J16), "N/A")</f>
        <v>N/A</v>
      </c>
      <c r="U13" s="364">
        <f>B13*'Population Figures'!J13*(1-'Scenario 3 - Nut. Analysis'!B12)</f>
        <v>53676.191462400006</v>
      </c>
      <c r="V13" s="355" t="str">
        <f>IF('Population Figures'!K13&lt;&gt;"", B13*'Population Figures'!K13*(1-'Scenario 3 - Nut. Analysis'!B12), "N/A")</f>
        <v>N/A</v>
      </c>
      <c r="W13" s="355" t="str">
        <f>IF('Population Figures'!L13&lt;&gt;"", B13*'Population Figures'!L13*(1-'Scenario 3 - Nut. Analysis'!B12), "N/A")</f>
        <v>N/A</v>
      </c>
      <c r="X13" s="92">
        <f>B13*'Population Figures'!P13*(1-'Scenario 3 - Nut. Analysis'!C12)</f>
        <v>161028.5743872</v>
      </c>
      <c r="Y13" s="353" t="str">
        <f>IF('Population Figures'!Q13&lt;&gt;"", B13*'Population Figures'!Q13*(1-'Scenario 3 - Nut. Analysis'!C12), "N/A")</f>
        <v>N/A</v>
      </c>
      <c r="Z13" s="353" t="str">
        <f>IF('Population Figures'!R13&lt;&gt;"",B13*'Population Figures'!R13*(1-'Scenario 3 - Nut. Analysis'!C12),"N/A")</f>
        <v>N/A</v>
      </c>
      <c r="AA13" s="92">
        <f>B13*'Population Figures'!J13*(1-'Scenario 3 - Nut. Analysis'!H12)</f>
        <v>53676.191462400006</v>
      </c>
      <c r="AB13" s="356" t="str">
        <f>IF('Population Figures'!K13&lt;&gt;"", B13*'Population Figures'!K13*(1-'Scenario 3 - Nut. Analysis'!H12), "N/A")</f>
        <v>N/A</v>
      </c>
      <c r="AC13" s="353" t="str">
        <f>IF('Population Figures'!L13&lt;&gt;"", B13*'Population Figures'!L13*(1-'Scenario 3 - Nut. Analysis'!H12), "N/A")</f>
        <v>N/A</v>
      </c>
      <c r="AD13" s="92">
        <f>B13*'Population Figures'!M13*(1-'Scenario 3 - Nut. Analysis'!I12)</f>
        <v>53676.191462400006</v>
      </c>
      <c r="AE13" s="353" t="str">
        <f>IF('Population Figures'!N13&lt;&gt;"", B13*'Population Figures'!N13*(1-'Scenario 3 - Nut. Analysis'!I12), "N/A")</f>
        <v>N/A</v>
      </c>
      <c r="AF13" s="353" t="str">
        <f>IF('Population Figures'!O13&lt;&gt;"", B13*'Population Figures'!O13*(1-'Scenario 3 - Nut. Analysis'!I12), "N/A")</f>
        <v>N/A</v>
      </c>
      <c r="AG13" s="8"/>
      <c r="AH13" s="8"/>
      <c r="AI13" s="8"/>
      <c r="AJ13" s="8"/>
      <c r="AK13" s="8"/>
      <c r="AL13" s="8"/>
      <c r="AM13" s="8"/>
      <c r="AN13" s="8"/>
      <c r="AO13" s="8"/>
      <c r="AP13" s="8"/>
      <c r="AQ13" s="8"/>
      <c r="AR13" s="8"/>
      <c r="AS13" s="8"/>
      <c r="AT13" s="8"/>
      <c r="AU13" s="8"/>
    </row>
    <row r="14" spans="1:47" s="9" customFormat="1" x14ac:dyDescent="0.2">
      <c r="A14" s="89" t="str">
        <f>'Population Figures'!E14</f>
        <v>Ghor</v>
      </c>
      <c r="B14" s="299">
        <f>'Population Figures'!F14</f>
        <v>2147058.1800000002</v>
      </c>
      <c r="C14" s="303">
        <f>B14*'Population Figures'!G14*'Scenario 2 Contributing Fact'!B17</f>
        <v>48094.103232000016</v>
      </c>
      <c r="D14" s="355" t="str">
        <f>IF('Population Figures'!H14&lt;&gt;"", B14*'Population Figures'!H14*'Scenario 2 Contributing Fact'!B17, "N/A")</f>
        <v>N/A</v>
      </c>
      <c r="E14" s="355" t="str">
        <f>IF('Population Figures'!I14&lt;&gt;"", B14*'Population Figures'!I14*'Scenario 2 Contributing Fact'!B17, "N/A")</f>
        <v>N/A</v>
      </c>
      <c r="F14" s="92">
        <f>B14*('Population Figures'!G14)*'Scenario 2 Contributing Fact'!C17</f>
        <v>71110.56692160001</v>
      </c>
      <c r="G14" s="353" t="str">
        <f>IF('Population Figures'!H14&lt;&gt;"", B14*('Population Figures'!H14)*'Scenario 2 Contributing Fact'!C17, "N/A")</f>
        <v>N/A</v>
      </c>
      <c r="H14" s="353" t="str">
        <f>IF('Population Figures'!I14&lt;&gt;"", B14*('Population Figures'!I14)*'Scenario 2 Contributing Fact'!C17, "N/A")</f>
        <v>N/A</v>
      </c>
      <c r="I14" s="92">
        <f>B14*'Population Figures'!J14*(1-'Scenario 2 Contributing Fact'!H17)</f>
        <v>33236.460626399996</v>
      </c>
      <c r="J14" s="353" t="str">
        <f>IF('Population Figures'!K14&lt;&gt;"", B14*'Population Figures'!K14*(1-'Scenario 2 Contributing Fact'!H17), "N/A")</f>
        <v>N/A</v>
      </c>
      <c r="K14" s="353" t="str">
        <f>IF('Population Figures'!L14&lt;&gt;"", B14*'Population Figures'!L14*(1-'Scenario 2 Contributing Fact'!H17), "N/A")</f>
        <v>N/A</v>
      </c>
      <c r="L14" s="92">
        <f>B14*'Population Figures'!P14*(1-'Scenario 2 Contributing Fact'!K17)</f>
        <v>81158.79920400001</v>
      </c>
      <c r="M14" s="353" t="str">
        <f>IF('Population Figures'!Q14&lt;&gt;"", B14*'Population Figures'!Q14*(1-'Scenario 2 Contributing Fact'!K17), "N/A")</f>
        <v>N/A</v>
      </c>
      <c r="N14" s="353" t="str">
        <f>IF('Population Figures'!R14&lt;&gt;"", B14*'Population Figures'!R14*(1-'Scenario 2 Contributing Fact'!K17), "N/A")</f>
        <v>N/A</v>
      </c>
      <c r="O14" s="92">
        <f>B14*'Population Figures'!J14*(1-'Scenario 2 Contributing Fact'!I17)</f>
        <v>33236.460626399996</v>
      </c>
      <c r="P14" s="356" t="str">
        <f>IF('Population Figures'!K14&lt;&gt;"", B14*'Population Figures'!K14*(1-'Scenario 2 Contributing Fact'!I17), "N/A")</f>
        <v>N/A</v>
      </c>
      <c r="Q14" s="356" t="str">
        <f>IF('Population Figures'!L14&lt;&gt;"", B14*'Population Figures'!L14*(1-'Scenario 2 Contributing Fact'!I17), "N/A")</f>
        <v>N/A</v>
      </c>
      <c r="R14" s="362">
        <f>B14*'Population Figures'!M14*(1-'Scenario 2 Contributing Fact'!J17)</f>
        <v>33236.460626399996</v>
      </c>
      <c r="S14" s="353" t="str">
        <f>IF('Population Figures'!N14&lt;&gt;"", B14*'Population Figures'!N14*(1-'Scenario 2 Contributing Fact'!J17), "N/A")</f>
        <v>N/A</v>
      </c>
      <c r="T14" s="353" t="str">
        <f>IF('Population Figures'!O14&lt;&gt;"", B14*'Population Figures'!O14*(1-'Scenario 2 Contributing Fact'!J17), "N/A")</f>
        <v>N/A</v>
      </c>
      <c r="U14" s="364">
        <f>B14*'Population Figures'!J14*(1-'Scenario 3 - Nut. Analysis'!B13)</f>
        <v>38647.04724</v>
      </c>
      <c r="V14" s="355" t="str">
        <f>IF('Population Figures'!K14&lt;&gt;"", B14*'Population Figures'!K14*(1-'Scenario 3 - Nut. Analysis'!B13), "N/A")</f>
        <v>N/A</v>
      </c>
      <c r="W14" s="355" t="str">
        <f>IF('Population Figures'!L14&lt;&gt;"", B14*'Population Figures'!L14*(1-'Scenario 3 - Nut. Analysis'!B13), "N/A")</f>
        <v>N/A</v>
      </c>
      <c r="X14" s="92">
        <f>B14*'Population Figures'!P14*(1-'Scenario 3 - Nut. Analysis'!C13)</f>
        <v>99709.381879200009</v>
      </c>
      <c r="Y14" s="353" t="str">
        <f>IF('Population Figures'!Q14&lt;&gt;"", B14*'Population Figures'!Q14*(1-'Scenario 3 - Nut. Analysis'!C13), "N/A")</f>
        <v>N/A</v>
      </c>
      <c r="Z14" s="353" t="str">
        <f>IF('Population Figures'!R14&lt;&gt;"",B14*'Population Figures'!R14*(1-'Scenario 3 - Nut. Analysis'!C13),"N/A")</f>
        <v>N/A</v>
      </c>
      <c r="AA14" s="92">
        <f>B14*'Population Figures'!J14*(1-'Scenario 3 - Nut. Analysis'!H13)</f>
        <v>38647.04724</v>
      </c>
      <c r="AB14" s="356" t="str">
        <f>IF('Population Figures'!K14&lt;&gt;"", B14*'Population Figures'!K14*(1-'Scenario 3 - Nut. Analysis'!H13), "N/A")</f>
        <v>N/A</v>
      </c>
      <c r="AC14" s="353" t="str">
        <f>IF('Population Figures'!L14&lt;&gt;"", B14*'Population Figures'!L14*(1-'Scenario 3 - Nut. Analysis'!H13), "N/A")</f>
        <v>N/A</v>
      </c>
      <c r="AD14" s="92">
        <f>B14*'Population Figures'!M14*(1-'Scenario 3 - Nut. Analysis'!I13)</f>
        <v>38647.04724</v>
      </c>
      <c r="AE14" s="353" t="str">
        <f>IF('Population Figures'!N14&lt;&gt;"", B14*'Population Figures'!N14*(1-'Scenario 3 - Nut. Analysis'!I13), "N/A")</f>
        <v>N/A</v>
      </c>
      <c r="AF14" s="353" t="str">
        <f>IF('Population Figures'!O14&lt;&gt;"", B14*'Population Figures'!O14*(1-'Scenario 3 - Nut. Analysis'!I13), "N/A")</f>
        <v>N/A</v>
      </c>
      <c r="AG14" s="8"/>
      <c r="AH14" s="8"/>
      <c r="AI14" s="8"/>
      <c r="AJ14" s="8"/>
      <c r="AK14" s="8"/>
      <c r="AL14" s="8"/>
      <c r="AM14" s="8"/>
      <c r="AN14" s="8"/>
      <c r="AO14" s="8"/>
      <c r="AP14" s="8"/>
      <c r="AQ14" s="8"/>
      <c r="AR14" s="8"/>
      <c r="AS14" s="8"/>
      <c r="AT14" s="8"/>
      <c r="AU14" s="8"/>
    </row>
    <row r="15" spans="1:47" s="9" customFormat="1" x14ac:dyDescent="0.2">
      <c r="A15" s="89" t="str">
        <f>'Population Figures'!E15</f>
        <v>Helmand</v>
      </c>
      <c r="B15" s="299">
        <f>'Population Figures'!F15</f>
        <v>2877125.2199999997</v>
      </c>
      <c r="C15" s="303">
        <f>B15*'Population Figures'!G15*'Scenario 2 Contributing Fact'!B18</f>
        <v>50637.403871999995</v>
      </c>
      <c r="D15" s="355" t="str">
        <f>IF('Population Figures'!H15&lt;&gt;"", B15*'Population Figures'!H15*'Scenario 2 Contributing Fact'!B18, "N/A")</f>
        <v>N/A</v>
      </c>
      <c r="E15" s="355" t="str">
        <f>IF('Population Figures'!I15&lt;&gt;"", B15*'Population Figures'!I15*'Scenario 2 Contributing Fact'!B18, "N/A")</f>
        <v>N/A</v>
      </c>
      <c r="F15" s="92">
        <f>B15*('Population Figures'!G15)*'Scenario 2 Contributing Fact'!C18</f>
        <v>58463.184470399996</v>
      </c>
      <c r="G15" s="353" t="str">
        <f>IF('Population Figures'!H15&lt;&gt;"", B15*('Population Figures'!H15)*'Scenario 2 Contributing Fact'!C18, "N/A")</f>
        <v>N/A</v>
      </c>
      <c r="H15" s="353" t="str">
        <f>IF('Population Figures'!I15&lt;&gt;"", B15*('Population Figures'!I15)*'Scenario 2 Contributing Fact'!C18, "N/A")</f>
        <v>N/A</v>
      </c>
      <c r="I15" s="92">
        <f>B15*'Population Figures'!J15*(1-'Scenario 2 Contributing Fact'!H18)</f>
        <v>46091.546024399999</v>
      </c>
      <c r="J15" s="353" t="str">
        <f>IF('Population Figures'!K15&lt;&gt;"", B15*'Population Figures'!K15*(1-'Scenario 2 Contributing Fact'!H18), "N/A")</f>
        <v>N/A</v>
      </c>
      <c r="K15" s="353" t="str">
        <f>IF('Population Figures'!L15&lt;&gt;"", B15*'Population Figures'!L15*(1-'Scenario 2 Contributing Fact'!H18), "N/A")</f>
        <v>N/A</v>
      </c>
      <c r="L15" s="92">
        <f>B15*'Population Figures'!P15*(1-'Scenario 2 Contributing Fact'!K18)</f>
        <v>118077.21902879998</v>
      </c>
      <c r="M15" s="353" t="str">
        <f>IF('Population Figures'!Q15&lt;&gt;"", B15*'Population Figures'!Q15*(1-'Scenario 2 Contributing Fact'!K18), "N/A")</f>
        <v>N/A</v>
      </c>
      <c r="N15" s="353" t="str">
        <f>IF('Population Figures'!R15&lt;&gt;"", B15*'Population Figures'!R15*(1-'Scenario 2 Contributing Fact'!K18), "N/A")</f>
        <v>N/A</v>
      </c>
      <c r="O15" s="92">
        <f>B15*'Population Figures'!J15*(1-'Scenario 2 Contributing Fact'!I18)</f>
        <v>46091.546024399999</v>
      </c>
      <c r="P15" s="356" t="str">
        <f>IF('Population Figures'!K15&lt;&gt;"", B15*'Population Figures'!K15*(1-'Scenario 2 Contributing Fact'!I18), "N/A")</f>
        <v>N/A</v>
      </c>
      <c r="Q15" s="356" t="str">
        <f>IF('Population Figures'!L15&lt;&gt;"", B15*'Population Figures'!L15*(1-'Scenario 2 Contributing Fact'!I18), "N/A")</f>
        <v>N/A</v>
      </c>
      <c r="R15" s="362">
        <f>B15*'Population Figures'!M15*(1-'Scenario 2 Contributing Fact'!J18)</f>
        <v>46091.546024399999</v>
      </c>
      <c r="S15" s="353" t="str">
        <f>IF('Population Figures'!N15&lt;&gt;"", B15*'Population Figures'!N15*(1-'Scenario 2 Contributing Fact'!J18), "N/A")</f>
        <v>N/A</v>
      </c>
      <c r="T15" s="353" t="str">
        <f>IF('Population Figures'!O15&lt;&gt;"", B15*'Population Figures'!O15*(1-'Scenario 2 Contributing Fact'!J18), "N/A")</f>
        <v>N/A</v>
      </c>
      <c r="U15" s="364">
        <f>B15*'Population Figures'!J15*(1-'Scenario 3 - Nut. Analysis'!B14)</f>
        <v>46091.546024399999</v>
      </c>
      <c r="V15" s="355" t="str">
        <f>IF('Population Figures'!K15&lt;&gt;"", B15*'Population Figures'!K15*(1-'Scenario 3 - Nut. Analysis'!B14), "N/A")</f>
        <v>N/A</v>
      </c>
      <c r="W15" s="355" t="str">
        <f>IF('Population Figures'!L15&lt;&gt;"", B15*'Population Figures'!L15*(1-'Scenario 3 - Nut. Analysis'!B14), "N/A")</f>
        <v>N/A</v>
      </c>
      <c r="X15" s="92">
        <f>B15*'Population Figures'!P15*(1-'Scenario 3 - Nut. Analysis'!C14)</f>
        <v>100987.09522199999</v>
      </c>
      <c r="Y15" s="353" t="str">
        <f>IF('Population Figures'!Q15&lt;&gt;"", B15*'Population Figures'!Q15*(1-'Scenario 3 - Nut. Analysis'!C14), "N/A")</f>
        <v>N/A</v>
      </c>
      <c r="Z15" s="353" t="str">
        <f>IF('Population Figures'!R15&lt;&gt;"",B15*'Population Figures'!R15*(1-'Scenario 3 - Nut. Analysis'!C14),"N/A")</f>
        <v>N/A</v>
      </c>
      <c r="AA15" s="92">
        <f>B15*'Population Figures'!J15*(1-'Scenario 3 - Nut. Analysis'!H14)</f>
        <v>46091.546024399999</v>
      </c>
      <c r="AB15" s="356" t="str">
        <f>IF('Population Figures'!K15&lt;&gt;"", B15*'Population Figures'!K15*(1-'Scenario 3 - Nut. Analysis'!H14), "N/A")</f>
        <v>N/A</v>
      </c>
      <c r="AC15" s="353" t="str">
        <f>IF('Population Figures'!L15&lt;&gt;"", B15*'Population Figures'!L15*(1-'Scenario 3 - Nut. Analysis'!H14), "N/A")</f>
        <v>N/A</v>
      </c>
      <c r="AD15" s="92">
        <f>B15*'Population Figures'!M15*(1-'Scenario 3 - Nut. Analysis'!I14)</f>
        <v>46091.546024399999</v>
      </c>
      <c r="AE15" s="353" t="str">
        <f>IF('Population Figures'!N15&lt;&gt;"", B15*'Population Figures'!N15*(1-'Scenario 3 - Nut. Analysis'!I14), "N/A")</f>
        <v>N/A</v>
      </c>
      <c r="AF15" s="353" t="str">
        <f>IF('Population Figures'!O15&lt;&gt;"", B15*'Population Figures'!O15*(1-'Scenario 3 - Nut. Analysis'!I14), "N/A")</f>
        <v>N/A</v>
      </c>
      <c r="AG15" s="8"/>
      <c r="AH15" s="8"/>
      <c r="AI15" s="8"/>
      <c r="AJ15" s="8"/>
      <c r="AK15" s="8"/>
      <c r="AL15" s="8"/>
      <c r="AM15" s="8"/>
      <c r="AN15" s="8"/>
      <c r="AO15" s="8"/>
      <c r="AP15" s="8"/>
      <c r="AQ15" s="8"/>
      <c r="AR15" s="8"/>
      <c r="AS15" s="8"/>
      <c r="AT15" s="8"/>
      <c r="AU15" s="8"/>
    </row>
    <row r="16" spans="1:47" s="9" customFormat="1" x14ac:dyDescent="0.2">
      <c r="A16" s="89" t="str">
        <f>'Population Figures'!E16</f>
        <v>Hirat</v>
      </c>
      <c r="B16" s="299">
        <f>'Population Figures'!F16</f>
        <v>5900680.6200000001</v>
      </c>
      <c r="C16" s="303">
        <f>B16*'Population Figures'!G16*'Scenario 2 Contributing Fact'!B19</f>
        <v>113293.067904</v>
      </c>
      <c r="D16" s="355" t="str">
        <f>IF('Population Figures'!H16&lt;&gt;"", B16*'Population Figures'!H16*'Scenario 2 Contributing Fact'!B19, "N/A")</f>
        <v>N/A</v>
      </c>
      <c r="E16" s="355" t="str">
        <f>IF('Population Figures'!I16&lt;&gt;"", B16*'Population Figures'!I16*'Scenario 2 Contributing Fact'!B19, "N/A")</f>
        <v>N/A</v>
      </c>
      <c r="F16" s="92">
        <f>B16*('Population Figures'!G16)*'Scenario 2 Contributing Fact'!C19</f>
        <v>102907.87001279999</v>
      </c>
      <c r="G16" s="353" t="str">
        <f>IF('Population Figures'!H16&lt;&gt;"", B16*('Population Figures'!H16)*'Scenario 2 Contributing Fact'!C19, "N/A")</f>
        <v>N/A</v>
      </c>
      <c r="H16" s="353" t="str">
        <f>IF('Population Figures'!I16&lt;&gt;"", B16*('Population Figures'!I16)*'Scenario 2 Contributing Fact'!C19, "N/A")</f>
        <v>N/A</v>
      </c>
      <c r="I16" s="92">
        <f>B16*'Population Figures'!J16*(1-'Scenario 2 Contributing Fact'!H19)</f>
        <v>93466.781020800001</v>
      </c>
      <c r="J16" s="353" t="str">
        <f>IF('Population Figures'!K16&lt;&gt;"", B16*'Population Figures'!K16*(1-'Scenario 2 Contributing Fact'!H19), "N/A")</f>
        <v>N/A</v>
      </c>
      <c r="K16" s="353" t="str">
        <f>IF('Population Figures'!L16&lt;&gt;"", B16*'Population Figures'!L16*(1-'Scenario 2 Contributing Fact'!H19), "N/A")</f>
        <v>N/A</v>
      </c>
      <c r="L16" s="92">
        <f>B16*'Population Figures'!P16*(1-'Scenario 2 Contributing Fact'!K19)</f>
        <v>286773.078132</v>
      </c>
      <c r="M16" s="353" t="str">
        <f>IF('Population Figures'!Q16&lt;&gt;"", B16*'Population Figures'!Q16*(1-'Scenario 2 Contributing Fact'!K19), "N/A")</f>
        <v>N/A</v>
      </c>
      <c r="N16" s="353" t="str">
        <f>IF('Population Figures'!R16&lt;&gt;"", B16*'Population Figures'!R16*(1-'Scenario 2 Contributing Fact'!K19), "N/A")</f>
        <v>N/A</v>
      </c>
      <c r="O16" s="92">
        <f>B16*'Population Figures'!J16*(1-'Scenario 2 Contributing Fact'!I19)</f>
        <v>93466.781020800001</v>
      </c>
      <c r="P16" s="356" t="str">
        <f>IF('Population Figures'!K16&lt;&gt;"", B16*'Population Figures'!K16*(1-'Scenario 2 Contributing Fact'!I19), "N/A")</f>
        <v>N/A</v>
      </c>
      <c r="Q16" s="356" t="str">
        <f>IF('Population Figures'!L16&lt;&gt;"", B16*'Population Figures'!L16*(1-'Scenario 2 Contributing Fact'!I19), "N/A")</f>
        <v>N/A</v>
      </c>
      <c r="R16" s="362">
        <f>B16*'Population Figures'!M16*(1-'Scenario 2 Contributing Fact'!J19)</f>
        <v>93466.781020800001</v>
      </c>
      <c r="S16" s="353" t="str">
        <f>IF('Population Figures'!N16&lt;&gt;"", B16*'Population Figures'!N16*(1-'Scenario 2 Contributing Fact'!J19), "N/A")</f>
        <v>N/A</v>
      </c>
      <c r="T16" s="353" t="str">
        <f>IF('Population Figures'!O16&lt;&gt;"", B16*'Population Figures'!O16*(1-'Scenario 2 Contributing Fact'!J19), "N/A")</f>
        <v>N/A</v>
      </c>
      <c r="U16" s="364">
        <f>B16*'Population Figures'!J16*(1-'Scenario 3 - Nut. Analysis'!B15)</f>
        <v>93466.781020800001</v>
      </c>
      <c r="V16" s="355" t="str">
        <f>IF('Population Figures'!K16&lt;&gt;"", B16*'Population Figures'!K16*(1-'Scenario 3 - Nut. Analysis'!B15), "N/A")</f>
        <v>N/A</v>
      </c>
      <c r="W16" s="355" t="str">
        <f>IF('Population Figures'!L16&lt;&gt;"", B16*'Population Figures'!L16*(1-'Scenario 3 - Nut. Analysis'!B15), "N/A")</f>
        <v>N/A</v>
      </c>
      <c r="X16" s="92">
        <f>B16*'Population Figures'!P16*(1-'Scenario 3 - Nut. Analysis'!C15)</f>
        <v>280400.3430624</v>
      </c>
      <c r="Y16" s="353" t="str">
        <f>IF('Population Figures'!Q16&lt;&gt;"", B16*'Population Figures'!Q16*(1-'Scenario 3 - Nut. Analysis'!C15), "N/A")</f>
        <v>N/A</v>
      </c>
      <c r="Z16" s="353" t="str">
        <f>IF('Population Figures'!R16&lt;&gt;"",B16*'Population Figures'!R16*(1-'Scenario 3 - Nut. Analysis'!C15),"N/A")</f>
        <v>N/A</v>
      </c>
      <c r="AA16" s="92">
        <f>B16*'Population Figures'!J16*(1-'Scenario 3 - Nut. Analysis'!H15)</f>
        <v>93466.781020800001</v>
      </c>
      <c r="AB16" s="356" t="str">
        <f>IF('Population Figures'!K16&lt;&gt;"", B16*'Population Figures'!K16*(1-'Scenario 3 - Nut. Analysis'!H15), "N/A")</f>
        <v>N/A</v>
      </c>
      <c r="AC16" s="353" t="str">
        <f>IF('Population Figures'!L16&lt;&gt;"", B16*'Population Figures'!L16*(1-'Scenario 3 - Nut. Analysis'!H15), "N/A")</f>
        <v>N/A</v>
      </c>
      <c r="AD16" s="92">
        <f>B16*'Population Figures'!M16*(1-'Scenario 3 - Nut. Analysis'!I15)</f>
        <v>93466.781020800001</v>
      </c>
      <c r="AE16" s="353" t="str">
        <f>IF('Population Figures'!N16&lt;&gt;"", B16*'Population Figures'!N16*(1-'Scenario 3 - Nut. Analysis'!I15), "N/A")</f>
        <v>N/A</v>
      </c>
      <c r="AF16" s="353" t="str">
        <f>IF('Population Figures'!O16&lt;&gt;"", B16*'Population Figures'!O16*(1-'Scenario 3 - Nut. Analysis'!I15), "N/A")</f>
        <v>N/A</v>
      </c>
      <c r="AG16" s="8"/>
      <c r="AH16" s="8"/>
      <c r="AI16" s="8"/>
      <c r="AJ16" s="8"/>
      <c r="AK16" s="8"/>
      <c r="AL16" s="8"/>
      <c r="AM16" s="8"/>
      <c r="AN16" s="8"/>
      <c r="AO16" s="8"/>
      <c r="AP16" s="8"/>
      <c r="AQ16" s="8"/>
      <c r="AR16" s="8"/>
      <c r="AS16" s="8"/>
      <c r="AT16" s="8"/>
      <c r="AU16" s="8"/>
    </row>
    <row r="17" spans="1:47" s="9" customFormat="1" x14ac:dyDescent="0.2">
      <c r="A17" s="89" t="str">
        <f>'Population Figures'!E17</f>
        <v>Jawzjan</v>
      </c>
      <c r="B17" s="299">
        <f>'Population Figures'!F17</f>
        <v>1682694</v>
      </c>
      <c r="C17" s="303">
        <f>B17*'Population Figures'!G17*'Scenario 2 Contributing Fact'!B20</f>
        <v>21538.483199999999</v>
      </c>
      <c r="D17" s="355" t="str">
        <f>IF('Population Figures'!H17&lt;&gt;"", B17*'Population Figures'!H17*'Scenario 2 Contributing Fact'!B20, "N/A")</f>
        <v>N/A</v>
      </c>
      <c r="E17" s="355" t="str">
        <f>IF('Population Figures'!I17&lt;&gt;"", B17*'Population Figures'!I17*'Scenario 2 Contributing Fact'!B20, "N/A")</f>
        <v>N/A</v>
      </c>
      <c r="F17" s="92">
        <f>B17*('Population Figures'!G17)*'Scenario 2 Contributing Fact'!C20</f>
        <v>16869.647891156659</v>
      </c>
      <c r="G17" s="353" t="str">
        <f>IF('Population Figures'!H17&lt;&gt;"", B17*('Population Figures'!H17)*'Scenario 2 Contributing Fact'!C20, "N/A")</f>
        <v>N/A</v>
      </c>
      <c r="H17" s="353" t="str">
        <f>IF('Population Figures'!I17&lt;&gt;"", B17*('Population Figures'!I17)*'Scenario 2 Contributing Fact'!C20, "N/A")</f>
        <v>N/A</v>
      </c>
      <c r="I17" s="92">
        <f>B17*'Population Figures'!J17*(1-'Scenario 2 Contributing Fact'!H20)</f>
        <v>27865.412639999999</v>
      </c>
      <c r="J17" s="353" t="str">
        <f>IF('Population Figures'!K17&lt;&gt;"", B17*'Population Figures'!K17*(1-'Scenario 2 Contributing Fact'!H20), "N/A")</f>
        <v>N/A</v>
      </c>
      <c r="K17" s="353" t="str">
        <f>IF('Population Figures'!L17&lt;&gt;"", B17*'Population Figures'!L17*(1-'Scenario 2 Contributing Fact'!H20), "N/A")</f>
        <v>N/A</v>
      </c>
      <c r="L17" s="92">
        <f>B17*'Population Figures'!P17*(1-'Scenario 2 Contributing Fact'!K20)</f>
        <v>82687.583159999995</v>
      </c>
      <c r="M17" s="353" t="str">
        <f>IF('Population Figures'!Q17&lt;&gt;"", B17*'Population Figures'!Q17*(1-'Scenario 2 Contributing Fact'!K20), "N/A")</f>
        <v>N/A</v>
      </c>
      <c r="N17" s="353" t="str">
        <f>IF('Population Figures'!R17&lt;&gt;"", B17*'Population Figures'!R17*(1-'Scenario 2 Contributing Fact'!K20), "N/A")</f>
        <v>N/A</v>
      </c>
      <c r="O17" s="92">
        <f>B17*'Population Figures'!J17*(1-'Scenario 2 Contributing Fact'!I20)</f>
        <v>27865.412639999999</v>
      </c>
      <c r="P17" s="356" t="str">
        <f>IF('Population Figures'!K17&lt;&gt;"", B17*'Population Figures'!K17*(1-'Scenario 2 Contributing Fact'!I20), "N/A")</f>
        <v>N/A</v>
      </c>
      <c r="Q17" s="356" t="str">
        <f>IF('Population Figures'!L17&lt;&gt;"", B17*'Population Figures'!L17*(1-'Scenario 2 Contributing Fact'!I20), "N/A")</f>
        <v>N/A</v>
      </c>
      <c r="R17" s="362">
        <f>B17*'Population Figures'!M17*(1-'Scenario 2 Contributing Fact'!J20)</f>
        <v>27865.412639999999</v>
      </c>
      <c r="S17" s="353" t="str">
        <f>IF('Population Figures'!N17&lt;&gt;"", B17*'Population Figures'!N17*(1-'Scenario 2 Contributing Fact'!J20), "N/A")</f>
        <v>N/A</v>
      </c>
      <c r="T17" s="353" t="str">
        <f>IF('Population Figures'!O17&lt;&gt;"", B17*'Population Figures'!O17*(1-'Scenario 2 Contributing Fact'!J20), "N/A")</f>
        <v>N/A</v>
      </c>
      <c r="U17" s="364">
        <f>B17*'Population Figures'!J17*(1-'Scenario 3 - Nut. Analysis'!B16)</f>
        <v>27865.412639999999</v>
      </c>
      <c r="V17" s="355" t="str">
        <f>IF('Population Figures'!K17&lt;&gt;"", B17*'Population Figures'!K17*(1-'Scenario 3 - Nut. Analysis'!B16), "N/A")</f>
        <v>N/A</v>
      </c>
      <c r="W17" s="355" t="str">
        <f>IF('Population Figures'!L17&lt;&gt;"", B17*'Population Figures'!L17*(1-'Scenario 3 - Nut. Analysis'!B16), "N/A")</f>
        <v>N/A</v>
      </c>
      <c r="X17" s="92">
        <f>B17*'Population Figures'!P17*(1-'Scenario 3 - Nut. Analysis'!C16)</f>
        <v>83596.23792</v>
      </c>
      <c r="Y17" s="353" t="str">
        <f>IF('Population Figures'!Q17&lt;&gt;"", B17*'Population Figures'!Q17*(1-'Scenario 3 - Nut. Analysis'!C16), "N/A")</f>
        <v>N/A</v>
      </c>
      <c r="Z17" s="353" t="str">
        <f>IF('Population Figures'!R17&lt;&gt;"",B17*'Population Figures'!R17*(1-'Scenario 3 - Nut. Analysis'!C16),"N/A")</f>
        <v>N/A</v>
      </c>
      <c r="AA17" s="92">
        <f>B17*'Population Figures'!J17*(1-'Scenario 3 - Nut. Analysis'!H16)</f>
        <v>27865.412639999999</v>
      </c>
      <c r="AB17" s="356" t="str">
        <f>IF('Population Figures'!K17&lt;&gt;"", B17*'Population Figures'!K17*(1-'Scenario 3 - Nut. Analysis'!H16), "N/A")</f>
        <v>N/A</v>
      </c>
      <c r="AC17" s="353" t="str">
        <f>IF('Population Figures'!L17&lt;&gt;"", B17*'Population Figures'!L17*(1-'Scenario 3 - Nut. Analysis'!H16), "N/A")</f>
        <v>N/A</v>
      </c>
      <c r="AD17" s="92">
        <f>B17*'Population Figures'!M17*(1-'Scenario 3 - Nut. Analysis'!I16)</f>
        <v>27865.412639999999</v>
      </c>
      <c r="AE17" s="353" t="str">
        <f>IF('Population Figures'!N17&lt;&gt;"", B17*'Population Figures'!N17*(1-'Scenario 3 - Nut. Analysis'!I16), "N/A")</f>
        <v>N/A</v>
      </c>
      <c r="AF17" s="353" t="str">
        <f>IF('Population Figures'!O17&lt;&gt;"", B17*'Population Figures'!O17*(1-'Scenario 3 - Nut. Analysis'!I16), "N/A")</f>
        <v>N/A</v>
      </c>
      <c r="AG17" s="8"/>
      <c r="AH17" s="8"/>
      <c r="AI17" s="8"/>
      <c r="AJ17" s="8"/>
      <c r="AK17" s="8"/>
      <c r="AL17" s="8"/>
      <c r="AM17" s="8"/>
      <c r="AN17" s="8"/>
      <c r="AO17" s="8"/>
      <c r="AP17" s="8"/>
      <c r="AQ17" s="8"/>
      <c r="AR17" s="8"/>
      <c r="AS17" s="8"/>
      <c r="AT17" s="8"/>
      <c r="AU17" s="8"/>
    </row>
    <row r="18" spans="1:47" s="9" customFormat="1" x14ac:dyDescent="0.2">
      <c r="A18" s="89" t="str">
        <f>'Population Figures'!E18</f>
        <v>Kabul</v>
      </c>
      <c r="B18" s="299">
        <f>'Population Figures'!F18</f>
        <v>13842577.080000002</v>
      </c>
      <c r="C18" s="303">
        <f>B18*'Population Figures'!G18*'Scenario 2 Contributing Fact'!B21</f>
        <v>177184.98662400004</v>
      </c>
      <c r="D18" s="355" t="str">
        <f>IF('Population Figures'!H18&lt;&gt;"", B18*'Population Figures'!H18*'Scenario 2 Contributing Fact'!B21, "N/A")</f>
        <v>N/A</v>
      </c>
      <c r="E18" s="355" t="str">
        <f>IF('Population Figures'!I18&lt;&gt;"", B18*'Population Figures'!I18*'Scenario 2 Contributing Fact'!B21, "N/A")</f>
        <v>N/A</v>
      </c>
      <c r="F18" s="92">
        <f>B18*('Population Figures'!G18)*'Scenario 2 Contributing Fact'!C21</f>
        <v>144759.17466222658</v>
      </c>
      <c r="G18" s="353" t="str">
        <f>IF('Population Figures'!H18&lt;&gt;"", B18*('Population Figures'!H18)*'Scenario 2 Contributing Fact'!C21, "N/A")</f>
        <v>N/A</v>
      </c>
      <c r="H18" s="353" t="str">
        <f>IF('Population Figures'!I18&lt;&gt;"", B18*('Population Figures'!I18)*'Scenario 2 Contributing Fact'!C21, "N/A")</f>
        <v>N/A</v>
      </c>
      <c r="I18" s="92">
        <f>B18*'Population Figures'!J18*(1-'Scenario 2 Contributing Fact'!H21)</f>
        <v>229233.07644480004</v>
      </c>
      <c r="J18" s="353" t="str">
        <f>IF('Population Figures'!K18&lt;&gt;"", B18*'Population Figures'!K18*(1-'Scenario 2 Contributing Fact'!H21), "N/A")</f>
        <v>N/A</v>
      </c>
      <c r="K18" s="353" t="str">
        <f>IF('Population Figures'!L18&lt;&gt;"", B18*'Population Figures'!L18*(1-'Scenario 2 Contributing Fact'!H21), "N/A")</f>
        <v>N/A</v>
      </c>
      <c r="L18" s="92">
        <f>B18*'Population Figures'!P18*(1-'Scenario 2 Contributing Fact'!K21)</f>
        <v>627899.29634880007</v>
      </c>
      <c r="M18" s="353" t="str">
        <f>IF('Population Figures'!Q18&lt;&gt;"", B18*'Population Figures'!Q18*(1-'Scenario 2 Contributing Fact'!K21), "N/A")</f>
        <v>N/A</v>
      </c>
      <c r="N18" s="353" t="str">
        <f>IF('Population Figures'!R18&lt;&gt;"", B18*'Population Figures'!R18*(1-'Scenario 2 Contributing Fact'!K21), "N/A")</f>
        <v>N/A</v>
      </c>
      <c r="O18" s="92">
        <f>B18*'Population Figures'!J18*(1-'Scenario 2 Contributing Fact'!I21)</f>
        <v>229233.07644480004</v>
      </c>
      <c r="P18" s="356" t="str">
        <f>IF('Population Figures'!K18&lt;&gt;"", B18*'Population Figures'!K18*(1-'Scenario 2 Contributing Fact'!I21), "N/A")</f>
        <v>N/A</v>
      </c>
      <c r="Q18" s="356" t="str">
        <f>IF('Population Figures'!L18&lt;&gt;"", B18*'Population Figures'!L18*(1-'Scenario 2 Contributing Fact'!I21), "N/A")</f>
        <v>N/A</v>
      </c>
      <c r="R18" s="362">
        <f>B18*'Population Figures'!M18*(1-'Scenario 2 Contributing Fact'!J21)</f>
        <v>229233.07644480004</v>
      </c>
      <c r="S18" s="353" t="str">
        <f>IF('Population Figures'!N18&lt;&gt;"", B18*'Population Figures'!N18*(1-'Scenario 2 Contributing Fact'!J21), "N/A")</f>
        <v>N/A</v>
      </c>
      <c r="T18" s="353" t="str">
        <f>IF('Population Figures'!O18&lt;&gt;"", B18*'Population Figures'!O18*(1-'Scenario 2 Contributing Fact'!J21), "N/A")</f>
        <v>N/A</v>
      </c>
      <c r="U18" s="364">
        <f>B18*'Population Figures'!J18*(1-'Scenario 3 - Nut. Analysis'!B17)</f>
        <v>229233.07644480004</v>
      </c>
      <c r="V18" s="355" t="str">
        <f>IF('Population Figures'!K18&lt;&gt;"", B18*'Population Figures'!K18*(1-'Scenario 3 - Nut. Analysis'!B17), "N/A")</f>
        <v>N/A</v>
      </c>
      <c r="W18" s="355" t="str">
        <f>IF('Population Figures'!L18&lt;&gt;"", B18*'Population Figures'!L18*(1-'Scenario 3 - Nut. Analysis'!B17), "N/A")</f>
        <v>N/A</v>
      </c>
      <c r="X18" s="92">
        <f>B18*'Population Figures'!P18*(1-'Scenario 3 - Nut. Analysis'!C17)</f>
        <v>687699.22933440015</v>
      </c>
      <c r="Y18" s="353" t="str">
        <f>IF('Population Figures'!Q18&lt;&gt;"", B18*'Population Figures'!Q18*(1-'Scenario 3 - Nut. Analysis'!C17), "N/A")</f>
        <v>N/A</v>
      </c>
      <c r="Z18" s="353" t="str">
        <f>IF('Population Figures'!R18&lt;&gt;"",B18*'Population Figures'!R18*(1-'Scenario 3 - Nut. Analysis'!C17),"N/A")</f>
        <v>N/A</v>
      </c>
      <c r="AA18" s="92">
        <f>B18*'Population Figures'!J18*(1-'Scenario 3 - Nut. Analysis'!H17)</f>
        <v>229233.07644480004</v>
      </c>
      <c r="AB18" s="356" t="str">
        <f>IF('Population Figures'!K18&lt;&gt;"", B18*'Population Figures'!K18*(1-'Scenario 3 - Nut. Analysis'!H17), "N/A")</f>
        <v>N/A</v>
      </c>
      <c r="AC18" s="353" t="str">
        <f>IF('Population Figures'!L18&lt;&gt;"", B18*'Population Figures'!L18*(1-'Scenario 3 - Nut. Analysis'!H17), "N/A")</f>
        <v>N/A</v>
      </c>
      <c r="AD18" s="92">
        <f>B18*'Population Figures'!M18*(1-'Scenario 3 - Nut. Analysis'!I17)</f>
        <v>229233.07644480004</v>
      </c>
      <c r="AE18" s="353" t="str">
        <f>IF('Population Figures'!N18&lt;&gt;"", B18*'Population Figures'!N18*(1-'Scenario 3 - Nut. Analysis'!I17), "N/A")</f>
        <v>N/A</v>
      </c>
      <c r="AF18" s="353" t="str">
        <f>IF('Population Figures'!O18&lt;&gt;"", B18*'Population Figures'!O18*(1-'Scenario 3 - Nut. Analysis'!I17), "N/A")</f>
        <v>N/A</v>
      </c>
      <c r="AG18" s="8"/>
      <c r="AH18" s="8"/>
      <c r="AI18" s="8"/>
      <c r="AJ18" s="8"/>
      <c r="AK18" s="8"/>
      <c r="AL18" s="8"/>
      <c r="AM18" s="8"/>
      <c r="AN18" s="8"/>
      <c r="AO18" s="8"/>
      <c r="AP18" s="8"/>
      <c r="AQ18" s="8"/>
      <c r="AR18" s="8"/>
      <c r="AS18" s="8"/>
      <c r="AT18" s="8"/>
      <c r="AU18" s="8"/>
    </row>
    <row r="19" spans="1:47" s="9" customFormat="1" x14ac:dyDescent="0.2">
      <c r="A19" s="89" t="str">
        <f>'Population Figures'!E19</f>
        <v>Kandahar</v>
      </c>
      <c r="B19" s="299">
        <f>'Population Figures'!F19</f>
        <v>3833525.16</v>
      </c>
      <c r="C19" s="303">
        <f>B19*'Population Figures'!G19*'Scenario 2 Contributing Fact'!B22</f>
        <v>110405.52460800001</v>
      </c>
      <c r="D19" s="355" t="str">
        <f>IF('Population Figures'!H19&lt;&gt;"", B19*'Population Figures'!H19*'Scenario 2 Contributing Fact'!B22, "N/A")</f>
        <v>N/A</v>
      </c>
      <c r="E19" s="355" t="str">
        <f>IF('Population Figures'!I19&lt;&gt;"", B19*'Population Figures'!I19*'Scenario 2 Contributing Fact'!B22, "N/A")</f>
        <v>N/A</v>
      </c>
      <c r="F19" s="92">
        <f>B19*('Population Figures'!G19)*'Scenario 2 Contributing Fact'!C22</f>
        <v>112245.61668480001</v>
      </c>
      <c r="G19" s="353" t="str">
        <f>IF('Population Figures'!H19&lt;&gt;"", B19*('Population Figures'!H19)*'Scenario 2 Contributing Fact'!C22, "N/A")</f>
        <v>N/A</v>
      </c>
      <c r="H19" s="353" t="str">
        <f>IF('Population Figures'!I19&lt;&gt;"", B19*('Population Figures'!I19)*'Scenario 2 Contributing Fact'!C22, "N/A")</f>
        <v>N/A</v>
      </c>
      <c r="I19" s="92">
        <f>B19*'Population Figures'!J19*(1-'Scenario 2 Contributing Fact'!H22)</f>
        <v>56582.831361600001</v>
      </c>
      <c r="J19" s="353" t="str">
        <f>IF('Population Figures'!K19&lt;&gt;"", B19*'Population Figures'!K19*(1-'Scenario 2 Contributing Fact'!H22), "N/A")</f>
        <v>N/A</v>
      </c>
      <c r="K19" s="353" t="str">
        <f>IF('Population Figures'!L19&lt;&gt;"", B19*'Population Figures'!L19*(1-'Scenario 2 Contributing Fact'!H22), "N/A")</f>
        <v>N/A</v>
      </c>
      <c r="L19" s="92">
        <f>B19*'Population Figures'!P19*(1-'Scenario 2 Contributing Fact'!K22)</f>
        <v>161468.07973920001</v>
      </c>
      <c r="M19" s="353" t="str">
        <f>IF('Population Figures'!Q19&lt;&gt;"", B19*'Population Figures'!Q19*(1-'Scenario 2 Contributing Fact'!K22), "N/A")</f>
        <v>N/A</v>
      </c>
      <c r="N19" s="353" t="str">
        <f>IF('Population Figures'!R19&lt;&gt;"", B19*'Population Figures'!R19*(1-'Scenario 2 Contributing Fact'!K22), "N/A")</f>
        <v>N/A</v>
      </c>
      <c r="O19" s="92">
        <f>B19*'Population Figures'!J19*(1-'Scenario 2 Contributing Fact'!I22)</f>
        <v>56582.831361600001</v>
      </c>
      <c r="P19" s="356" t="str">
        <f>IF('Population Figures'!K19&lt;&gt;"", B19*'Population Figures'!K19*(1-'Scenario 2 Contributing Fact'!I22), "N/A")</f>
        <v>N/A</v>
      </c>
      <c r="Q19" s="356" t="str">
        <f>IF('Population Figures'!L19&lt;&gt;"", B19*'Population Figures'!L19*(1-'Scenario 2 Contributing Fact'!I22), "N/A")</f>
        <v>N/A</v>
      </c>
      <c r="R19" s="362">
        <f>B19*'Population Figures'!M19*(1-'Scenario 2 Contributing Fact'!J22)</f>
        <v>56582.831361600001</v>
      </c>
      <c r="S19" s="353" t="str">
        <f>IF('Population Figures'!N19&lt;&gt;"", B19*'Population Figures'!N19*(1-'Scenario 2 Contributing Fact'!J22), "N/A")</f>
        <v>N/A</v>
      </c>
      <c r="T19" s="353" t="str">
        <f>IF('Population Figures'!O19&lt;&gt;"", B19*'Population Figures'!O19*(1-'Scenario 2 Contributing Fact'!J22), "N/A")</f>
        <v>N/A</v>
      </c>
      <c r="U19" s="364">
        <f>B19*'Population Figures'!J19*(1-'Scenario 3 - Nut. Analysis'!B18)</f>
        <v>56582.831361600001</v>
      </c>
      <c r="V19" s="355" t="str">
        <f>IF('Population Figures'!K19&lt;&gt;"", B19*'Population Figures'!K19*(1-'Scenario 3 - Nut. Analysis'!B18), "N/A")</f>
        <v>N/A</v>
      </c>
      <c r="W19" s="355" t="str">
        <f>IF('Population Figures'!L19&lt;&gt;"", B19*'Population Figures'!L19*(1-'Scenario 3 - Nut. Analysis'!B18), "N/A")</f>
        <v>N/A</v>
      </c>
      <c r="X19" s="92">
        <f>B19*'Population Figures'!P19*(1-'Scenario 3 - Nut. Analysis'!C18)</f>
        <v>169748.49408480001</v>
      </c>
      <c r="Y19" s="353" t="str">
        <f>IF('Population Figures'!Q19&lt;&gt;"", B19*'Population Figures'!Q19*(1-'Scenario 3 - Nut. Analysis'!C18), "N/A")</f>
        <v>N/A</v>
      </c>
      <c r="Z19" s="353" t="str">
        <f>IF('Population Figures'!R19&lt;&gt;"",B19*'Population Figures'!R19*(1-'Scenario 3 - Nut. Analysis'!C18),"N/A")</f>
        <v>N/A</v>
      </c>
      <c r="AA19" s="92">
        <f>B19*'Population Figures'!J19*(1-'Scenario 3 - Nut. Analysis'!H18)</f>
        <v>56582.831361600001</v>
      </c>
      <c r="AB19" s="356" t="str">
        <f>IF('Population Figures'!K19&lt;&gt;"", B19*'Population Figures'!K19*(1-'Scenario 3 - Nut. Analysis'!H18), "N/A")</f>
        <v>N/A</v>
      </c>
      <c r="AC19" s="353" t="str">
        <f>IF('Population Figures'!L19&lt;&gt;"", B19*'Population Figures'!L19*(1-'Scenario 3 - Nut. Analysis'!H18), "N/A")</f>
        <v>N/A</v>
      </c>
      <c r="AD19" s="92">
        <f>B19*'Population Figures'!M19*(1-'Scenario 3 - Nut. Analysis'!I18)</f>
        <v>56582.831361600001</v>
      </c>
      <c r="AE19" s="353" t="str">
        <f>IF('Population Figures'!N19&lt;&gt;"", B19*'Population Figures'!N19*(1-'Scenario 3 - Nut. Analysis'!I18), "N/A")</f>
        <v>N/A</v>
      </c>
      <c r="AF19" s="353" t="str">
        <f>IF('Population Figures'!O19&lt;&gt;"", B19*'Population Figures'!O19*(1-'Scenario 3 - Nut. Analysis'!I18), "N/A")</f>
        <v>N/A</v>
      </c>
      <c r="AG19" s="8"/>
      <c r="AH19" s="8"/>
      <c r="AI19" s="8"/>
      <c r="AJ19" s="8"/>
      <c r="AK19" s="8"/>
      <c r="AL19" s="8"/>
      <c r="AM19" s="8"/>
      <c r="AN19" s="8"/>
      <c r="AO19" s="8"/>
      <c r="AP19" s="8"/>
      <c r="AQ19" s="8"/>
      <c r="AR19" s="8"/>
      <c r="AS19" s="8"/>
      <c r="AT19" s="8"/>
      <c r="AU19" s="8"/>
    </row>
    <row r="20" spans="1:47" s="9" customFormat="1" x14ac:dyDescent="0.2">
      <c r="A20" s="89" t="str">
        <f>'Population Figures'!E20</f>
        <v>Kapisa</v>
      </c>
      <c r="B20" s="299">
        <f>'Population Figures'!F20</f>
        <v>1371629.7000000002</v>
      </c>
      <c r="C20" s="303">
        <f>B20*'Population Figures'!G20*'Scenario 2 Contributing Fact'!B23</f>
        <v>26335.290240000002</v>
      </c>
      <c r="D20" s="355" t="str">
        <f>IF('Population Figures'!H20&lt;&gt;"", B20*'Population Figures'!H20*'Scenario 2 Contributing Fact'!B23, "N/A")</f>
        <v>N/A</v>
      </c>
      <c r="E20" s="355" t="str">
        <f>IF('Population Figures'!I20&lt;&gt;"", B20*'Population Figures'!I20*'Scenario 2 Contributing Fact'!B23, "N/A")</f>
        <v>N/A</v>
      </c>
      <c r="F20" s="92">
        <f>B20*('Population Figures'!G20)*'Scenario 2 Contributing Fact'!C23</f>
        <v>16313.597254531554</v>
      </c>
      <c r="G20" s="353" t="str">
        <f>IF('Population Figures'!H20&lt;&gt;"", B20*('Population Figures'!H20)*'Scenario 2 Contributing Fact'!C23, "N/A")</f>
        <v>N/A</v>
      </c>
      <c r="H20" s="353" t="str">
        <f>IF('Population Figures'!I20&lt;&gt;"", B20*('Population Figures'!I20)*'Scenario 2 Contributing Fact'!C23, "N/A")</f>
        <v>N/A</v>
      </c>
      <c r="I20" s="92">
        <f>B20*'Population Figures'!J20*(1-'Scenario 2 Contributing Fact'!H23)</f>
        <v>21726.614448</v>
      </c>
      <c r="J20" s="353" t="str">
        <f>IF('Population Figures'!K20&lt;&gt;"", B20*'Population Figures'!K20*(1-'Scenario 2 Contributing Fact'!H23), "N/A")</f>
        <v>N/A</v>
      </c>
      <c r="K20" s="353" t="str">
        <f>IF('Population Figures'!L20&lt;&gt;"", B20*'Population Figures'!L20*(1-'Scenario 2 Contributing Fact'!H23), "N/A")</f>
        <v>N/A</v>
      </c>
      <c r="L20" s="92">
        <f>B20*'Population Figures'!P20*(1-'Scenario 2 Contributing Fact'!K23)</f>
        <v>67401.883458000011</v>
      </c>
      <c r="M20" s="353" t="str">
        <f>IF('Population Figures'!Q20&lt;&gt;"", B20*'Population Figures'!Q20*(1-'Scenario 2 Contributing Fact'!K23), "N/A")</f>
        <v>N/A</v>
      </c>
      <c r="N20" s="353" t="str">
        <f>IF('Population Figures'!R20&lt;&gt;"", B20*'Population Figures'!R20*(1-'Scenario 2 Contributing Fact'!K23), "N/A")</f>
        <v>N/A</v>
      </c>
      <c r="O20" s="92">
        <f>B20*'Population Figures'!J20*(1-'Scenario 2 Contributing Fact'!I23)</f>
        <v>21726.614448</v>
      </c>
      <c r="P20" s="356" t="str">
        <f>IF('Population Figures'!K20&lt;&gt;"", B20*'Population Figures'!K20*(1-'Scenario 2 Contributing Fact'!I23), "N/A")</f>
        <v>N/A</v>
      </c>
      <c r="Q20" s="356" t="str">
        <f>IF('Population Figures'!L20&lt;&gt;"", B20*'Population Figures'!L20*(1-'Scenario 2 Contributing Fact'!I23), "N/A")</f>
        <v>N/A</v>
      </c>
      <c r="R20" s="362">
        <f>B20*'Population Figures'!M20*(1-'Scenario 2 Contributing Fact'!J23)</f>
        <v>21726.614448</v>
      </c>
      <c r="S20" s="353" t="str">
        <f>IF('Population Figures'!N20&lt;&gt;"", B20*'Population Figures'!N20*(1-'Scenario 2 Contributing Fact'!J23), "N/A")</f>
        <v>N/A</v>
      </c>
      <c r="T20" s="353" t="str">
        <f>IF('Population Figures'!O20&lt;&gt;"", B20*'Population Figures'!O20*(1-'Scenario 2 Contributing Fact'!J23), "N/A")</f>
        <v>N/A</v>
      </c>
      <c r="U20" s="364">
        <f>B20*'Population Figures'!J20*(1-'Scenario 3 - Nut. Analysis'!B19)</f>
        <v>21726.614448</v>
      </c>
      <c r="V20" s="355" t="str">
        <f>IF('Population Figures'!K20&lt;&gt;"", B20*'Population Figures'!K20*(1-'Scenario 3 - Nut. Analysis'!B19), "N/A")</f>
        <v>N/A</v>
      </c>
      <c r="W20" s="355" t="str">
        <f>IF('Population Figures'!L20&lt;&gt;"", B20*'Population Figures'!L20*(1-'Scenario 3 - Nut. Analysis'!B19), "N/A")</f>
        <v>N/A</v>
      </c>
      <c r="X20" s="92">
        <f>B20*'Population Figures'!P20*(1-'Scenario 3 - Nut. Analysis'!C19)</f>
        <v>65179.843344000008</v>
      </c>
      <c r="Y20" s="353" t="str">
        <f>IF('Population Figures'!Q20&lt;&gt;"", B20*'Population Figures'!Q20*(1-'Scenario 3 - Nut. Analysis'!C19), "N/A")</f>
        <v>N/A</v>
      </c>
      <c r="Z20" s="353" t="str">
        <f>IF('Population Figures'!R20&lt;&gt;"",B20*'Population Figures'!R20*(1-'Scenario 3 - Nut. Analysis'!C19),"N/A")</f>
        <v>N/A</v>
      </c>
      <c r="AA20" s="92">
        <f>B20*'Population Figures'!J20*(1-'Scenario 3 - Nut. Analysis'!H19)</f>
        <v>21726.614448</v>
      </c>
      <c r="AB20" s="356" t="str">
        <f>IF('Population Figures'!K20&lt;&gt;"", B20*'Population Figures'!K20*(1-'Scenario 3 - Nut. Analysis'!H19), "N/A")</f>
        <v>N/A</v>
      </c>
      <c r="AC20" s="353" t="str">
        <f>IF('Population Figures'!L20&lt;&gt;"", B20*'Population Figures'!L20*(1-'Scenario 3 - Nut. Analysis'!H19), "N/A")</f>
        <v>N/A</v>
      </c>
      <c r="AD20" s="92">
        <f>B20*'Population Figures'!M20*(1-'Scenario 3 - Nut. Analysis'!I19)</f>
        <v>21726.614448</v>
      </c>
      <c r="AE20" s="353" t="str">
        <f>IF('Population Figures'!N20&lt;&gt;"", B20*'Population Figures'!N20*(1-'Scenario 3 - Nut. Analysis'!I19), "N/A")</f>
        <v>N/A</v>
      </c>
      <c r="AF20" s="353" t="str">
        <f>IF('Population Figures'!O20&lt;&gt;"", B20*'Population Figures'!O20*(1-'Scenario 3 - Nut. Analysis'!I19), "N/A")</f>
        <v>N/A</v>
      </c>
      <c r="AG20" s="8"/>
      <c r="AH20" s="8"/>
      <c r="AI20" s="8"/>
      <c r="AJ20" s="8"/>
      <c r="AK20" s="8"/>
      <c r="AL20" s="8"/>
      <c r="AM20" s="8"/>
      <c r="AN20" s="8"/>
      <c r="AO20" s="8"/>
      <c r="AP20" s="8"/>
      <c r="AQ20" s="8"/>
      <c r="AR20" s="8"/>
      <c r="AS20" s="8"/>
      <c r="AT20" s="8"/>
      <c r="AU20" s="8"/>
    </row>
    <row r="21" spans="1:47" s="9" customFormat="1" x14ac:dyDescent="0.2">
      <c r="A21" s="89" t="str">
        <f>'Population Figures'!E21</f>
        <v>Khost</v>
      </c>
      <c r="B21" s="299">
        <f>'Population Figures'!F21</f>
        <v>1787269.5</v>
      </c>
      <c r="C21" s="303">
        <f>B21*'Population Figures'!G21*'Scenario 2 Contributing Fact'!B24</f>
        <v>40034.836800000005</v>
      </c>
      <c r="D21" s="355" t="str">
        <f>IF('Population Figures'!H21&lt;&gt;"", B21*'Population Figures'!H21*'Scenario 2 Contributing Fact'!B24, "N/A")</f>
        <v>N/A</v>
      </c>
      <c r="E21" s="355" t="str">
        <f>IF('Population Figures'!I21&lt;&gt;"", B21*'Population Figures'!I21*'Scenario 2 Contributing Fact'!B24, "N/A")</f>
        <v>N/A</v>
      </c>
      <c r="F21" s="92">
        <f>B21*('Population Figures'!G21)*'Scenario 2 Contributing Fact'!C24</f>
        <v>40034.836800000005</v>
      </c>
      <c r="G21" s="353" t="str">
        <f>IF('Population Figures'!H21&lt;&gt;"", B21*('Population Figures'!H21)*'Scenario 2 Contributing Fact'!C24, "N/A")</f>
        <v>N/A</v>
      </c>
      <c r="H21" s="353" t="str">
        <f>IF('Population Figures'!I21&lt;&gt;"", B21*('Population Figures'!I21)*'Scenario 2 Contributing Fact'!C24, "N/A")</f>
        <v>N/A</v>
      </c>
      <c r="I21" s="92">
        <f>B21*'Population Figures'!J21*(1-'Scenario 2 Contributing Fact'!H24)</f>
        <v>27666.931859999997</v>
      </c>
      <c r="J21" s="353" t="str">
        <f>IF('Population Figures'!K21&lt;&gt;"", B21*'Population Figures'!K21*(1-'Scenario 2 Contributing Fact'!H24), "N/A")</f>
        <v>N/A</v>
      </c>
      <c r="K21" s="353" t="str">
        <f>IF('Population Figures'!L21&lt;&gt;"", B21*'Population Figures'!L21*(1-'Scenario 2 Contributing Fact'!H24), "N/A")</f>
        <v>N/A</v>
      </c>
      <c r="L21" s="92">
        <f>B21*'Population Figures'!P21*(1-'Scenario 2 Contributing Fact'!K24)</f>
        <v>85896.172170000005</v>
      </c>
      <c r="M21" s="353" t="str">
        <f>IF('Population Figures'!Q21&lt;&gt;"", B21*'Population Figures'!Q21*(1-'Scenario 2 Contributing Fact'!K24), "N/A")</f>
        <v>N/A</v>
      </c>
      <c r="N21" s="353" t="str">
        <f>IF('Population Figures'!R21&lt;&gt;"", B21*'Population Figures'!R21*(1-'Scenario 2 Contributing Fact'!K24), "N/A")</f>
        <v>N/A</v>
      </c>
      <c r="O21" s="92">
        <f>B21*'Population Figures'!J21*(1-'Scenario 2 Contributing Fact'!I24)</f>
        <v>27666.931859999997</v>
      </c>
      <c r="P21" s="356" t="str">
        <f>IF('Population Figures'!K21&lt;&gt;"", B21*'Population Figures'!K21*(1-'Scenario 2 Contributing Fact'!I24), "N/A")</f>
        <v>N/A</v>
      </c>
      <c r="Q21" s="356" t="str">
        <f>IF('Population Figures'!L21&lt;&gt;"", B21*'Population Figures'!L21*(1-'Scenario 2 Contributing Fact'!I24), "N/A")</f>
        <v>N/A</v>
      </c>
      <c r="R21" s="362">
        <f>B21*'Population Figures'!M21*(1-'Scenario 2 Contributing Fact'!J24)</f>
        <v>27666.931859999997</v>
      </c>
      <c r="S21" s="353" t="str">
        <f>IF('Population Figures'!N21&lt;&gt;"", B21*'Population Figures'!N21*(1-'Scenario 2 Contributing Fact'!J24), "N/A")</f>
        <v>N/A</v>
      </c>
      <c r="T21" s="353" t="str">
        <f>IF('Population Figures'!O21&lt;&gt;"", B21*'Population Figures'!O21*(1-'Scenario 2 Contributing Fact'!J24), "N/A")</f>
        <v>N/A</v>
      </c>
      <c r="U21" s="364">
        <f>B21*'Population Figures'!J21*(1-'Scenario 3 - Nut. Analysis'!B20)</f>
        <v>27666.931859999997</v>
      </c>
      <c r="V21" s="355" t="str">
        <f>IF('Population Figures'!K21&lt;&gt;"", B21*'Population Figures'!K21*(1-'Scenario 3 - Nut. Analysis'!B20), "N/A")</f>
        <v>N/A</v>
      </c>
      <c r="W21" s="355" t="str">
        <f>IF('Population Figures'!L21&lt;&gt;"", B21*'Population Figures'!L21*(1-'Scenario 3 - Nut. Analysis'!B20), "N/A")</f>
        <v>N/A</v>
      </c>
      <c r="X21" s="92">
        <f>B21*'Population Figures'!P21*(1-'Scenario 3 - Nut. Analysis'!C20)</f>
        <v>83000.795580000005</v>
      </c>
      <c r="Y21" s="353" t="str">
        <f>IF('Population Figures'!Q21&lt;&gt;"", B21*'Population Figures'!Q21*(1-'Scenario 3 - Nut. Analysis'!C20), "N/A")</f>
        <v>N/A</v>
      </c>
      <c r="Z21" s="353" t="str">
        <f>IF('Population Figures'!R21&lt;&gt;"",B21*'Population Figures'!R21*(1-'Scenario 3 - Nut. Analysis'!C20),"N/A")</f>
        <v>N/A</v>
      </c>
      <c r="AA21" s="92">
        <f>B21*'Population Figures'!J21*(1-'Scenario 3 - Nut. Analysis'!H20)</f>
        <v>27666.931859999997</v>
      </c>
      <c r="AB21" s="356" t="str">
        <f>IF('Population Figures'!K21&lt;&gt;"", B21*'Population Figures'!K21*(1-'Scenario 3 - Nut. Analysis'!H20), "N/A")</f>
        <v>N/A</v>
      </c>
      <c r="AC21" s="353" t="str">
        <f>IF('Population Figures'!L21&lt;&gt;"", B21*'Population Figures'!L21*(1-'Scenario 3 - Nut. Analysis'!H20), "N/A")</f>
        <v>N/A</v>
      </c>
      <c r="AD21" s="92">
        <f>B21*'Population Figures'!M21*(1-'Scenario 3 - Nut. Analysis'!I20)</f>
        <v>27666.931859999997</v>
      </c>
      <c r="AE21" s="353" t="str">
        <f>IF('Population Figures'!N21&lt;&gt;"", B21*'Population Figures'!N21*(1-'Scenario 3 - Nut. Analysis'!I20), "N/A")</f>
        <v>N/A</v>
      </c>
      <c r="AF21" s="353" t="str">
        <f>IF('Population Figures'!O21&lt;&gt;"", B21*'Population Figures'!O21*(1-'Scenario 3 - Nut. Analysis'!I20), "N/A")</f>
        <v>N/A</v>
      </c>
      <c r="AG21" s="8"/>
      <c r="AH21" s="8"/>
      <c r="AI21" s="8"/>
      <c r="AJ21" s="8"/>
      <c r="AK21" s="8"/>
      <c r="AL21" s="8"/>
      <c r="AM21" s="8"/>
      <c r="AN21" s="8"/>
      <c r="AO21" s="8"/>
      <c r="AP21" s="8"/>
      <c r="AQ21" s="8"/>
      <c r="AR21" s="8"/>
      <c r="AS21" s="8"/>
      <c r="AT21" s="8"/>
      <c r="AU21" s="8"/>
    </row>
    <row r="22" spans="1:47" s="9" customFormat="1" x14ac:dyDescent="0.2">
      <c r="A22" s="89" t="str">
        <f>'Population Figures'!E22</f>
        <v>Kunar</v>
      </c>
      <c r="B22" s="299">
        <f>'Population Figures'!F22</f>
        <v>1401877.8</v>
      </c>
      <c r="C22" s="303">
        <f>B22*'Population Figures'!G22*'Scenario 2 Contributing Fact'!B25</f>
        <v>31402.062720000005</v>
      </c>
      <c r="D22" s="355" t="str">
        <f>IF('Population Figures'!H22&lt;&gt;"", B22*'Population Figures'!H22*'Scenario 2 Contributing Fact'!B25, "N/A")</f>
        <v>N/A</v>
      </c>
      <c r="E22" s="355" t="str">
        <f>IF('Population Figures'!I22&lt;&gt;"", B22*'Population Figures'!I22*'Scenario 2 Contributing Fact'!B25, "N/A")</f>
        <v>N/A</v>
      </c>
      <c r="F22" s="92">
        <f>B22*('Population Figures'!G22)*'Scenario 2 Contributing Fact'!C25</f>
        <v>35663.771231999999</v>
      </c>
      <c r="G22" s="353" t="str">
        <f>IF('Population Figures'!H22&lt;&gt;"", B22*('Population Figures'!H22)*'Scenario 2 Contributing Fact'!C25, "N/A")</f>
        <v>N/A</v>
      </c>
      <c r="H22" s="353" t="str">
        <f>IF('Population Figures'!I22&lt;&gt;"", B22*('Population Figures'!I22)*'Scenario 2 Contributing Fact'!C25, "N/A")</f>
        <v>N/A</v>
      </c>
      <c r="I22" s="92">
        <f>B22*'Population Figures'!J22*(1-'Scenario 2 Contributing Fact'!H25)</f>
        <v>21701.068343999999</v>
      </c>
      <c r="J22" s="353" t="str">
        <f>IF('Population Figures'!K22&lt;&gt;"", B22*'Population Figures'!K22*(1-'Scenario 2 Contributing Fact'!H25), "N/A")</f>
        <v>N/A</v>
      </c>
      <c r="K22" s="353" t="str">
        <f>IF('Population Figures'!L22&lt;&gt;"", B22*'Population Figures'!L22*(1-'Scenario 2 Contributing Fact'!H25), "N/A")</f>
        <v>N/A</v>
      </c>
      <c r="L22" s="92">
        <f>B22*'Population Figures'!P22*(1-'Scenario 2 Contributing Fact'!K25)</f>
        <v>63589.177008000006</v>
      </c>
      <c r="M22" s="353" t="str">
        <f>IF('Population Figures'!Q22&lt;&gt;"", B22*'Population Figures'!Q22*(1-'Scenario 2 Contributing Fact'!K25), "N/A")</f>
        <v>N/A</v>
      </c>
      <c r="N22" s="353" t="str">
        <f>IF('Population Figures'!R22&lt;&gt;"", B22*'Population Figures'!R22*(1-'Scenario 2 Contributing Fact'!K25), "N/A")</f>
        <v>N/A</v>
      </c>
      <c r="O22" s="92">
        <f>B22*'Population Figures'!J22*(1-'Scenario 2 Contributing Fact'!I25)</f>
        <v>21701.068343999999</v>
      </c>
      <c r="P22" s="356" t="str">
        <f>IF('Population Figures'!K22&lt;&gt;"", B22*'Population Figures'!K22*(1-'Scenario 2 Contributing Fact'!I25), "N/A")</f>
        <v>N/A</v>
      </c>
      <c r="Q22" s="356" t="str">
        <f>IF('Population Figures'!L22&lt;&gt;"", B22*'Population Figures'!L22*(1-'Scenario 2 Contributing Fact'!I25), "N/A")</f>
        <v>N/A</v>
      </c>
      <c r="R22" s="362">
        <f>B22*'Population Figures'!M22*(1-'Scenario 2 Contributing Fact'!J25)</f>
        <v>21701.068343999999</v>
      </c>
      <c r="S22" s="353" t="str">
        <f>IF('Population Figures'!N22&lt;&gt;"", B22*'Population Figures'!N22*(1-'Scenario 2 Contributing Fact'!J25), "N/A")</f>
        <v>N/A</v>
      </c>
      <c r="T22" s="353" t="str">
        <f>IF('Population Figures'!O22&lt;&gt;"", B22*'Population Figures'!O22*(1-'Scenario 2 Contributing Fact'!J25), "N/A")</f>
        <v>N/A</v>
      </c>
      <c r="U22" s="364">
        <f>B22*'Population Figures'!J22*(1-'Scenario 3 - Nut. Analysis'!B21)</f>
        <v>21701.068343999999</v>
      </c>
      <c r="V22" s="355" t="str">
        <f>IF('Population Figures'!K22&lt;&gt;"", B22*'Population Figures'!K22*(1-'Scenario 3 - Nut. Analysis'!B21), "N/A")</f>
        <v>N/A</v>
      </c>
      <c r="W22" s="355" t="str">
        <f>IF('Population Figures'!L22&lt;&gt;"", B22*'Population Figures'!L22*(1-'Scenario 3 - Nut. Analysis'!B21), "N/A")</f>
        <v>N/A</v>
      </c>
      <c r="X22" s="92">
        <f>B22*'Population Figures'!P22*(1-'Scenario 3 - Nut. Analysis'!C21)</f>
        <v>65103.205032000005</v>
      </c>
      <c r="Y22" s="353" t="str">
        <f>IF('Population Figures'!Q22&lt;&gt;"", B22*'Population Figures'!Q22*(1-'Scenario 3 - Nut. Analysis'!C21), "N/A")</f>
        <v>N/A</v>
      </c>
      <c r="Z22" s="353" t="str">
        <f>IF('Population Figures'!R22&lt;&gt;"",B22*'Population Figures'!R22*(1-'Scenario 3 - Nut. Analysis'!C21),"N/A")</f>
        <v>N/A</v>
      </c>
      <c r="AA22" s="92">
        <f>B22*'Population Figures'!J22*(1-'Scenario 3 - Nut. Analysis'!H21)</f>
        <v>21701.068343999999</v>
      </c>
      <c r="AB22" s="356" t="str">
        <f>IF('Population Figures'!K22&lt;&gt;"", B22*'Population Figures'!K22*(1-'Scenario 3 - Nut. Analysis'!H21), "N/A")</f>
        <v>N/A</v>
      </c>
      <c r="AC22" s="353" t="str">
        <f>IF('Population Figures'!L22&lt;&gt;"", B22*'Population Figures'!L22*(1-'Scenario 3 - Nut. Analysis'!H21), "N/A")</f>
        <v>N/A</v>
      </c>
      <c r="AD22" s="92">
        <f>B22*'Population Figures'!M22*(1-'Scenario 3 - Nut. Analysis'!I21)</f>
        <v>21701.068343999999</v>
      </c>
      <c r="AE22" s="353" t="str">
        <f>IF('Population Figures'!N22&lt;&gt;"", B22*'Population Figures'!N22*(1-'Scenario 3 - Nut. Analysis'!I21), "N/A")</f>
        <v>N/A</v>
      </c>
      <c r="AF22" s="353" t="str">
        <f>IF('Population Figures'!O22&lt;&gt;"", B22*'Population Figures'!O22*(1-'Scenario 3 - Nut. Analysis'!I21), "N/A")</f>
        <v>N/A</v>
      </c>
      <c r="AG22" s="8"/>
      <c r="AH22" s="8"/>
      <c r="AI22" s="8"/>
      <c r="AJ22" s="8"/>
      <c r="AK22" s="8"/>
      <c r="AL22" s="8"/>
      <c r="AM22" s="8"/>
      <c r="AN22" s="8"/>
      <c r="AO22" s="8"/>
      <c r="AP22" s="8"/>
      <c r="AQ22" s="8"/>
      <c r="AR22" s="8"/>
      <c r="AS22" s="8"/>
      <c r="AT22" s="8"/>
      <c r="AU22" s="8"/>
    </row>
    <row r="23" spans="1:47" s="9" customFormat="1" x14ac:dyDescent="0.2">
      <c r="A23" s="89" t="str">
        <f>'Population Figures'!E23</f>
        <v>Kunduz</v>
      </c>
      <c r="B23" s="299">
        <f>'Population Figures'!F23</f>
        <v>3150187.38</v>
      </c>
      <c r="C23" s="303">
        <f>B23*'Population Figures'!G23*'Scenario 2 Contributing Fact'!B26</f>
        <v>10080.599616000001</v>
      </c>
      <c r="D23" s="355" t="str">
        <f>IF('Population Figures'!H23&lt;&gt;"", B23*'Population Figures'!H23*'Scenario 2 Contributing Fact'!B26, "N/A")</f>
        <v>N/A</v>
      </c>
      <c r="E23" s="355" t="str">
        <f>IF('Population Figures'!I23&lt;&gt;"", B23*'Population Figures'!I23*'Scenario 2 Contributing Fact'!B26, "N/A")</f>
        <v>N/A</v>
      </c>
      <c r="F23" s="92">
        <f>B23*('Population Figures'!G23)*'Scenario 2 Contributing Fact'!C26</f>
        <v>37936.746778821063</v>
      </c>
      <c r="G23" s="353" t="str">
        <f>IF('Population Figures'!H23&lt;&gt;"", B23*('Population Figures'!H23)*'Scenario 2 Contributing Fact'!C26, "N/A")</f>
        <v>N/A</v>
      </c>
      <c r="H23" s="353" t="str">
        <f>IF('Population Figures'!I23&lt;&gt;"", B23*('Population Figures'!I23)*'Scenario 2 Contributing Fact'!C26, "N/A")</f>
        <v>N/A</v>
      </c>
      <c r="I23" s="92">
        <f>B23*'Population Figures'!J23*(1-'Scenario 2 Contributing Fact'!H26)</f>
        <v>55569.305383199993</v>
      </c>
      <c r="J23" s="353" t="str">
        <f>IF('Population Figures'!K23&lt;&gt;"", B23*'Population Figures'!K23*(1-'Scenario 2 Contributing Fact'!H26), "N/A")</f>
        <v>N/A</v>
      </c>
      <c r="K23" s="353" t="str">
        <f>IF('Population Figures'!L23&lt;&gt;"", B23*'Population Figures'!L23*(1-'Scenario 2 Contributing Fact'!H26), "N/A")</f>
        <v>N/A</v>
      </c>
      <c r="L23" s="92">
        <f>B23*'Population Figures'!P23*(1-'Scenario 2 Contributing Fact'!K26)</f>
        <v>163305.71377919998</v>
      </c>
      <c r="M23" s="353" t="str">
        <f>IF('Population Figures'!Q23&lt;&gt;"", B23*'Population Figures'!Q23*(1-'Scenario 2 Contributing Fact'!K26), "N/A")</f>
        <v>N/A</v>
      </c>
      <c r="N23" s="353" t="str">
        <f>IF('Population Figures'!R23&lt;&gt;"", B23*'Population Figures'!R23*(1-'Scenario 2 Contributing Fact'!K26), "N/A")</f>
        <v>N/A</v>
      </c>
      <c r="O23" s="92">
        <f>B23*'Population Figures'!J23*(1-'Scenario 2 Contributing Fact'!I26)</f>
        <v>55569.305383199993</v>
      </c>
      <c r="P23" s="356" t="str">
        <f>IF('Population Figures'!K23&lt;&gt;"", B23*'Population Figures'!K23*(1-'Scenario 2 Contributing Fact'!I26), "N/A")</f>
        <v>N/A</v>
      </c>
      <c r="Q23" s="356" t="str">
        <f>IF('Population Figures'!L23&lt;&gt;"", B23*'Population Figures'!L23*(1-'Scenario 2 Contributing Fact'!I26), "N/A")</f>
        <v>N/A</v>
      </c>
      <c r="R23" s="362">
        <f>B23*'Population Figures'!M23*(1-'Scenario 2 Contributing Fact'!J26)</f>
        <v>55569.305383199993</v>
      </c>
      <c r="S23" s="353" t="str">
        <f>IF('Population Figures'!N23&lt;&gt;"", B23*'Population Figures'!N23*(1-'Scenario 2 Contributing Fact'!J26), "N/A")</f>
        <v>N/A</v>
      </c>
      <c r="T23" s="353" t="str">
        <f>IF('Population Figures'!O23&lt;&gt;"", B23*'Population Figures'!O23*(1-'Scenario 2 Contributing Fact'!J26), "N/A")</f>
        <v>N/A</v>
      </c>
      <c r="U23" s="364">
        <f>B23*'Population Figures'!J23*(1-'Scenario 3 - Nut. Analysis'!B22)</f>
        <v>55569.305383199993</v>
      </c>
      <c r="V23" s="355" t="str">
        <f>IF('Population Figures'!K23&lt;&gt;"", B23*'Population Figures'!K23*(1-'Scenario 3 - Nut. Analysis'!B22), "N/A")</f>
        <v>N/A</v>
      </c>
      <c r="W23" s="355" t="str">
        <f>IF('Population Figures'!L23&lt;&gt;"", B23*'Population Figures'!L23*(1-'Scenario 3 - Nut. Analysis'!B22), "N/A")</f>
        <v>N/A</v>
      </c>
      <c r="X23" s="92">
        <f>B23*'Population Figures'!P23*(1-'Scenario 3 - Nut. Analysis'!C22)</f>
        <v>166707.91614959997</v>
      </c>
      <c r="Y23" s="353" t="str">
        <f>IF('Population Figures'!Q23&lt;&gt;"", B23*'Population Figures'!Q23*(1-'Scenario 3 - Nut. Analysis'!C22), "N/A")</f>
        <v>N/A</v>
      </c>
      <c r="Z23" s="353" t="str">
        <f>IF('Population Figures'!R23&lt;&gt;"",B23*'Population Figures'!R23*(1-'Scenario 3 - Nut. Analysis'!C22),"N/A")</f>
        <v>N/A</v>
      </c>
      <c r="AA23" s="92">
        <f>B23*'Population Figures'!J23*(1-'Scenario 3 - Nut. Analysis'!H22)</f>
        <v>55569.305383199993</v>
      </c>
      <c r="AB23" s="356" t="str">
        <f>IF('Population Figures'!K23&lt;&gt;"", B23*'Population Figures'!K23*(1-'Scenario 3 - Nut. Analysis'!H22), "N/A")</f>
        <v>N/A</v>
      </c>
      <c r="AC23" s="353" t="str">
        <f>IF('Population Figures'!L23&lt;&gt;"", B23*'Population Figures'!L23*(1-'Scenario 3 - Nut. Analysis'!H22), "N/A")</f>
        <v>N/A</v>
      </c>
      <c r="AD23" s="92">
        <f>B23*'Population Figures'!M23*(1-'Scenario 3 - Nut. Analysis'!I22)</f>
        <v>55569.305383199993</v>
      </c>
      <c r="AE23" s="353" t="str">
        <f>IF('Population Figures'!N23&lt;&gt;"", B23*'Population Figures'!N23*(1-'Scenario 3 - Nut. Analysis'!I22), "N/A")</f>
        <v>N/A</v>
      </c>
      <c r="AF23" s="353" t="str">
        <f>IF('Population Figures'!O23&lt;&gt;"", B23*'Population Figures'!O23*(1-'Scenario 3 - Nut. Analysis'!I22), "N/A")</f>
        <v>N/A</v>
      </c>
      <c r="AG23" s="8"/>
      <c r="AH23" s="8"/>
      <c r="AI23" s="8"/>
      <c r="AJ23" s="8"/>
      <c r="AK23" s="8"/>
      <c r="AL23" s="8"/>
      <c r="AM23" s="8"/>
      <c r="AN23" s="8"/>
      <c r="AO23" s="8"/>
      <c r="AP23" s="8"/>
      <c r="AQ23" s="8"/>
      <c r="AR23" s="8"/>
      <c r="AS23" s="8"/>
      <c r="AT23" s="8"/>
      <c r="AU23" s="8"/>
    </row>
    <row r="24" spans="1:47" s="9" customFormat="1" x14ac:dyDescent="0.2">
      <c r="A24" s="89" t="str">
        <f>'Population Figures'!E24</f>
        <v>Laghman</v>
      </c>
      <c r="B24" s="299">
        <f>'Population Figures'!F24</f>
        <v>1385941.32</v>
      </c>
      <c r="C24" s="303">
        <f>B24*'Population Figures'!G24*'Scenario 2 Contributing Fact'!B27</f>
        <v>35480.097792</v>
      </c>
      <c r="D24" s="355" t="str">
        <f>IF('Population Figures'!H24&lt;&gt;"", B24*'Population Figures'!H24*'Scenario 2 Contributing Fact'!B27, "N/A")</f>
        <v>N/A</v>
      </c>
      <c r="E24" s="355" t="str">
        <f>IF('Population Figures'!I24&lt;&gt;"", B24*'Population Figures'!I24*'Scenario 2 Contributing Fact'!B27, "N/A")</f>
        <v>N/A</v>
      </c>
      <c r="F24" s="92">
        <f>B24*('Population Figures'!G24)*'Scenario 2 Contributing Fact'!C27</f>
        <v>37254.102681600001</v>
      </c>
      <c r="G24" s="353" t="str">
        <f>IF('Population Figures'!H24&lt;&gt;"", B24*('Population Figures'!H24)*'Scenario 2 Contributing Fact'!C27, "N/A")</f>
        <v>N/A</v>
      </c>
      <c r="H24" s="353" t="str">
        <f>IF('Population Figures'!I24&lt;&gt;"", B24*('Population Figures'!I24)*'Scenario 2 Contributing Fact'!C27, "N/A")</f>
        <v>N/A</v>
      </c>
      <c r="I24" s="92">
        <f>B24*'Population Figures'!J24*(1-'Scenario 2 Contributing Fact'!H27)</f>
        <v>20955.432758399998</v>
      </c>
      <c r="J24" s="353" t="str">
        <f>IF('Population Figures'!K24&lt;&gt;"", B24*'Population Figures'!K24*(1-'Scenario 2 Contributing Fact'!H27), "N/A")</f>
        <v>N/A</v>
      </c>
      <c r="K24" s="353" t="str">
        <f>IF('Population Figures'!L24&lt;&gt;"", B24*'Population Figures'!L24*(1-'Scenario 2 Contributing Fact'!H27), "N/A")</f>
        <v>N/A</v>
      </c>
      <c r="L24" s="92">
        <f>B24*'Population Figures'!P24*(1-'Scenario 2 Contributing Fact'!K27)</f>
        <v>61369.481649600006</v>
      </c>
      <c r="M24" s="353" t="str">
        <f>IF('Population Figures'!Q24&lt;&gt;"", B24*'Population Figures'!Q24*(1-'Scenario 2 Contributing Fact'!K27), "N/A")</f>
        <v>N/A</v>
      </c>
      <c r="N24" s="353" t="str">
        <f>IF('Population Figures'!R24&lt;&gt;"", B24*'Population Figures'!R24*(1-'Scenario 2 Contributing Fact'!K27), "N/A")</f>
        <v>N/A</v>
      </c>
      <c r="O24" s="92">
        <f>B24*'Population Figures'!J24*(1-'Scenario 2 Contributing Fact'!I27)</f>
        <v>20955.432758399998</v>
      </c>
      <c r="P24" s="356" t="str">
        <f>IF('Population Figures'!K24&lt;&gt;"", B24*'Population Figures'!K24*(1-'Scenario 2 Contributing Fact'!I27), "N/A")</f>
        <v>N/A</v>
      </c>
      <c r="Q24" s="356" t="str">
        <f>IF('Population Figures'!L24&lt;&gt;"", B24*'Population Figures'!L24*(1-'Scenario 2 Contributing Fact'!I27), "N/A")</f>
        <v>N/A</v>
      </c>
      <c r="R24" s="362">
        <f>B24*'Population Figures'!M24*(1-'Scenario 2 Contributing Fact'!J27)</f>
        <v>20955.432758399998</v>
      </c>
      <c r="S24" s="353" t="str">
        <f>IF('Population Figures'!N24&lt;&gt;"", B24*'Population Figures'!N24*(1-'Scenario 2 Contributing Fact'!J27), "N/A")</f>
        <v>N/A</v>
      </c>
      <c r="T24" s="353" t="str">
        <f>IF('Population Figures'!O24&lt;&gt;"", B24*'Population Figures'!O24*(1-'Scenario 2 Contributing Fact'!J27), "N/A")</f>
        <v>N/A</v>
      </c>
      <c r="U24" s="364">
        <f>B24*'Population Figures'!J24*(1-'Scenario 3 - Nut. Analysis'!B23)</f>
        <v>20955.432758399998</v>
      </c>
      <c r="V24" s="355" t="str">
        <f>IF('Population Figures'!K24&lt;&gt;"", B24*'Population Figures'!K24*(1-'Scenario 3 - Nut. Analysis'!B23), "N/A")</f>
        <v>N/A</v>
      </c>
      <c r="W24" s="355" t="str">
        <f>IF('Population Figures'!L24&lt;&gt;"", B24*'Population Figures'!L24*(1-'Scenario 3 - Nut. Analysis'!B23), "N/A")</f>
        <v>N/A</v>
      </c>
      <c r="X24" s="92">
        <f>B24*'Population Figures'!P24*(1-'Scenario 3 - Nut. Analysis'!C23)</f>
        <v>62866.298275199995</v>
      </c>
      <c r="Y24" s="353" t="str">
        <f>IF('Population Figures'!Q24&lt;&gt;"", B24*'Population Figures'!Q24*(1-'Scenario 3 - Nut. Analysis'!C23), "N/A")</f>
        <v>N/A</v>
      </c>
      <c r="Z24" s="353" t="str">
        <f>IF('Population Figures'!R24&lt;&gt;"",B24*'Population Figures'!R24*(1-'Scenario 3 - Nut. Analysis'!C23),"N/A")</f>
        <v>N/A</v>
      </c>
      <c r="AA24" s="92">
        <f>B24*'Population Figures'!J24*(1-'Scenario 3 - Nut. Analysis'!H23)</f>
        <v>20955.432758399998</v>
      </c>
      <c r="AB24" s="356" t="str">
        <f>IF('Population Figures'!K24&lt;&gt;"", B24*'Population Figures'!K24*(1-'Scenario 3 - Nut. Analysis'!H23), "N/A")</f>
        <v>N/A</v>
      </c>
      <c r="AC24" s="353" t="str">
        <f>IF('Population Figures'!L24&lt;&gt;"", B24*'Population Figures'!L24*(1-'Scenario 3 - Nut. Analysis'!H23), "N/A")</f>
        <v>N/A</v>
      </c>
      <c r="AD24" s="92">
        <f>B24*'Population Figures'!M24*(1-'Scenario 3 - Nut. Analysis'!I23)</f>
        <v>20955.432758399998</v>
      </c>
      <c r="AE24" s="353" t="str">
        <f>IF('Population Figures'!N24&lt;&gt;"", B24*'Population Figures'!N24*(1-'Scenario 3 - Nut. Analysis'!I23), "N/A")</f>
        <v>N/A</v>
      </c>
      <c r="AF24" s="353" t="str">
        <f>IF('Population Figures'!O24&lt;&gt;"", B24*'Population Figures'!O24*(1-'Scenario 3 - Nut. Analysis'!I23), "N/A")</f>
        <v>N/A</v>
      </c>
      <c r="AG24" s="8"/>
      <c r="AH24" s="8"/>
      <c r="AI24" s="8"/>
      <c r="AJ24" s="8"/>
      <c r="AK24" s="8"/>
      <c r="AL24" s="8"/>
      <c r="AM24" s="8"/>
      <c r="AN24" s="8"/>
      <c r="AO24" s="8"/>
      <c r="AP24" s="8"/>
      <c r="AQ24" s="8"/>
      <c r="AR24" s="8"/>
      <c r="AS24" s="8"/>
      <c r="AT24" s="8"/>
      <c r="AU24" s="8"/>
    </row>
    <row r="25" spans="1:47" s="9" customFormat="1" x14ac:dyDescent="0.2">
      <c r="A25" s="89" t="str">
        <f>'Population Figures'!E25</f>
        <v>Logar</v>
      </c>
      <c r="B25" s="299">
        <f>'Population Figures'!F25</f>
        <v>1219517.1000000001</v>
      </c>
      <c r="C25" s="303">
        <f>B25*'Population Figures'!G25*'Scenario 2 Contributing Fact'!B28</f>
        <v>23414.728319999998</v>
      </c>
      <c r="D25" s="355" t="str">
        <f>IF('Population Figures'!H25&lt;&gt;"", B25*'Population Figures'!H25*'Scenario 2 Contributing Fact'!B28, "N/A")</f>
        <v>N/A</v>
      </c>
      <c r="E25" s="355" t="str">
        <f>IF('Population Figures'!I25&lt;&gt;"", B25*'Population Figures'!I25*'Scenario 2 Contributing Fact'!B28, "N/A")</f>
        <v>N/A</v>
      </c>
      <c r="F25" s="92">
        <f>B25*('Population Figures'!G25)*'Scenario 2 Contributing Fact'!C28</f>
        <v>13170.98682688458</v>
      </c>
      <c r="G25" s="353" t="str">
        <f>IF('Population Figures'!H25&lt;&gt;"", B25*('Population Figures'!H25)*'Scenario 2 Contributing Fact'!C28, "N/A")</f>
        <v>N/A</v>
      </c>
      <c r="H25" s="353" t="str">
        <f>IF('Population Figures'!I25&lt;&gt;"", B25*('Population Figures'!I25)*'Scenario 2 Contributing Fact'!C28, "N/A")</f>
        <v>N/A</v>
      </c>
      <c r="I25" s="92">
        <f>B25*'Population Figures'!J25*(1-'Scenario 2 Contributing Fact'!H28)</f>
        <v>19317.150863999999</v>
      </c>
      <c r="J25" s="353" t="str">
        <f>IF('Population Figures'!K25&lt;&gt;"", B25*'Population Figures'!K25*(1-'Scenario 2 Contributing Fact'!H28), "N/A")</f>
        <v>N/A</v>
      </c>
      <c r="K25" s="353" t="str">
        <f>IF('Population Figures'!L25&lt;&gt;"", B25*'Population Figures'!L25*(1-'Scenario 2 Contributing Fact'!H28), "N/A")</f>
        <v>N/A</v>
      </c>
      <c r="L25" s="92">
        <f>B25*'Population Figures'!P25*(1-'Scenario 2 Contributing Fact'!K28)</f>
        <v>57292.913357999998</v>
      </c>
      <c r="M25" s="353" t="str">
        <f>IF('Population Figures'!Q25&lt;&gt;"", B25*'Population Figures'!Q25*(1-'Scenario 2 Contributing Fact'!K28), "N/A")</f>
        <v>N/A</v>
      </c>
      <c r="N25" s="353" t="str">
        <f>IF('Population Figures'!R25&lt;&gt;"", B25*'Population Figures'!R25*(1-'Scenario 2 Contributing Fact'!K28), "N/A")</f>
        <v>N/A</v>
      </c>
      <c r="O25" s="92">
        <f>B25*'Population Figures'!J25*(1-'Scenario 2 Contributing Fact'!I28)</f>
        <v>19317.150863999999</v>
      </c>
      <c r="P25" s="356" t="str">
        <f>IF('Population Figures'!K25&lt;&gt;"", B25*'Population Figures'!K25*(1-'Scenario 2 Contributing Fact'!I28), "N/A")</f>
        <v>N/A</v>
      </c>
      <c r="Q25" s="356" t="str">
        <f>IF('Population Figures'!L25&lt;&gt;"", B25*'Population Figures'!L25*(1-'Scenario 2 Contributing Fact'!I28), "N/A")</f>
        <v>N/A</v>
      </c>
      <c r="R25" s="362">
        <f>B25*'Population Figures'!M25*(1-'Scenario 2 Contributing Fact'!J28)</f>
        <v>19317.150863999999</v>
      </c>
      <c r="S25" s="353" t="str">
        <f>IF('Population Figures'!N25&lt;&gt;"", B25*'Population Figures'!N25*(1-'Scenario 2 Contributing Fact'!J28), "N/A")</f>
        <v>N/A</v>
      </c>
      <c r="T25" s="353" t="str">
        <f>IF('Population Figures'!O25&lt;&gt;"", B25*'Population Figures'!O25*(1-'Scenario 2 Contributing Fact'!J28), "N/A")</f>
        <v>N/A</v>
      </c>
      <c r="U25" s="364">
        <f>B25*'Population Figures'!J25*(1-'Scenario 3 - Nut. Analysis'!B24)</f>
        <v>19317.150863999999</v>
      </c>
      <c r="V25" s="355" t="str">
        <f>IF('Population Figures'!K25&lt;&gt;"", B25*'Population Figures'!K25*(1-'Scenario 3 - Nut. Analysis'!B24), "N/A")</f>
        <v>N/A</v>
      </c>
      <c r="W25" s="355" t="str">
        <f>IF('Population Figures'!L25&lt;&gt;"", B25*'Population Figures'!L25*(1-'Scenario 3 - Nut. Analysis'!B24), "N/A")</f>
        <v>N/A</v>
      </c>
      <c r="X25" s="92">
        <f>B25*'Population Figures'!P25*(1-'Scenario 3 - Nut. Analysis'!C24)</f>
        <v>57951.452592000001</v>
      </c>
      <c r="Y25" s="353" t="str">
        <f>IF('Population Figures'!Q25&lt;&gt;"", B25*'Population Figures'!Q25*(1-'Scenario 3 - Nut. Analysis'!C24), "N/A")</f>
        <v>N/A</v>
      </c>
      <c r="Z25" s="353" t="str">
        <f>IF('Population Figures'!R25&lt;&gt;"",B25*'Population Figures'!R25*(1-'Scenario 3 - Nut. Analysis'!C24),"N/A")</f>
        <v>N/A</v>
      </c>
      <c r="AA25" s="92">
        <f>B25*'Population Figures'!J25*(1-'Scenario 3 - Nut. Analysis'!H24)</f>
        <v>19317.150863999999</v>
      </c>
      <c r="AB25" s="356" t="str">
        <f>IF('Population Figures'!K25&lt;&gt;"", B25*'Population Figures'!K25*(1-'Scenario 3 - Nut. Analysis'!H24), "N/A")</f>
        <v>N/A</v>
      </c>
      <c r="AC25" s="353" t="str">
        <f>IF('Population Figures'!L25&lt;&gt;"", B25*'Population Figures'!L25*(1-'Scenario 3 - Nut. Analysis'!H24), "N/A")</f>
        <v>N/A</v>
      </c>
      <c r="AD25" s="92">
        <f>B25*'Population Figures'!M25*(1-'Scenario 3 - Nut. Analysis'!I24)</f>
        <v>19317.150863999999</v>
      </c>
      <c r="AE25" s="353" t="str">
        <f>IF('Population Figures'!N25&lt;&gt;"", B25*'Population Figures'!N25*(1-'Scenario 3 - Nut. Analysis'!I24), "N/A")</f>
        <v>N/A</v>
      </c>
      <c r="AF25" s="353" t="str">
        <f>IF('Population Figures'!O25&lt;&gt;"", B25*'Population Figures'!O25*(1-'Scenario 3 - Nut. Analysis'!I24), "N/A")</f>
        <v>N/A</v>
      </c>
      <c r="AG25" s="8"/>
      <c r="AH25" s="8"/>
      <c r="AI25" s="8"/>
      <c r="AJ25" s="8"/>
      <c r="AK25" s="8"/>
      <c r="AL25" s="8"/>
      <c r="AM25" s="8"/>
      <c r="AN25" s="8"/>
      <c r="AO25" s="8"/>
      <c r="AP25" s="8"/>
      <c r="AQ25" s="8"/>
      <c r="AR25" s="8"/>
      <c r="AS25" s="8"/>
      <c r="AT25" s="8"/>
      <c r="AU25" s="8"/>
    </row>
    <row r="26" spans="1:47" s="9" customFormat="1" x14ac:dyDescent="0.2">
      <c r="A26" s="89" t="str">
        <f>'Population Figures'!E26</f>
        <v>Nangarhar</v>
      </c>
      <c r="B26" s="299">
        <f>'Population Figures'!F26</f>
        <v>4729070.88</v>
      </c>
      <c r="C26" s="303">
        <f>B26*'Population Figures'!G26*'Scenario 2 Contributing Fact'!B29</f>
        <v>68098.620672000005</v>
      </c>
      <c r="D26" s="355" t="str">
        <f>IF('Population Figures'!H26&lt;&gt;"", B26*'Population Figures'!H26*'Scenario 2 Contributing Fact'!B29, "N/A")</f>
        <v>N/A</v>
      </c>
      <c r="E26" s="355" t="str">
        <f>IF('Population Figures'!I26&lt;&gt;"", B26*'Population Figures'!I26*'Scenario 2 Contributing Fact'!B29, "N/A")</f>
        <v>N/A</v>
      </c>
      <c r="F26" s="92">
        <f>B26*('Population Figures'!G26)*'Scenario 2 Contributing Fact'!C29</f>
        <v>66585.317990400014</v>
      </c>
      <c r="G26" s="353" t="str">
        <f>IF('Population Figures'!H26&lt;&gt;"", B26*('Population Figures'!H26)*'Scenario 2 Contributing Fact'!C29, "N/A")</f>
        <v>N/A</v>
      </c>
      <c r="H26" s="353" t="str">
        <f>IF('Population Figures'!I26&lt;&gt;"", B26*('Population Figures'!I26)*'Scenario 2 Contributing Fact'!C29, "N/A")</f>
        <v>N/A</v>
      </c>
      <c r="I26" s="92">
        <f>B26*'Population Figures'!J26*(1-'Scenario 2 Contributing Fact'!H29)</f>
        <v>77462.18101439999</v>
      </c>
      <c r="J26" s="353" t="str">
        <f>IF('Population Figures'!K26&lt;&gt;"", B26*'Population Figures'!K26*(1-'Scenario 2 Contributing Fact'!H29), "N/A")</f>
        <v>N/A</v>
      </c>
      <c r="K26" s="353" t="str">
        <f>IF('Population Figures'!L26&lt;&gt;"", B26*'Population Figures'!L26*(1-'Scenario 2 Contributing Fact'!H29), "N/A")</f>
        <v>N/A</v>
      </c>
      <c r="L26" s="92">
        <f>B26*'Population Figures'!P26*(1-'Scenario 2 Contributing Fact'!K29)</f>
        <v>227279.14649280001</v>
      </c>
      <c r="M26" s="353" t="str">
        <f>IF('Population Figures'!Q26&lt;&gt;"", B26*'Population Figures'!Q26*(1-'Scenario 2 Contributing Fact'!K29), "N/A")</f>
        <v>N/A</v>
      </c>
      <c r="N26" s="353" t="str">
        <f>IF('Population Figures'!R26&lt;&gt;"", B26*'Population Figures'!R26*(1-'Scenario 2 Contributing Fact'!K29), "N/A")</f>
        <v>N/A</v>
      </c>
      <c r="O26" s="92">
        <f>B26*'Population Figures'!J26*(1-'Scenario 2 Contributing Fact'!I29)</f>
        <v>77462.18101439999</v>
      </c>
      <c r="P26" s="356" t="str">
        <f>IF('Population Figures'!K26&lt;&gt;"", B26*'Population Figures'!K26*(1-'Scenario 2 Contributing Fact'!I29), "N/A")</f>
        <v>N/A</v>
      </c>
      <c r="Q26" s="356" t="str">
        <f>IF('Population Figures'!L26&lt;&gt;"", B26*'Population Figures'!L26*(1-'Scenario 2 Contributing Fact'!I29), "N/A")</f>
        <v>N/A</v>
      </c>
      <c r="R26" s="362">
        <f>B26*'Population Figures'!M26*(1-'Scenario 2 Contributing Fact'!J29)</f>
        <v>77462.18101439999</v>
      </c>
      <c r="S26" s="353" t="str">
        <f>IF('Population Figures'!N26&lt;&gt;"", B26*'Population Figures'!N26*(1-'Scenario 2 Contributing Fact'!J29), "N/A")</f>
        <v>N/A</v>
      </c>
      <c r="T26" s="353" t="str">
        <f>IF('Population Figures'!O26&lt;&gt;"", B26*'Population Figures'!O26*(1-'Scenario 2 Contributing Fact'!J29), "N/A")</f>
        <v>N/A</v>
      </c>
      <c r="U26" s="364">
        <f>B26*'Population Figures'!J26*(1-'Scenario 3 - Nut. Analysis'!B25)</f>
        <v>77462.18101439999</v>
      </c>
      <c r="V26" s="355" t="str">
        <f>IF('Population Figures'!K26&lt;&gt;"", B26*'Population Figures'!K26*(1-'Scenario 3 - Nut. Analysis'!B25), "N/A")</f>
        <v>N/A</v>
      </c>
      <c r="W26" s="355" t="str">
        <f>IF('Population Figures'!L26&lt;&gt;"", B26*'Population Figures'!L26*(1-'Scenario 3 - Nut. Analysis'!B25), "N/A")</f>
        <v>N/A</v>
      </c>
      <c r="X26" s="92">
        <f>B26*'Population Figures'!P26*(1-'Scenario 3 - Nut. Analysis'!C25)</f>
        <v>232386.54304320001</v>
      </c>
      <c r="Y26" s="353" t="str">
        <f>IF('Population Figures'!Q26&lt;&gt;"", B26*'Population Figures'!Q26*(1-'Scenario 3 - Nut. Analysis'!C25), "N/A")</f>
        <v>N/A</v>
      </c>
      <c r="Z26" s="353" t="str">
        <f>IF('Population Figures'!R26&lt;&gt;"",B26*'Population Figures'!R26*(1-'Scenario 3 - Nut. Analysis'!C25),"N/A")</f>
        <v>N/A</v>
      </c>
      <c r="AA26" s="92">
        <f>B26*'Population Figures'!J26*(1-'Scenario 3 - Nut. Analysis'!H25)</f>
        <v>77462.18101439999</v>
      </c>
      <c r="AB26" s="356" t="str">
        <f>IF('Population Figures'!K26&lt;&gt;"", B26*'Population Figures'!K26*(1-'Scenario 3 - Nut. Analysis'!H25), "N/A")</f>
        <v>N/A</v>
      </c>
      <c r="AC26" s="353" t="str">
        <f>IF('Population Figures'!L26&lt;&gt;"", B26*'Population Figures'!L26*(1-'Scenario 3 - Nut. Analysis'!H25), "N/A")</f>
        <v>N/A</v>
      </c>
      <c r="AD26" s="92">
        <f>B26*'Population Figures'!M26*(1-'Scenario 3 - Nut. Analysis'!I25)</f>
        <v>77462.18101439999</v>
      </c>
      <c r="AE26" s="353" t="str">
        <f>IF('Population Figures'!N26&lt;&gt;"", B26*'Population Figures'!N26*(1-'Scenario 3 - Nut. Analysis'!I25), "N/A")</f>
        <v>N/A</v>
      </c>
      <c r="AF26" s="353" t="str">
        <f>IF('Population Figures'!O26&lt;&gt;"", B26*'Population Figures'!O26*(1-'Scenario 3 - Nut. Analysis'!I25), "N/A")</f>
        <v>N/A</v>
      </c>
      <c r="AG26" s="8"/>
      <c r="AH26" s="8"/>
      <c r="AI26" s="8"/>
      <c r="AJ26" s="8"/>
      <c r="AK26" s="8"/>
      <c r="AL26" s="8"/>
      <c r="AM26" s="8"/>
      <c r="AN26" s="8"/>
      <c r="AO26" s="8"/>
      <c r="AP26" s="8"/>
      <c r="AQ26" s="8"/>
      <c r="AR26" s="8"/>
      <c r="AS26" s="8"/>
      <c r="AT26" s="8"/>
      <c r="AU26" s="8"/>
    </row>
    <row r="27" spans="1:47" s="9" customFormat="1" x14ac:dyDescent="0.2">
      <c r="A27" s="89" t="str">
        <f>'Population Figures'!E27</f>
        <v>Nimroz</v>
      </c>
      <c r="B27" s="299">
        <f>'Population Figures'!F27</f>
        <v>513660.78</v>
      </c>
      <c r="C27" s="303">
        <f>B27*'Population Figures'!G27*'Scenario 2 Contributing Fact'!B30</f>
        <v>7396.7152320000005</v>
      </c>
      <c r="D27" s="355" t="str">
        <f>IF('Population Figures'!H27&lt;&gt;"", B27*'Population Figures'!H27*'Scenario 2 Contributing Fact'!B30, "N/A")</f>
        <v>N/A</v>
      </c>
      <c r="E27" s="355" t="str">
        <f>IF('Population Figures'!I27&lt;&gt;"", B27*'Population Figures'!I27*'Scenario 2 Contributing Fact'!B30, "N/A")</f>
        <v>N/A</v>
      </c>
      <c r="F27" s="92">
        <f>B27*('Population Figures'!G27)*'Scenario 2 Contributing Fact'!C30</f>
        <v>7762.0179662687724</v>
      </c>
      <c r="G27" s="353" t="str">
        <f>IF('Population Figures'!H27&lt;&gt;"", B27*('Population Figures'!H27)*'Scenario 2 Contributing Fact'!C30, "N/A")</f>
        <v>N/A</v>
      </c>
      <c r="H27" s="353" t="str">
        <f>IF('Population Figures'!I27&lt;&gt;"", B27*('Population Figures'!I27)*'Scenario 2 Contributing Fact'!C30, "N/A")</f>
        <v>N/A</v>
      </c>
      <c r="I27" s="92">
        <f>B27*'Population Figures'!J27*(1-'Scenario 2 Contributing Fact'!H30)</f>
        <v>8413.7635763999988</v>
      </c>
      <c r="J27" s="353" t="str">
        <f>IF('Population Figures'!K27&lt;&gt;"", B27*'Population Figures'!K27*(1-'Scenario 2 Contributing Fact'!H30), "N/A")</f>
        <v>N/A</v>
      </c>
      <c r="K27" s="353" t="str">
        <f>IF('Population Figures'!L27&lt;&gt;"", B27*'Population Figures'!L27*(1-'Scenario 2 Contributing Fact'!H30), "N/A")</f>
        <v>N/A</v>
      </c>
      <c r="L27" s="92">
        <f>B27*'Population Figures'!P27*(1-'Scenario 2 Contributing Fact'!K30)</f>
        <v>22744.899338400002</v>
      </c>
      <c r="M27" s="353" t="str">
        <f>IF('Population Figures'!Q27&lt;&gt;"", B27*'Population Figures'!Q27*(1-'Scenario 2 Contributing Fact'!K30), "N/A")</f>
        <v>N/A</v>
      </c>
      <c r="N27" s="353" t="str">
        <f>IF('Population Figures'!R27&lt;&gt;"", B27*'Population Figures'!R27*(1-'Scenario 2 Contributing Fact'!K30), "N/A")</f>
        <v>N/A</v>
      </c>
      <c r="O27" s="92">
        <f>B27*'Population Figures'!J27*(1-'Scenario 2 Contributing Fact'!I30)</f>
        <v>8413.7635763999988</v>
      </c>
      <c r="P27" s="356" t="str">
        <f>IF('Population Figures'!K27&lt;&gt;"", B27*'Population Figures'!K27*(1-'Scenario 2 Contributing Fact'!I30), "N/A")</f>
        <v>N/A</v>
      </c>
      <c r="Q27" s="356" t="str">
        <f>IF('Population Figures'!L27&lt;&gt;"", B27*'Population Figures'!L27*(1-'Scenario 2 Contributing Fact'!I30), "N/A")</f>
        <v>N/A</v>
      </c>
      <c r="R27" s="362">
        <f>B27*'Population Figures'!M27*(1-'Scenario 2 Contributing Fact'!J30)</f>
        <v>8413.7635763999988</v>
      </c>
      <c r="S27" s="353" t="str">
        <f>IF('Population Figures'!N27&lt;&gt;"", B27*'Population Figures'!N27*(1-'Scenario 2 Contributing Fact'!J30), "N/A")</f>
        <v>N/A</v>
      </c>
      <c r="T27" s="353" t="str">
        <f>IF('Population Figures'!O27&lt;&gt;"", B27*'Population Figures'!O27*(1-'Scenario 2 Contributing Fact'!J30), "N/A")</f>
        <v>N/A</v>
      </c>
      <c r="U27" s="364">
        <f>B27*'Population Figures'!J27*(1-'Scenario 3 - Nut. Analysis'!B26)</f>
        <v>8413.7635763999988</v>
      </c>
      <c r="V27" s="355" t="str">
        <f>IF('Population Figures'!K27&lt;&gt;"", B27*'Population Figures'!K27*(1-'Scenario 3 - Nut. Analysis'!B26), "N/A")</f>
        <v>N/A</v>
      </c>
      <c r="W27" s="355" t="str">
        <f>IF('Population Figures'!L27&lt;&gt;"", B27*'Population Figures'!L27*(1-'Scenario 3 - Nut. Analysis'!B26), "N/A")</f>
        <v>N/A</v>
      </c>
      <c r="X27" s="92">
        <f>B27*'Population Figures'!P27*(1-'Scenario 3 - Nut. Analysis'!C26)</f>
        <v>25241.290729200002</v>
      </c>
      <c r="Y27" s="353" t="str">
        <f>IF('Population Figures'!Q27&lt;&gt;"", B27*'Population Figures'!Q27*(1-'Scenario 3 - Nut. Analysis'!C26), "N/A")</f>
        <v>N/A</v>
      </c>
      <c r="Z27" s="353" t="str">
        <f>IF('Population Figures'!R27&lt;&gt;"",B27*'Population Figures'!R27*(1-'Scenario 3 - Nut. Analysis'!C26),"N/A")</f>
        <v>N/A</v>
      </c>
      <c r="AA27" s="92">
        <f>B27*'Population Figures'!J27*(1-'Scenario 3 - Nut. Analysis'!H26)</f>
        <v>8413.7635763999988</v>
      </c>
      <c r="AB27" s="356" t="str">
        <f>IF('Population Figures'!K27&lt;&gt;"", B27*'Population Figures'!K27*(1-'Scenario 3 - Nut. Analysis'!H26), "N/A")</f>
        <v>N/A</v>
      </c>
      <c r="AC27" s="353" t="str">
        <f>IF('Population Figures'!L27&lt;&gt;"", B27*'Population Figures'!L27*(1-'Scenario 3 - Nut. Analysis'!H26), "N/A")</f>
        <v>N/A</v>
      </c>
      <c r="AD27" s="92">
        <f>B27*'Population Figures'!M27*(1-'Scenario 3 - Nut. Analysis'!I26)</f>
        <v>8413.7635763999988</v>
      </c>
      <c r="AE27" s="353" t="str">
        <f>IF('Population Figures'!N27&lt;&gt;"", B27*'Population Figures'!N27*(1-'Scenario 3 - Nut. Analysis'!I26), "N/A")</f>
        <v>N/A</v>
      </c>
      <c r="AF27" s="353" t="str">
        <f>IF('Population Figures'!O27&lt;&gt;"", B27*'Population Figures'!O27*(1-'Scenario 3 - Nut. Analysis'!I26), "N/A")</f>
        <v>N/A</v>
      </c>
      <c r="AG27" s="8"/>
      <c r="AH27" s="8"/>
      <c r="AI27" s="8"/>
      <c r="AJ27" s="8"/>
      <c r="AK27" s="8"/>
      <c r="AL27" s="8"/>
      <c r="AM27" s="8"/>
      <c r="AN27" s="8"/>
      <c r="AO27" s="8"/>
      <c r="AP27" s="8"/>
      <c r="AQ27" s="8"/>
      <c r="AR27" s="8"/>
      <c r="AS27" s="8"/>
      <c r="AT27" s="8"/>
      <c r="AU27" s="8"/>
    </row>
    <row r="28" spans="1:47" s="9" customFormat="1" x14ac:dyDescent="0.2">
      <c r="A28" s="89" t="str">
        <f>'Population Figures'!E28</f>
        <v>Nuristan</v>
      </c>
      <c r="B28" s="299">
        <f>'Population Figures'!F28</f>
        <v>460196.46</v>
      </c>
      <c r="C28" s="303">
        <f>B28*'Population Figures'!G28*'Scenario 2 Contributing Fact'!B31</f>
        <v>25034.687424000003</v>
      </c>
      <c r="D28" s="355" t="str">
        <f>IF('Population Figures'!H28&lt;&gt;"", B28*'Population Figures'!H28*'Scenario 2 Contributing Fact'!B31, "N/A")</f>
        <v>N/A</v>
      </c>
      <c r="E28" s="355" t="str">
        <f>IF('Population Figures'!I28&lt;&gt;"", B28*'Population Figures'!I28*'Scenario 2 Contributing Fact'!B31, "N/A")</f>
        <v>N/A</v>
      </c>
      <c r="F28" s="92">
        <f>B28*('Population Figures'!G28)*'Scenario 2 Contributing Fact'!C31</f>
        <v>24519.267388799999</v>
      </c>
      <c r="G28" s="353" t="str">
        <f>IF('Population Figures'!H28&lt;&gt;"", B28*('Population Figures'!H28)*'Scenario 2 Contributing Fact'!C31, "N/A")</f>
        <v>N/A</v>
      </c>
      <c r="H28" s="353" t="str">
        <f>IF('Population Figures'!I28&lt;&gt;"", B28*('Population Figures'!I28)*'Scenario 2 Contributing Fact'!C31, "N/A")</f>
        <v>N/A</v>
      </c>
      <c r="I28" s="92">
        <f>B28*'Population Figures'!J28*(1-'Scenario 2 Contributing Fact'!H31)</f>
        <v>5467.1339447999999</v>
      </c>
      <c r="J28" s="353" t="str">
        <f>IF('Population Figures'!K28&lt;&gt;"", B28*'Population Figures'!K28*(1-'Scenario 2 Contributing Fact'!H31), "N/A")</f>
        <v>N/A</v>
      </c>
      <c r="K28" s="353" t="str">
        <f>IF('Population Figures'!L28&lt;&gt;"", B28*'Population Figures'!L28*(1-'Scenario 2 Contributing Fact'!H31), "N/A")</f>
        <v>N/A</v>
      </c>
      <c r="L28" s="92">
        <f>B28*'Population Figures'!P28*(1-'Scenario 2 Contributing Fact'!K31)</f>
        <v>15158.8713924</v>
      </c>
      <c r="M28" s="353" t="str">
        <f>IF('Population Figures'!Q28&lt;&gt;"", B28*'Population Figures'!Q28*(1-'Scenario 2 Contributing Fact'!K31), "N/A")</f>
        <v>N/A</v>
      </c>
      <c r="N28" s="353" t="str">
        <f>IF('Population Figures'!R28&lt;&gt;"", B28*'Population Figures'!R28*(1-'Scenario 2 Contributing Fact'!K31), "N/A")</f>
        <v>N/A</v>
      </c>
      <c r="O28" s="92">
        <f>B28*'Population Figures'!J28*(1-'Scenario 2 Contributing Fact'!I31)</f>
        <v>5467.1339447999999</v>
      </c>
      <c r="P28" s="356" t="str">
        <f>IF('Population Figures'!K28&lt;&gt;"", B28*'Population Figures'!K28*(1-'Scenario 2 Contributing Fact'!I31), "N/A")</f>
        <v>N/A</v>
      </c>
      <c r="Q28" s="356" t="str">
        <f>IF('Population Figures'!L28&lt;&gt;"", B28*'Population Figures'!L28*(1-'Scenario 2 Contributing Fact'!I31), "N/A")</f>
        <v>N/A</v>
      </c>
      <c r="R28" s="362">
        <f>B28*'Population Figures'!M28*(1-'Scenario 2 Contributing Fact'!J31)</f>
        <v>5467.1339447999999</v>
      </c>
      <c r="S28" s="353" t="str">
        <f>IF('Population Figures'!N28&lt;&gt;"", B28*'Population Figures'!N28*(1-'Scenario 2 Contributing Fact'!J31), "N/A")</f>
        <v>N/A</v>
      </c>
      <c r="T28" s="353" t="str">
        <f>IF('Population Figures'!O28&lt;&gt;"", B28*'Population Figures'!O28*(1-'Scenario 2 Contributing Fact'!J31), "N/A")</f>
        <v>N/A</v>
      </c>
      <c r="U28" s="364">
        <f>B28*'Population Figures'!J28*(1-'Scenario 3 - Nut. Analysis'!B27)</f>
        <v>5467.1339447999999</v>
      </c>
      <c r="V28" s="355" t="str">
        <f>IF('Population Figures'!K28&lt;&gt;"", B28*'Population Figures'!K28*(1-'Scenario 3 - Nut. Analysis'!B27), "N/A")</f>
        <v>N/A</v>
      </c>
      <c r="W28" s="355" t="str">
        <f>IF('Population Figures'!L28&lt;&gt;"", B28*'Population Figures'!L28*(1-'Scenario 3 - Nut. Analysis'!B27), "N/A")</f>
        <v>N/A</v>
      </c>
      <c r="X28" s="92">
        <f>B28*'Population Figures'!P28*(1-'Scenario 3 - Nut. Analysis'!C27)</f>
        <v>16401.4018344</v>
      </c>
      <c r="Y28" s="353" t="str">
        <f>IF('Population Figures'!Q28&lt;&gt;"", B28*'Population Figures'!Q28*(1-'Scenario 3 - Nut. Analysis'!C27), "N/A")</f>
        <v>N/A</v>
      </c>
      <c r="Z28" s="353" t="str">
        <f>IF('Population Figures'!R28&lt;&gt;"",B28*'Population Figures'!R28*(1-'Scenario 3 - Nut. Analysis'!C27),"N/A")</f>
        <v>N/A</v>
      </c>
      <c r="AA28" s="92">
        <f>B28*'Population Figures'!J28*(1-'Scenario 3 - Nut. Analysis'!H27)</f>
        <v>5467.1339447999999</v>
      </c>
      <c r="AB28" s="356" t="str">
        <f>IF('Population Figures'!K28&lt;&gt;"", B28*'Population Figures'!K28*(1-'Scenario 3 - Nut. Analysis'!H27), "N/A")</f>
        <v>N/A</v>
      </c>
      <c r="AC28" s="353" t="str">
        <f>IF('Population Figures'!L28&lt;&gt;"", B28*'Population Figures'!L28*(1-'Scenario 3 - Nut. Analysis'!H27), "N/A")</f>
        <v>N/A</v>
      </c>
      <c r="AD28" s="92">
        <f>B28*'Population Figures'!M28*(1-'Scenario 3 - Nut. Analysis'!I27)</f>
        <v>5467.1339447999999</v>
      </c>
      <c r="AE28" s="353" t="str">
        <f>IF('Population Figures'!N28&lt;&gt;"", B28*'Population Figures'!N28*(1-'Scenario 3 - Nut. Analysis'!I27), "N/A")</f>
        <v>N/A</v>
      </c>
      <c r="AF28" s="353" t="str">
        <f>IF('Population Figures'!O28&lt;&gt;"", B28*'Population Figures'!O28*(1-'Scenario 3 - Nut. Analysis'!I27), "N/A")</f>
        <v>N/A</v>
      </c>
      <c r="AG28" s="8"/>
      <c r="AH28" s="8"/>
      <c r="AI28" s="8"/>
      <c r="AJ28" s="8"/>
      <c r="AK28" s="8"/>
      <c r="AL28" s="8"/>
      <c r="AM28" s="8"/>
      <c r="AN28" s="8"/>
      <c r="AO28" s="8"/>
      <c r="AP28" s="8"/>
      <c r="AQ28" s="8"/>
      <c r="AR28" s="8"/>
      <c r="AS28" s="8"/>
      <c r="AT28" s="8"/>
      <c r="AU28" s="8"/>
    </row>
    <row r="29" spans="1:47" s="9" customFormat="1" x14ac:dyDescent="0.2">
      <c r="A29" s="89" t="str">
        <f>'Population Figures'!E29</f>
        <v>Paktika</v>
      </c>
      <c r="B29" s="299">
        <f>'Population Figures'!F29</f>
        <v>1352161.98</v>
      </c>
      <c r="C29" s="303">
        <f>B29*'Population Figures'!G29*'Scenario 2 Contributing Fact'!B32</f>
        <v>25961.510016</v>
      </c>
      <c r="D29" s="355" t="str">
        <f>IF('Population Figures'!H29&lt;&gt;"", B29*'Population Figures'!H29*'Scenario 2 Contributing Fact'!B32, "N/A")</f>
        <v>N/A</v>
      </c>
      <c r="E29" s="355" t="str">
        <f>IF('Population Figures'!I29&lt;&gt;"", B29*'Population Figures'!I29*'Scenario 2 Contributing Fact'!B32, "N/A")</f>
        <v>N/A</v>
      </c>
      <c r="F29" s="92">
        <f>B29*('Population Figures'!G29)*'Scenario 2 Contributing Fact'!C32</f>
        <v>27259.585516800002</v>
      </c>
      <c r="G29" s="353" t="str">
        <f>IF('Population Figures'!H29&lt;&gt;"", B29*('Population Figures'!H29)*'Scenario 2 Contributing Fact'!C32, "N/A")</f>
        <v>N/A</v>
      </c>
      <c r="H29" s="353" t="str">
        <f>IF('Population Figures'!I29&lt;&gt;"", B29*('Population Figures'!I29)*'Scenario 2 Contributing Fact'!C32, "N/A")</f>
        <v>N/A</v>
      </c>
      <c r="I29" s="92">
        <f>B29*'Population Figures'!J29*(1-'Scenario 2 Contributing Fact'!H32)</f>
        <v>21418.245763200001</v>
      </c>
      <c r="J29" s="353" t="str">
        <f>IF('Population Figures'!K29&lt;&gt;"", B29*'Population Figures'!K29*(1-'Scenario 2 Contributing Fact'!H32), "N/A")</f>
        <v>N/A</v>
      </c>
      <c r="K29" s="353" t="str">
        <f>IF('Population Figures'!L29&lt;&gt;"", B29*'Population Figures'!L29*(1-'Scenario 2 Contributing Fact'!H32), "N/A")</f>
        <v>N/A</v>
      </c>
      <c r="L29" s="92">
        <f>B29*'Population Figures'!P29*(1-'Scenario 2 Contributing Fact'!K32)</f>
        <v>62064.234882000004</v>
      </c>
      <c r="M29" s="353" t="str">
        <f>IF('Population Figures'!Q29&lt;&gt;"", B29*'Population Figures'!Q29*(1-'Scenario 2 Contributing Fact'!K32), "N/A")</f>
        <v>N/A</v>
      </c>
      <c r="N29" s="353" t="str">
        <f>IF('Population Figures'!R29&lt;&gt;"", B29*'Population Figures'!R29*(1-'Scenario 2 Contributing Fact'!K32), "N/A")</f>
        <v>N/A</v>
      </c>
      <c r="O29" s="92">
        <f>B29*'Population Figures'!J29*(1-'Scenario 2 Contributing Fact'!I32)</f>
        <v>21418.245763200001</v>
      </c>
      <c r="P29" s="356" t="str">
        <f>IF('Population Figures'!K29&lt;&gt;"", B29*'Population Figures'!K29*(1-'Scenario 2 Contributing Fact'!I32), "N/A")</f>
        <v>N/A</v>
      </c>
      <c r="Q29" s="356" t="str">
        <f>IF('Population Figures'!L29&lt;&gt;"", B29*'Population Figures'!L29*(1-'Scenario 2 Contributing Fact'!I32), "N/A")</f>
        <v>N/A</v>
      </c>
      <c r="R29" s="362">
        <f>B29*'Population Figures'!M29*(1-'Scenario 2 Contributing Fact'!J32)</f>
        <v>21418.245763200001</v>
      </c>
      <c r="S29" s="353" t="str">
        <f>IF('Population Figures'!N29&lt;&gt;"", B29*'Population Figures'!N29*(1-'Scenario 2 Contributing Fact'!J32), "N/A")</f>
        <v>N/A</v>
      </c>
      <c r="T29" s="353" t="str">
        <f>IF('Population Figures'!O29&lt;&gt;"", B29*'Population Figures'!O29*(1-'Scenario 2 Contributing Fact'!J32), "N/A")</f>
        <v>N/A</v>
      </c>
      <c r="U29" s="364">
        <f>B29*'Population Figures'!J29*(1-'Scenario 3 - Nut. Analysis'!B28)</f>
        <v>21418.245763200001</v>
      </c>
      <c r="V29" s="355" t="str">
        <f>IF('Population Figures'!K29&lt;&gt;"", B29*'Population Figures'!K29*(1-'Scenario 3 - Nut. Analysis'!B28), "N/A")</f>
        <v>N/A</v>
      </c>
      <c r="W29" s="355" t="str">
        <f>IF('Population Figures'!L29&lt;&gt;"", B29*'Population Figures'!L29*(1-'Scenario 3 - Nut. Analysis'!B28), "N/A")</f>
        <v>N/A</v>
      </c>
      <c r="X29" s="92">
        <f>B29*'Population Figures'!P29*(1-'Scenario 3 - Nut. Analysis'!C28)</f>
        <v>64254.737289600002</v>
      </c>
      <c r="Y29" s="353" t="str">
        <f>IF('Population Figures'!Q29&lt;&gt;"", B29*'Population Figures'!Q29*(1-'Scenario 3 - Nut. Analysis'!C28), "N/A")</f>
        <v>N/A</v>
      </c>
      <c r="Z29" s="353" t="str">
        <f>IF('Population Figures'!R29&lt;&gt;"",B29*'Population Figures'!R29*(1-'Scenario 3 - Nut. Analysis'!C28),"N/A")</f>
        <v>N/A</v>
      </c>
      <c r="AA29" s="92">
        <f>B29*'Population Figures'!J29*(1-'Scenario 3 - Nut. Analysis'!H28)</f>
        <v>21418.245763200001</v>
      </c>
      <c r="AB29" s="356" t="str">
        <f>IF('Population Figures'!K29&lt;&gt;"", B29*'Population Figures'!K29*(1-'Scenario 3 - Nut. Analysis'!H28), "N/A")</f>
        <v>N/A</v>
      </c>
      <c r="AC29" s="353" t="str">
        <f>IF('Population Figures'!L29&lt;&gt;"", B29*'Population Figures'!L29*(1-'Scenario 3 - Nut. Analysis'!H28), "N/A")</f>
        <v>N/A</v>
      </c>
      <c r="AD29" s="92">
        <f>B29*'Population Figures'!M29*(1-'Scenario 3 - Nut. Analysis'!I28)</f>
        <v>21418.245763200001</v>
      </c>
      <c r="AE29" s="353" t="str">
        <f>IF('Population Figures'!N29&lt;&gt;"", B29*'Population Figures'!N29*(1-'Scenario 3 - Nut. Analysis'!I28), "N/A")</f>
        <v>N/A</v>
      </c>
      <c r="AF29" s="353" t="str">
        <f>IF('Population Figures'!O29&lt;&gt;"", B29*'Population Figures'!O29*(1-'Scenario 3 - Nut. Analysis'!I28), "N/A")</f>
        <v>N/A</v>
      </c>
      <c r="AG29" s="8"/>
      <c r="AH29" s="8"/>
      <c r="AI29" s="8"/>
      <c r="AJ29" s="8"/>
      <c r="AK29" s="8"/>
      <c r="AL29" s="8"/>
      <c r="AM29" s="8"/>
      <c r="AN29" s="8"/>
      <c r="AO29" s="8"/>
      <c r="AP29" s="8"/>
      <c r="AQ29" s="8"/>
      <c r="AR29" s="8"/>
      <c r="AS29" s="8"/>
      <c r="AT29" s="8"/>
      <c r="AU29" s="8"/>
    </row>
    <row r="30" spans="1:47" s="9" customFormat="1" x14ac:dyDescent="0.2">
      <c r="A30" s="89" t="str">
        <f>'Population Figures'!E30</f>
        <v>Paktya</v>
      </c>
      <c r="B30" s="299">
        <f>'Population Figures'!F30</f>
        <v>1717272</v>
      </c>
      <c r="C30" s="303">
        <f>B30*'Population Figures'!G30*'Scenario 2 Contributing Fact'!B33</f>
        <v>30223.987200000003</v>
      </c>
      <c r="D30" s="355" t="str">
        <f>IF('Population Figures'!H30&lt;&gt;"", B30*'Population Figures'!H30*'Scenario 2 Contributing Fact'!B33, "N/A")</f>
        <v>N/A</v>
      </c>
      <c r="E30" s="355" t="str">
        <f>IF('Population Figures'!I30&lt;&gt;"", B30*'Population Figures'!I30*'Scenario 2 Contributing Fact'!B33, "N/A")</f>
        <v>N/A</v>
      </c>
      <c r="F30" s="92">
        <f>B30*('Population Figures'!G30)*'Scenario 2 Contributing Fact'!C33</f>
        <v>28850.169600000001</v>
      </c>
      <c r="G30" s="353" t="str">
        <f>IF('Population Figures'!H30&lt;&gt;"", B30*('Population Figures'!H30)*'Scenario 2 Contributing Fact'!C33, "N/A")</f>
        <v>N/A</v>
      </c>
      <c r="H30" s="353" t="str">
        <f>IF('Population Figures'!I30&lt;&gt;"", B30*('Population Figures'!I30)*'Scenario 2 Contributing Fact'!C33, "N/A")</f>
        <v>N/A</v>
      </c>
      <c r="I30" s="92">
        <f>B30*'Population Figures'!J30*(1-'Scenario 2 Contributing Fact'!H33)</f>
        <v>27510.697439999996</v>
      </c>
      <c r="J30" s="353" t="str">
        <f>IF('Population Figures'!K30&lt;&gt;"", B30*'Population Figures'!K30*(1-'Scenario 2 Contributing Fact'!H33), "N/A")</f>
        <v>N/A</v>
      </c>
      <c r="K30" s="353" t="str">
        <f>IF('Population Figures'!L30&lt;&gt;"", B30*'Population Figures'!L30*(1-'Scenario 2 Contributing Fact'!H33), "N/A")</f>
        <v>N/A</v>
      </c>
      <c r="L30" s="92">
        <f>B30*'Population Figures'!P30*(1-'Scenario 2 Contributing Fact'!K33)</f>
        <v>81604.765440000003</v>
      </c>
      <c r="M30" s="353" t="str">
        <f>IF('Population Figures'!Q30&lt;&gt;"", B30*'Population Figures'!Q30*(1-'Scenario 2 Contributing Fact'!K33), "N/A")</f>
        <v>N/A</v>
      </c>
      <c r="N30" s="353" t="str">
        <f>IF('Population Figures'!R30&lt;&gt;"", B30*'Population Figures'!R30*(1-'Scenario 2 Contributing Fact'!K33), "N/A")</f>
        <v>N/A</v>
      </c>
      <c r="O30" s="92">
        <f>B30*'Population Figures'!J30*(1-'Scenario 2 Contributing Fact'!I33)</f>
        <v>27510.697439999996</v>
      </c>
      <c r="P30" s="356" t="str">
        <f>IF('Population Figures'!K30&lt;&gt;"", B30*'Population Figures'!K30*(1-'Scenario 2 Contributing Fact'!I33), "N/A")</f>
        <v>N/A</v>
      </c>
      <c r="Q30" s="356" t="str">
        <f>IF('Population Figures'!L30&lt;&gt;"", B30*'Population Figures'!L30*(1-'Scenario 2 Contributing Fact'!I33), "N/A")</f>
        <v>N/A</v>
      </c>
      <c r="R30" s="362">
        <f>B30*'Population Figures'!M30*(1-'Scenario 2 Contributing Fact'!J33)</f>
        <v>27510.697439999996</v>
      </c>
      <c r="S30" s="353" t="str">
        <f>IF('Population Figures'!N30&lt;&gt;"", B30*'Population Figures'!N30*(1-'Scenario 2 Contributing Fact'!J33), "N/A")</f>
        <v>N/A</v>
      </c>
      <c r="T30" s="353" t="str">
        <f>IF('Population Figures'!O30&lt;&gt;"", B30*'Population Figures'!O30*(1-'Scenario 2 Contributing Fact'!J33), "N/A")</f>
        <v>N/A</v>
      </c>
      <c r="U30" s="364">
        <f>B30*'Population Figures'!J30*(1-'Scenario 3 - Nut. Analysis'!B29)</f>
        <v>27510.697439999996</v>
      </c>
      <c r="V30" s="355" t="str">
        <f>IF('Population Figures'!K30&lt;&gt;"", B30*'Population Figures'!K30*(1-'Scenario 3 - Nut. Analysis'!B29), "N/A")</f>
        <v>N/A</v>
      </c>
      <c r="W30" s="355" t="str">
        <f>IF('Population Figures'!L30&lt;&gt;"", B30*'Population Figures'!L30*(1-'Scenario 3 - Nut. Analysis'!B29), "N/A")</f>
        <v>N/A</v>
      </c>
      <c r="X30" s="92">
        <f>B30*'Population Figures'!P30*(1-'Scenario 3 - Nut. Analysis'!C29)</f>
        <v>82532.092319999996</v>
      </c>
      <c r="Y30" s="353" t="str">
        <f>IF('Population Figures'!Q30&lt;&gt;"", B30*'Population Figures'!Q30*(1-'Scenario 3 - Nut. Analysis'!C29), "N/A")</f>
        <v>N/A</v>
      </c>
      <c r="Z30" s="353" t="str">
        <f>IF('Population Figures'!R30&lt;&gt;"",B30*'Population Figures'!R30*(1-'Scenario 3 - Nut. Analysis'!C29),"N/A")</f>
        <v>N/A</v>
      </c>
      <c r="AA30" s="92">
        <f>B30*'Population Figures'!J30*(1-'Scenario 3 - Nut. Analysis'!H29)</f>
        <v>27510.697439999996</v>
      </c>
      <c r="AB30" s="356" t="str">
        <f>IF('Population Figures'!K30&lt;&gt;"", B30*'Population Figures'!K30*(1-'Scenario 3 - Nut. Analysis'!H29), "N/A")</f>
        <v>N/A</v>
      </c>
      <c r="AC30" s="353" t="str">
        <f>IF('Population Figures'!L30&lt;&gt;"", B30*'Population Figures'!L30*(1-'Scenario 3 - Nut. Analysis'!H29), "N/A")</f>
        <v>N/A</v>
      </c>
      <c r="AD30" s="92">
        <f>B30*'Population Figures'!M30*(1-'Scenario 3 - Nut. Analysis'!I29)</f>
        <v>27510.697439999996</v>
      </c>
      <c r="AE30" s="353" t="str">
        <f>IF('Population Figures'!N30&lt;&gt;"", B30*'Population Figures'!N30*(1-'Scenario 3 - Nut. Analysis'!I29), "N/A")</f>
        <v>N/A</v>
      </c>
      <c r="AF30" s="353" t="str">
        <f>IF('Population Figures'!O30&lt;&gt;"", B30*'Population Figures'!O30*(1-'Scenario 3 - Nut. Analysis'!I29), "N/A")</f>
        <v>N/A</v>
      </c>
      <c r="AG30" s="8"/>
      <c r="AH30" s="8"/>
      <c r="AI30" s="8"/>
      <c r="AJ30" s="8"/>
      <c r="AK30" s="8"/>
      <c r="AL30" s="8"/>
      <c r="AM30" s="8"/>
      <c r="AN30" s="8"/>
      <c r="AO30" s="8"/>
      <c r="AP30" s="8"/>
      <c r="AQ30" s="8"/>
      <c r="AR30" s="8"/>
      <c r="AS30" s="8"/>
      <c r="AT30" s="8"/>
      <c r="AU30" s="8"/>
    </row>
    <row r="31" spans="1:47" s="9" customFormat="1" x14ac:dyDescent="0.2">
      <c r="A31" s="89" t="str">
        <f>'Population Figures'!E31</f>
        <v>Panjsher</v>
      </c>
      <c r="B31" s="299">
        <f>'Population Figures'!F31</f>
        <v>477363.05999999994</v>
      </c>
      <c r="C31" s="303">
        <f>B31*'Population Figures'!G31*'Scenario 2 Contributing Fact'!B34</f>
        <v>12984.275232</v>
      </c>
      <c r="D31" s="355" t="str">
        <f>IF('Population Figures'!H31&lt;&gt;"", B31*'Population Figures'!H31*'Scenario 2 Contributing Fact'!B34, "N/A")</f>
        <v>N/A</v>
      </c>
      <c r="E31" s="355" t="str">
        <f>IF('Population Figures'!I31&lt;&gt;"", B31*'Population Figures'!I31*'Scenario 2 Contributing Fact'!B34, "N/A")</f>
        <v>N/A</v>
      </c>
      <c r="F31" s="92">
        <f>B31*('Population Figures'!G31)*'Scenario 2 Contributing Fact'!C34</f>
        <v>13518.921859199998</v>
      </c>
      <c r="G31" s="353" t="str">
        <f>IF('Population Figures'!H31&lt;&gt;"", B31*('Population Figures'!H31)*'Scenario 2 Contributing Fact'!C34, "N/A")</f>
        <v>N/A</v>
      </c>
      <c r="H31" s="353" t="str">
        <f>IF('Population Figures'!I31&lt;&gt;"", B31*('Population Figures'!I31)*'Scenario 2 Contributing Fact'!C34, "N/A")</f>
        <v>N/A</v>
      </c>
      <c r="I31" s="92">
        <f>B31*'Population Figures'!J31*(1-'Scenario 2 Contributing Fact'!H34)</f>
        <v>7131.8041163999978</v>
      </c>
      <c r="J31" s="353" t="str">
        <f>IF('Population Figures'!K31&lt;&gt;"", B31*'Population Figures'!K31*(1-'Scenario 2 Contributing Fact'!H34), "N/A")</f>
        <v>N/A</v>
      </c>
      <c r="K31" s="353" t="str">
        <f>IF('Population Figures'!L31&lt;&gt;"", B31*'Population Figures'!L31*(1-'Scenario 2 Contributing Fact'!H34), "N/A")</f>
        <v>N/A</v>
      </c>
      <c r="L31" s="92">
        <f>B31*'Population Figures'!P31*(1-'Scenario 2 Contributing Fact'!K34)</f>
        <v>20879.860244399999</v>
      </c>
      <c r="M31" s="353" t="str">
        <f>IF('Population Figures'!Q31&lt;&gt;"", B31*'Population Figures'!Q31*(1-'Scenario 2 Contributing Fact'!K34), "N/A")</f>
        <v>N/A</v>
      </c>
      <c r="N31" s="353" t="str">
        <f>IF('Population Figures'!R31&lt;&gt;"", B31*'Population Figures'!R31*(1-'Scenario 2 Contributing Fact'!K34), "N/A")</f>
        <v>N/A</v>
      </c>
      <c r="O31" s="92">
        <f>B31*'Population Figures'!J31*(1-'Scenario 2 Contributing Fact'!I34)</f>
        <v>7131.8041163999978</v>
      </c>
      <c r="P31" s="356" t="str">
        <f>IF('Population Figures'!K31&lt;&gt;"", B31*'Population Figures'!K31*(1-'Scenario 2 Contributing Fact'!I34), "N/A")</f>
        <v>N/A</v>
      </c>
      <c r="Q31" s="356" t="str">
        <f>IF('Population Figures'!L31&lt;&gt;"", B31*'Population Figures'!L31*(1-'Scenario 2 Contributing Fact'!I34), "N/A")</f>
        <v>N/A</v>
      </c>
      <c r="R31" s="362">
        <f>B31*'Population Figures'!M31*(1-'Scenario 2 Contributing Fact'!J34)</f>
        <v>7131.8041163999978</v>
      </c>
      <c r="S31" s="353" t="str">
        <f>IF('Population Figures'!N31&lt;&gt;"", B31*'Population Figures'!N31*(1-'Scenario 2 Contributing Fact'!J34), "N/A")</f>
        <v>N/A</v>
      </c>
      <c r="T31" s="353" t="str">
        <f>IF('Population Figures'!O31&lt;&gt;"", B31*'Population Figures'!O31*(1-'Scenario 2 Contributing Fact'!J34), "N/A")</f>
        <v>N/A</v>
      </c>
      <c r="U31" s="364">
        <f>B31*'Population Figures'!J31*(1-'Scenario 3 - Nut. Analysis'!B30)</f>
        <v>7131.8041163999978</v>
      </c>
      <c r="V31" s="355" t="str">
        <f>IF('Population Figures'!K31&lt;&gt;"", B31*'Population Figures'!K31*(1-'Scenario 3 - Nut. Analysis'!B30), "N/A")</f>
        <v>N/A</v>
      </c>
      <c r="W31" s="355" t="str">
        <f>IF('Population Figures'!L31&lt;&gt;"", B31*'Population Figures'!L31*(1-'Scenario 3 - Nut. Analysis'!B30), "N/A")</f>
        <v>N/A</v>
      </c>
      <c r="X31" s="92">
        <f>B31*'Population Figures'!P31*(1-'Scenario 3 - Nut. Analysis'!C30)</f>
        <v>21395.412349199996</v>
      </c>
      <c r="Y31" s="353" t="str">
        <f>IF('Population Figures'!Q31&lt;&gt;"", B31*'Population Figures'!Q31*(1-'Scenario 3 - Nut. Analysis'!C30), "N/A")</f>
        <v>N/A</v>
      </c>
      <c r="Z31" s="353" t="str">
        <f>IF('Population Figures'!R31&lt;&gt;"",B31*'Population Figures'!R31*(1-'Scenario 3 - Nut. Analysis'!C30),"N/A")</f>
        <v>N/A</v>
      </c>
      <c r="AA31" s="92">
        <f>B31*'Population Figures'!J31*(1-'Scenario 3 - Nut. Analysis'!H30)</f>
        <v>7131.8041163999978</v>
      </c>
      <c r="AB31" s="356" t="str">
        <f>IF('Population Figures'!K31&lt;&gt;"", B31*'Population Figures'!K31*(1-'Scenario 3 - Nut. Analysis'!H30), "N/A")</f>
        <v>N/A</v>
      </c>
      <c r="AC31" s="353" t="str">
        <f>IF('Population Figures'!L31&lt;&gt;"", B31*'Population Figures'!L31*(1-'Scenario 3 - Nut. Analysis'!H30), "N/A")</f>
        <v>N/A</v>
      </c>
      <c r="AD31" s="92">
        <f>B31*'Population Figures'!M31*(1-'Scenario 3 - Nut. Analysis'!I30)</f>
        <v>7131.8041163999978</v>
      </c>
      <c r="AE31" s="353" t="str">
        <f>IF('Population Figures'!N31&lt;&gt;"", B31*'Population Figures'!N31*(1-'Scenario 3 - Nut. Analysis'!I30), "N/A")</f>
        <v>N/A</v>
      </c>
      <c r="AF31" s="353" t="str">
        <f>IF('Population Figures'!O31&lt;&gt;"", B31*'Population Figures'!O31*(1-'Scenario 3 - Nut. Analysis'!I30), "N/A")</f>
        <v>N/A</v>
      </c>
      <c r="AG31" s="8"/>
      <c r="AH31" s="8"/>
      <c r="AI31" s="8"/>
      <c r="AJ31" s="8"/>
      <c r="AK31" s="8"/>
      <c r="AL31" s="8"/>
      <c r="AM31" s="8"/>
      <c r="AN31" s="8"/>
      <c r="AO31" s="8"/>
      <c r="AP31" s="8"/>
      <c r="AQ31" s="8"/>
      <c r="AR31" s="8"/>
      <c r="AS31" s="8"/>
      <c r="AT31" s="8"/>
      <c r="AU31" s="8"/>
    </row>
    <row r="32" spans="1:47" s="9" customFormat="1" x14ac:dyDescent="0.2">
      <c r="A32" s="89" t="str">
        <f>'Population Figures'!E32</f>
        <v>Parwan</v>
      </c>
      <c r="B32" s="299">
        <f>'Population Figures'!F32</f>
        <v>2067932.7000000002</v>
      </c>
      <c r="C32" s="303">
        <f>B32*'Population Figures'!G32*'Scenario 2 Contributing Fact'!B35</f>
        <v>19852.153920000001</v>
      </c>
      <c r="D32" s="355" t="str">
        <f>IF('Population Figures'!H32&lt;&gt;"", B32*'Population Figures'!H32*'Scenario 2 Contributing Fact'!B35, "N/A")</f>
        <v>N/A</v>
      </c>
      <c r="E32" s="355" t="str">
        <f>IF('Population Figures'!I32&lt;&gt;"", B32*'Population Figures'!I32*'Scenario 2 Contributing Fact'!B35, "N/A")</f>
        <v>N/A</v>
      </c>
      <c r="F32" s="92">
        <f>B32*('Population Figures'!G32)*'Scenario 2 Contributing Fact'!C35</f>
        <v>22941.826631888609</v>
      </c>
      <c r="G32" s="353" t="str">
        <f>IF('Population Figures'!H32&lt;&gt;"", B32*('Population Figures'!H32)*'Scenario 2 Contributing Fact'!C35, "N/A")</f>
        <v>N/A</v>
      </c>
      <c r="H32" s="353" t="str">
        <f>IF('Population Figures'!I32&lt;&gt;"", B32*('Population Figures'!I32)*'Scenario 2 Contributing Fact'!C35, "N/A")</f>
        <v>N/A</v>
      </c>
      <c r="I32" s="92">
        <f>B32*'Population Figures'!J32*(1-'Scenario 2 Contributing Fact'!H35)</f>
        <v>34989.421283999996</v>
      </c>
      <c r="J32" s="353" t="str">
        <f>IF('Population Figures'!K32&lt;&gt;"", B32*'Population Figures'!K32*(1-'Scenario 2 Contributing Fact'!H35), "N/A")</f>
        <v>N/A</v>
      </c>
      <c r="K32" s="353" t="str">
        <f>IF('Population Figures'!L32&lt;&gt;"", B32*'Population Figures'!L32*(1-'Scenario 2 Contributing Fact'!H35), "N/A")</f>
        <v>N/A</v>
      </c>
      <c r="L32" s="92">
        <f>B32*'Population Figures'!P32*(1-'Scenario 2 Contributing Fact'!K35)</f>
        <v>108318.31482600002</v>
      </c>
      <c r="M32" s="353" t="str">
        <f>IF('Population Figures'!Q32&lt;&gt;"", B32*'Population Figures'!Q32*(1-'Scenario 2 Contributing Fact'!K35), "N/A")</f>
        <v>N/A</v>
      </c>
      <c r="N32" s="353" t="str">
        <f>IF('Population Figures'!R32&lt;&gt;"", B32*'Population Figures'!R32*(1-'Scenario 2 Contributing Fact'!K35), "N/A")</f>
        <v>N/A</v>
      </c>
      <c r="O32" s="92">
        <f>B32*'Population Figures'!J32*(1-'Scenario 2 Contributing Fact'!I35)</f>
        <v>34989.421283999996</v>
      </c>
      <c r="P32" s="356" t="str">
        <f>IF('Population Figures'!K32&lt;&gt;"", B32*'Population Figures'!K32*(1-'Scenario 2 Contributing Fact'!I35), "N/A")</f>
        <v>N/A</v>
      </c>
      <c r="Q32" s="356" t="str">
        <f>IF('Population Figures'!L32&lt;&gt;"", B32*'Population Figures'!L32*(1-'Scenario 2 Contributing Fact'!I35), "N/A")</f>
        <v>N/A</v>
      </c>
      <c r="R32" s="362">
        <f>B32*'Population Figures'!M32*(1-'Scenario 2 Contributing Fact'!J35)</f>
        <v>34989.421283999996</v>
      </c>
      <c r="S32" s="353" t="str">
        <f>IF('Population Figures'!N32&lt;&gt;"", B32*'Population Figures'!N32*(1-'Scenario 2 Contributing Fact'!J35), "N/A")</f>
        <v>N/A</v>
      </c>
      <c r="T32" s="353" t="str">
        <f>IF('Population Figures'!O32&lt;&gt;"", B32*'Population Figures'!O32*(1-'Scenario 2 Contributing Fact'!J35), "N/A")</f>
        <v>N/A</v>
      </c>
      <c r="U32" s="364">
        <f>B32*'Population Figures'!J32*(1-'Scenario 3 - Nut. Analysis'!B31)</f>
        <v>34989.421283999996</v>
      </c>
      <c r="V32" s="355" t="str">
        <f>IF('Population Figures'!K32&lt;&gt;"", B32*'Population Figures'!K32*(1-'Scenario 3 - Nut. Analysis'!B31), "N/A")</f>
        <v>N/A</v>
      </c>
      <c r="W32" s="355" t="str">
        <f>IF('Population Figures'!L32&lt;&gt;"", B32*'Population Figures'!L32*(1-'Scenario 3 - Nut. Analysis'!B31), "N/A")</f>
        <v>N/A</v>
      </c>
      <c r="X32" s="92">
        <f>B32*'Population Figures'!P32*(1-'Scenario 3 - Nut. Analysis'!C31)</f>
        <v>104968.263852</v>
      </c>
      <c r="Y32" s="353" t="str">
        <f>IF('Population Figures'!Q32&lt;&gt;"", B32*'Population Figures'!Q32*(1-'Scenario 3 - Nut. Analysis'!C31), "N/A")</f>
        <v>N/A</v>
      </c>
      <c r="Z32" s="353" t="str">
        <f>IF('Population Figures'!R32&lt;&gt;"",B32*'Population Figures'!R32*(1-'Scenario 3 - Nut. Analysis'!C31),"N/A")</f>
        <v>N/A</v>
      </c>
      <c r="AA32" s="92">
        <f>B32*'Population Figures'!J32*(1-'Scenario 3 - Nut. Analysis'!H31)</f>
        <v>34989.421283999996</v>
      </c>
      <c r="AB32" s="356" t="str">
        <f>IF('Population Figures'!K32&lt;&gt;"", B32*'Population Figures'!K32*(1-'Scenario 3 - Nut. Analysis'!H31), "N/A")</f>
        <v>N/A</v>
      </c>
      <c r="AC32" s="353" t="str">
        <f>IF('Population Figures'!L32&lt;&gt;"", B32*'Population Figures'!L32*(1-'Scenario 3 - Nut. Analysis'!H31), "N/A")</f>
        <v>N/A</v>
      </c>
      <c r="AD32" s="92">
        <f>B32*'Population Figures'!M32*(1-'Scenario 3 - Nut. Analysis'!I31)</f>
        <v>34989.421283999996</v>
      </c>
      <c r="AE32" s="353" t="str">
        <f>IF('Population Figures'!N32&lt;&gt;"", B32*'Population Figures'!N32*(1-'Scenario 3 - Nut. Analysis'!I31), "N/A")</f>
        <v>N/A</v>
      </c>
      <c r="AF32" s="353" t="str">
        <f>IF('Population Figures'!O32&lt;&gt;"", B32*'Population Figures'!O32*(1-'Scenario 3 - Nut. Analysis'!I31), "N/A")</f>
        <v>N/A</v>
      </c>
      <c r="AG32" s="8"/>
      <c r="AH32" s="8"/>
      <c r="AI32" s="8"/>
      <c r="AJ32" s="8"/>
      <c r="AK32" s="8"/>
      <c r="AL32" s="8"/>
      <c r="AM32" s="8"/>
      <c r="AN32" s="8"/>
      <c r="AO32" s="8"/>
      <c r="AP32" s="8"/>
      <c r="AQ32" s="8"/>
      <c r="AR32" s="8"/>
      <c r="AS32" s="8"/>
      <c r="AT32" s="8"/>
      <c r="AU32" s="8"/>
    </row>
    <row r="33" spans="1:47" s="9" customFormat="1" x14ac:dyDescent="0.2">
      <c r="A33" s="89" t="str">
        <f>'Population Figures'!E33</f>
        <v>Samangan</v>
      </c>
      <c r="B33" s="299">
        <f>'Population Figures'!F33</f>
        <v>1207130.22</v>
      </c>
      <c r="C33" s="303">
        <f>B33*'Population Figures'!G33*'Scenario 2 Contributing Fact'!B36</f>
        <v>13519.858464000001</v>
      </c>
      <c r="D33" s="355" t="str">
        <f>IF('Population Figures'!H33&lt;&gt;"", B33*'Population Figures'!H33*'Scenario 2 Contributing Fact'!B36, "N/A")</f>
        <v>N/A</v>
      </c>
      <c r="E33" s="355" t="str">
        <f>IF('Population Figures'!I33&lt;&gt;"", B33*'Population Figures'!I33*'Scenario 2 Contributing Fact'!B36, "N/A")</f>
        <v>N/A</v>
      </c>
      <c r="F33" s="92">
        <f>B33*('Population Figures'!G33)*'Scenario 2 Contributing Fact'!C36</f>
        <v>15045.506515503783</v>
      </c>
      <c r="G33" s="353" t="str">
        <f>IF('Population Figures'!H33&lt;&gt;"", B33*('Population Figures'!H33)*'Scenario 2 Contributing Fact'!C36, "N/A")</f>
        <v>N/A</v>
      </c>
      <c r="H33" s="353" t="str">
        <f>IF('Population Figures'!I33&lt;&gt;"", B33*('Population Figures'!I33)*'Scenario 2 Contributing Fact'!C36, "N/A")</f>
        <v>N/A</v>
      </c>
      <c r="I33" s="92">
        <f>B33*'Population Figures'!J33*(1-'Scenario 2 Contributing Fact'!H36)</f>
        <v>20207.359882799996</v>
      </c>
      <c r="J33" s="353" t="str">
        <f>IF('Population Figures'!K33&lt;&gt;"", B33*'Population Figures'!K33*(1-'Scenario 2 Contributing Fact'!H36), "N/A")</f>
        <v>N/A</v>
      </c>
      <c r="K33" s="353" t="str">
        <f>IF('Population Figures'!L33&lt;&gt;"", B33*'Population Figures'!L33*(1-'Scenario 2 Contributing Fact'!H36), "N/A")</f>
        <v>N/A</v>
      </c>
      <c r="L33" s="92">
        <f>B33*'Population Figures'!P33*(1-'Scenario 2 Contributing Fact'!K36)</f>
        <v>59970.229329599999</v>
      </c>
      <c r="M33" s="353" t="str">
        <f>IF('Population Figures'!Q33&lt;&gt;"", B33*'Population Figures'!Q33*(1-'Scenario 2 Contributing Fact'!K36), "N/A")</f>
        <v>N/A</v>
      </c>
      <c r="N33" s="353" t="str">
        <f>IF('Population Figures'!R33&lt;&gt;"", B33*'Population Figures'!R33*(1-'Scenario 2 Contributing Fact'!K36), "N/A")</f>
        <v>N/A</v>
      </c>
      <c r="O33" s="92">
        <f>B33*'Population Figures'!J33*(1-'Scenario 2 Contributing Fact'!I36)</f>
        <v>20207.359882799996</v>
      </c>
      <c r="P33" s="356" t="str">
        <f>IF('Population Figures'!K33&lt;&gt;"", B33*'Population Figures'!K33*(1-'Scenario 2 Contributing Fact'!I36), "N/A")</f>
        <v>N/A</v>
      </c>
      <c r="Q33" s="356" t="str">
        <f>IF('Population Figures'!L33&lt;&gt;"", B33*'Population Figures'!L33*(1-'Scenario 2 Contributing Fact'!I36), "N/A")</f>
        <v>N/A</v>
      </c>
      <c r="R33" s="362">
        <f>B33*'Population Figures'!M33*(1-'Scenario 2 Contributing Fact'!J36)</f>
        <v>20207.359882799996</v>
      </c>
      <c r="S33" s="353" t="str">
        <f>IF('Population Figures'!N33&lt;&gt;"", B33*'Population Figures'!N33*(1-'Scenario 2 Contributing Fact'!J36), "N/A")</f>
        <v>N/A</v>
      </c>
      <c r="T33" s="353" t="str">
        <f>IF('Population Figures'!O33&lt;&gt;"", B33*'Population Figures'!O33*(1-'Scenario 2 Contributing Fact'!J36), "N/A")</f>
        <v>N/A</v>
      </c>
      <c r="U33" s="364">
        <f>B33*'Population Figures'!J33*(1-'Scenario 3 - Nut. Analysis'!B32)</f>
        <v>20207.359882799996</v>
      </c>
      <c r="V33" s="355" t="str">
        <f>IF('Population Figures'!K33&lt;&gt;"", B33*'Population Figures'!K33*(1-'Scenario 3 - Nut. Analysis'!B32), "N/A")</f>
        <v>N/A</v>
      </c>
      <c r="W33" s="355" t="str">
        <f>IF('Population Figures'!L33&lt;&gt;"", B33*'Population Figures'!L33*(1-'Scenario 3 - Nut. Analysis'!B32), "N/A")</f>
        <v>N/A</v>
      </c>
      <c r="X33" s="92">
        <f>B33*'Population Figures'!P33*(1-'Scenario 3 - Nut. Analysis'!C32)</f>
        <v>60622.079648399995</v>
      </c>
      <c r="Y33" s="353" t="str">
        <f>IF('Population Figures'!Q33&lt;&gt;"", B33*'Population Figures'!Q33*(1-'Scenario 3 - Nut. Analysis'!C32), "N/A")</f>
        <v>N/A</v>
      </c>
      <c r="Z33" s="353" t="str">
        <f>IF('Population Figures'!R33&lt;&gt;"",B33*'Population Figures'!R33*(1-'Scenario 3 - Nut. Analysis'!C32),"N/A")</f>
        <v>N/A</v>
      </c>
      <c r="AA33" s="92">
        <f>B33*'Population Figures'!J33*(1-'Scenario 3 - Nut. Analysis'!H32)</f>
        <v>20207.359882799996</v>
      </c>
      <c r="AB33" s="356" t="str">
        <f>IF('Population Figures'!K33&lt;&gt;"", B33*'Population Figures'!K33*(1-'Scenario 3 - Nut. Analysis'!H32), "N/A")</f>
        <v>N/A</v>
      </c>
      <c r="AC33" s="353" t="str">
        <f>IF('Population Figures'!L33&lt;&gt;"", B33*'Population Figures'!L33*(1-'Scenario 3 - Nut. Analysis'!H32), "N/A")</f>
        <v>N/A</v>
      </c>
      <c r="AD33" s="92">
        <f>B33*'Population Figures'!M33*(1-'Scenario 3 - Nut. Analysis'!I32)</f>
        <v>20207.359882799996</v>
      </c>
      <c r="AE33" s="353" t="str">
        <f>IF('Population Figures'!N33&lt;&gt;"", B33*'Population Figures'!N33*(1-'Scenario 3 - Nut. Analysis'!I32), "N/A")</f>
        <v>N/A</v>
      </c>
      <c r="AF33" s="353" t="str">
        <f>IF('Population Figures'!O33&lt;&gt;"", B33*'Population Figures'!O33*(1-'Scenario 3 - Nut. Analysis'!I32), "N/A")</f>
        <v>N/A</v>
      </c>
      <c r="AG33" s="8"/>
      <c r="AH33" s="8"/>
      <c r="AI33" s="8"/>
      <c r="AJ33" s="8"/>
      <c r="AK33" s="8"/>
      <c r="AL33" s="8"/>
      <c r="AM33" s="8"/>
      <c r="AN33" s="8"/>
      <c r="AO33" s="8"/>
      <c r="AP33" s="8"/>
      <c r="AQ33" s="8"/>
      <c r="AR33" s="8"/>
      <c r="AS33" s="8"/>
      <c r="AT33" s="8"/>
      <c r="AU33" s="8"/>
    </row>
    <row r="34" spans="1:47" s="9" customFormat="1" x14ac:dyDescent="0.2">
      <c r="A34" s="89" t="str">
        <f>'Population Figures'!E34</f>
        <v>Sar-e-Pul</v>
      </c>
      <c r="B34" s="299">
        <f>'Population Figures'!F34</f>
        <v>1741271.58</v>
      </c>
      <c r="C34" s="303">
        <f>B34*'Population Figures'!G34*'Scenario 2 Contributing Fact'!B37</f>
        <v>16716.207168000001</v>
      </c>
      <c r="D34" s="355" t="str">
        <f>IF('Population Figures'!H34&lt;&gt;"", B34*'Population Figures'!H34*'Scenario 2 Contributing Fact'!B37, "N/A")</f>
        <v>N/A</v>
      </c>
      <c r="E34" s="355" t="str">
        <f>IF('Population Figures'!I34&lt;&gt;"", B34*'Population Figures'!I34*'Scenario 2 Contributing Fact'!B37, "N/A")</f>
        <v>N/A</v>
      </c>
      <c r="F34" s="92">
        <f>B34*('Population Figures'!G34)*'Scenario 2 Contributing Fact'!C37</f>
        <v>17157.895605353671</v>
      </c>
      <c r="G34" s="353" t="str">
        <f>IF('Population Figures'!H34&lt;&gt;"", B34*('Population Figures'!H34)*'Scenario 2 Contributing Fact'!C37, "N/A")</f>
        <v>N/A</v>
      </c>
      <c r="H34" s="353" t="str">
        <f>IF('Population Figures'!I34&lt;&gt;"", B34*('Population Figures'!I34)*'Scenario 2 Contributing Fact'!C37, "N/A")</f>
        <v>N/A</v>
      </c>
      <c r="I34" s="92">
        <f>B34*'Population Figures'!J34*(1-'Scenario 2 Contributing Fact'!H37)</f>
        <v>29462.315133599997</v>
      </c>
      <c r="J34" s="353" t="str">
        <f>IF('Population Figures'!K34&lt;&gt;"", B34*'Population Figures'!K34*(1-'Scenario 2 Contributing Fact'!H37), "N/A")</f>
        <v>N/A</v>
      </c>
      <c r="K34" s="353" t="str">
        <f>IF('Population Figures'!L34&lt;&gt;"", B34*'Population Figures'!L34*(1-'Scenario 2 Contributing Fact'!H37), "N/A")</f>
        <v>N/A</v>
      </c>
      <c r="L34" s="92">
        <f>B34*'Population Figures'!P34*(1-'Scenario 2 Contributing Fact'!K37)</f>
        <v>90267.518707199997</v>
      </c>
      <c r="M34" s="353" t="str">
        <f>IF('Population Figures'!Q34&lt;&gt;"", B34*'Population Figures'!Q34*(1-'Scenario 2 Contributing Fact'!K37), "N/A")</f>
        <v>N/A</v>
      </c>
      <c r="N34" s="353" t="str">
        <f>IF('Population Figures'!R34&lt;&gt;"", B34*'Population Figures'!R34*(1-'Scenario 2 Contributing Fact'!K37), "N/A")</f>
        <v>N/A</v>
      </c>
      <c r="O34" s="92">
        <f>B34*'Population Figures'!J34*(1-'Scenario 2 Contributing Fact'!I37)</f>
        <v>29462.315133599997</v>
      </c>
      <c r="P34" s="356" t="str">
        <f>IF('Population Figures'!K34&lt;&gt;"", B34*'Population Figures'!K34*(1-'Scenario 2 Contributing Fact'!I37), "N/A")</f>
        <v>N/A</v>
      </c>
      <c r="Q34" s="356" t="str">
        <f>IF('Population Figures'!L34&lt;&gt;"", B34*'Population Figures'!L34*(1-'Scenario 2 Contributing Fact'!I37), "N/A")</f>
        <v>N/A</v>
      </c>
      <c r="R34" s="362">
        <f>B34*'Population Figures'!M34*(1-'Scenario 2 Contributing Fact'!J37)</f>
        <v>29462.315133599997</v>
      </c>
      <c r="S34" s="353" t="str">
        <f>IF('Population Figures'!N34&lt;&gt;"", B34*'Population Figures'!N34*(1-'Scenario 2 Contributing Fact'!J37), "N/A")</f>
        <v>N/A</v>
      </c>
      <c r="T34" s="353" t="str">
        <f>IF('Population Figures'!O34&lt;&gt;"", B34*'Population Figures'!O34*(1-'Scenario 2 Contributing Fact'!J37), "N/A")</f>
        <v>N/A</v>
      </c>
      <c r="U34" s="364">
        <f>B34*'Population Figures'!J34*(1-'Scenario 3 - Nut. Analysis'!B33)</f>
        <v>29462.315133599997</v>
      </c>
      <c r="V34" s="355" t="str">
        <f>IF('Population Figures'!K34&lt;&gt;"", B34*'Population Figures'!K34*(1-'Scenario 3 - Nut. Analysis'!B33), "N/A")</f>
        <v>N/A</v>
      </c>
      <c r="W34" s="355" t="str">
        <f>IF('Population Figures'!L34&lt;&gt;"", B34*'Population Figures'!L34*(1-'Scenario 3 - Nut. Analysis'!B33), "N/A")</f>
        <v>N/A</v>
      </c>
      <c r="X34" s="92">
        <f>B34*'Population Figures'!P34*(1-'Scenario 3 - Nut. Analysis'!C33)</f>
        <v>88386.945400799988</v>
      </c>
      <c r="Y34" s="353" t="str">
        <f>IF('Population Figures'!Q34&lt;&gt;"", B34*'Population Figures'!Q34*(1-'Scenario 3 - Nut. Analysis'!C33), "N/A")</f>
        <v>N/A</v>
      </c>
      <c r="Z34" s="353" t="str">
        <f>IF('Population Figures'!R34&lt;&gt;"",B34*'Population Figures'!R34*(1-'Scenario 3 - Nut. Analysis'!C33),"N/A")</f>
        <v>N/A</v>
      </c>
      <c r="AA34" s="92">
        <f>B34*'Population Figures'!J34*(1-'Scenario 3 - Nut. Analysis'!H33)</f>
        <v>29462.315133599997</v>
      </c>
      <c r="AB34" s="356" t="str">
        <f>IF('Population Figures'!K34&lt;&gt;"", B34*'Population Figures'!K34*(1-'Scenario 3 - Nut. Analysis'!H33), "N/A")</f>
        <v>N/A</v>
      </c>
      <c r="AC34" s="353" t="str">
        <f>IF('Population Figures'!L34&lt;&gt;"", B34*'Population Figures'!L34*(1-'Scenario 3 - Nut. Analysis'!H33), "N/A")</f>
        <v>N/A</v>
      </c>
      <c r="AD34" s="92">
        <f>B34*'Population Figures'!M34*(1-'Scenario 3 - Nut. Analysis'!I33)</f>
        <v>29462.315133599997</v>
      </c>
      <c r="AE34" s="353" t="str">
        <f>IF('Population Figures'!N34&lt;&gt;"", B34*'Population Figures'!N34*(1-'Scenario 3 - Nut. Analysis'!I33), "N/A")</f>
        <v>N/A</v>
      </c>
      <c r="AF34" s="353" t="str">
        <f>IF('Population Figures'!O34&lt;&gt;"", B34*'Population Figures'!O34*(1-'Scenario 3 - Nut. Analysis'!I33), "N/A")</f>
        <v>N/A</v>
      </c>
      <c r="AG34" s="8"/>
      <c r="AH34" s="8"/>
      <c r="AI34" s="8"/>
      <c r="AJ34" s="8"/>
      <c r="AK34" s="8"/>
      <c r="AL34" s="8"/>
      <c r="AM34" s="8"/>
      <c r="AN34" s="8"/>
      <c r="AO34" s="8"/>
      <c r="AP34" s="8"/>
      <c r="AQ34" s="8"/>
      <c r="AR34" s="8"/>
      <c r="AS34" s="8"/>
      <c r="AT34" s="8"/>
      <c r="AU34" s="8"/>
    </row>
    <row r="35" spans="1:47" s="9" customFormat="1" x14ac:dyDescent="0.2">
      <c r="A35" s="89">
        <f>'Population Figures'!E35</f>
        <v>0</v>
      </c>
      <c r="B35" s="299">
        <f>'Population Figures'!F35</f>
        <v>0</v>
      </c>
      <c r="C35" s="303"/>
      <c r="D35" s="355" t="str">
        <f>IF('Population Figures'!H35&lt;&gt;"", B35*'Population Figures'!H35*'Scenario 2 Contributing Fact'!B38, "N/A")</f>
        <v>N/A</v>
      </c>
      <c r="E35" s="355" t="str">
        <f>IF('Population Figures'!I35&lt;&gt;"", B35*'Population Figures'!I35*'Scenario 2 Contributing Fact'!B38, "N/A")</f>
        <v>N/A</v>
      </c>
      <c r="F35" s="92">
        <f>B35*('Population Figures'!G35)*'Scenario 2 Contributing Fact'!C38</f>
        <v>0</v>
      </c>
      <c r="G35" s="353" t="str">
        <f>IF('Population Figures'!H35&lt;&gt;"", B35*('Population Figures'!H35)*'Scenario 2 Contributing Fact'!C38, "N/A")</f>
        <v>N/A</v>
      </c>
      <c r="H35" s="353" t="str">
        <f>IF('Population Figures'!I35&lt;&gt;"", B35*('Population Figures'!I35)*'Scenario 2 Contributing Fact'!C38, "N/A")</f>
        <v>N/A</v>
      </c>
      <c r="I35" s="92">
        <f>B35*'Population Figures'!J35*(1-'Scenario 2 Contributing Fact'!H38)</f>
        <v>0</v>
      </c>
      <c r="J35" s="353" t="str">
        <f>IF('Population Figures'!K35&lt;&gt;"", B35*'Population Figures'!K35*(1-'Scenario 2 Contributing Fact'!H38), "N/A")</f>
        <v>N/A</v>
      </c>
      <c r="K35" s="353" t="str">
        <f>IF('Population Figures'!L35&lt;&gt;"", B35*'Population Figures'!L35*(1-'Scenario 2 Contributing Fact'!H38), "N/A")</f>
        <v>N/A</v>
      </c>
      <c r="L35" s="92">
        <f>B35*'Population Figures'!P35*(1-'Scenario 2 Contributing Fact'!K38)</f>
        <v>0</v>
      </c>
      <c r="M35" s="353" t="str">
        <f>IF('Population Figures'!Q35&lt;&gt;"", B35*'Population Figures'!Q35*(1-'Scenario 2 Contributing Fact'!K38), "N/A")</f>
        <v>N/A</v>
      </c>
      <c r="N35" s="353" t="str">
        <f>IF('Population Figures'!R35&lt;&gt;"", B35*'Population Figures'!R35*(1-'Scenario 2 Contributing Fact'!K38), "N/A")</f>
        <v>N/A</v>
      </c>
      <c r="O35" s="92">
        <f>B35*'Population Figures'!J35*(1-'Scenario 2 Contributing Fact'!I38)</f>
        <v>0</v>
      </c>
      <c r="P35" s="356" t="str">
        <f>IF('Population Figures'!K35&lt;&gt;"", B35*'Population Figures'!K35*(1-'Scenario 2 Contributing Fact'!I38), "N/A")</f>
        <v>N/A</v>
      </c>
      <c r="Q35" s="356" t="str">
        <f>IF('Population Figures'!L35&lt;&gt;"", B35*'Population Figures'!L35*(1-'Scenario 2 Contributing Fact'!I38), "N/A")</f>
        <v>N/A</v>
      </c>
      <c r="R35" s="362">
        <f>B35*'Population Figures'!M35*(1-'Scenario 2 Contributing Fact'!J38)</f>
        <v>0</v>
      </c>
      <c r="S35" s="353" t="str">
        <f>IF('Population Figures'!N35&lt;&gt;"", B35*'Population Figures'!N35*(1-'Scenario 2 Contributing Fact'!J38), "N/A")</f>
        <v>N/A</v>
      </c>
      <c r="T35" s="353" t="str">
        <f>IF('Population Figures'!O35&lt;&gt;"", B35*'Population Figures'!O35*(1-'Scenario 2 Contributing Fact'!J38), "N/A")</f>
        <v>N/A</v>
      </c>
      <c r="U35" s="364">
        <f>B35*'Population Figures'!J35*(1-'Scenario 3 - Nut. Analysis'!B34)</f>
        <v>0</v>
      </c>
      <c r="V35" s="355" t="str">
        <f>IF('Population Figures'!K35&lt;&gt;"", B35*'Population Figures'!K35*(1-'Scenario 3 - Nut. Analysis'!B34), "N/A")</f>
        <v>N/A</v>
      </c>
      <c r="W35" s="355" t="str">
        <f>IF('Population Figures'!L35&lt;&gt;"", B35*'Population Figures'!L35*(1-'Scenario 3 - Nut. Analysis'!B34), "N/A")</f>
        <v>N/A</v>
      </c>
      <c r="X35" s="92">
        <f>B35*'Population Figures'!P35*(1-'Scenario 3 - Nut. Analysis'!C34)</f>
        <v>0</v>
      </c>
      <c r="Y35" s="353" t="str">
        <f>IF('Population Figures'!Q35&lt;&gt;"", B35*'Population Figures'!Q35*(1-'Scenario 3 - Nut. Analysis'!C34), "N/A")</f>
        <v>N/A</v>
      </c>
      <c r="Z35" s="353" t="str">
        <f>IF('Population Figures'!R35&lt;&gt;"",B35*'Population Figures'!R35*(1-'Scenario 3 - Nut. Analysis'!C34),"N/A")</f>
        <v>N/A</v>
      </c>
      <c r="AA35" s="92">
        <f>B35*'Population Figures'!J35*(1-'Scenario 3 - Nut. Analysis'!H34)</f>
        <v>0</v>
      </c>
      <c r="AB35" s="356" t="str">
        <f>IF('Population Figures'!K35&lt;&gt;"", B35*'Population Figures'!K35*(1-'Scenario 3 - Nut. Analysis'!H34), "N/A")</f>
        <v>N/A</v>
      </c>
      <c r="AC35" s="353" t="str">
        <f>IF('Population Figures'!L35&lt;&gt;"", B35*'Population Figures'!L35*(1-'Scenario 3 - Nut. Analysis'!H34), "N/A")</f>
        <v>N/A</v>
      </c>
      <c r="AD35" s="92">
        <f>B35*'Population Figures'!M35*(1-'Scenario 3 - Nut. Analysis'!I34)</f>
        <v>0</v>
      </c>
      <c r="AE35" s="353" t="str">
        <f>IF('Population Figures'!N35&lt;&gt;"", B35*'Population Figures'!N35*(1-'Scenario 3 - Nut. Analysis'!I34), "N/A")</f>
        <v>N/A</v>
      </c>
      <c r="AF35" s="353" t="str">
        <f>IF('Population Figures'!O35&lt;&gt;"", B35*'Population Figures'!O35*(1-'Scenario 3 - Nut. Analysis'!I34), "N/A")</f>
        <v>N/A</v>
      </c>
      <c r="AG35" s="8"/>
      <c r="AH35" s="8"/>
      <c r="AI35" s="8"/>
      <c r="AJ35" s="8"/>
      <c r="AK35" s="8"/>
      <c r="AL35" s="8"/>
      <c r="AM35" s="8"/>
      <c r="AN35" s="8"/>
      <c r="AO35" s="8"/>
      <c r="AP35" s="8"/>
      <c r="AQ35" s="8"/>
      <c r="AR35" s="8"/>
      <c r="AS35" s="8"/>
      <c r="AT35" s="8"/>
      <c r="AU35" s="8"/>
    </row>
    <row r="36" spans="1:47" s="9" customFormat="1" x14ac:dyDescent="0.2">
      <c r="A36" s="89">
        <f>'Population Figures'!E36</f>
        <v>0</v>
      </c>
      <c r="B36" s="299">
        <f>'Population Figures'!F36</f>
        <v>0</v>
      </c>
      <c r="C36" s="303"/>
      <c r="D36" s="355" t="str">
        <f>IF('Population Figures'!H36&lt;&gt;"", B36*'Population Figures'!H36*'Scenario 2 Contributing Fact'!B39, "N/A")</f>
        <v>N/A</v>
      </c>
      <c r="E36" s="355" t="str">
        <f>IF('Population Figures'!I36&lt;&gt;"", B36*'Population Figures'!I36*'Scenario 2 Contributing Fact'!B39, "N/A")</f>
        <v>N/A</v>
      </c>
      <c r="F36" s="92">
        <f>B36*('Population Figures'!G36)*'Scenario 2 Contributing Fact'!C39</f>
        <v>0</v>
      </c>
      <c r="G36" s="353" t="str">
        <f>IF('Population Figures'!H36&lt;&gt;"", B36*('Population Figures'!H36)*'Scenario 2 Contributing Fact'!C39, "N/A")</f>
        <v>N/A</v>
      </c>
      <c r="H36" s="353" t="str">
        <f>IF('Population Figures'!I36&lt;&gt;"", B36*('Population Figures'!I36)*'Scenario 2 Contributing Fact'!C39, "N/A")</f>
        <v>N/A</v>
      </c>
      <c r="I36" s="92">
        <f>B36*'Population Figures'!J36*(1-'Scenario 2 Contributing Fact'!H39)</f>
        <v>0</v>
      </c>
      <c r="J36" s="353" t="str">
        <f>IF('Population Figures'!K36&lt;&gt;"", B36*'Population Figures'!K36*(1-'Scenario 2 Contributing Fact'!H39), "N/A")</f>
        <v>N/A</v>
      </c>
      <c r="K36" s="353" t="str">
        <f>IF('Population Figures'!L36&lt;&gt;"", B36*'Population Figures'!L36*(1-'Scenario 2 Contributing Fact'!H39), "N/A")</f>
        <v>N/A</v>
      </c>
      <c r="L36" s="92">
        <f>B36*'Population Figures'!P36*(1-'Scenario 2 Contributing Fact'!K39)</f>
        <v>0</v>
      </c>
      <c r="M36" s="353" t="str">
        <f>IF('Population Figures'!Q36&lt;&gt;"", B36*'Population Figures'!Q36*(1-'Scenario 2 Contributing Fact'!K39), "N/A")</f>
        <v>N/A</v>
      </c>
      <c r="N36" s="353" t="str">
        <f>IF('Population Figures'!R36&lt;&gt;"", B36*'Population Figures'!R36*(1-'Scenario 2 Contributing Fact'!K39), "N/A")</f>
        <v>N/A</v>
      </c>
      <c r="O36" s="92">
        <f>B36*'Population Figures'!J36*(1-'Scenario 2 Contributing Fact'!I39)</f>
        <v>0</v>
      </c>
      <c r="P36" s="356" t="str">
        <f>IF('Population Figures'!K36&lt;&gt;"", B36*'Population Figures'!K36*(1-'Scenario 2 Contributing Fact'!I39), "N/A")</f>
        <v>N/A</v>
      </c>
      <c r="Q36" s="356" t="str">
        <f>IF('Population Figures'!L36&lt;&gt;"", B36*'Population Figures'!L36*(1-'Scenario 2 Contributing Fact'!I39), "N/A")</f>
        <v>N/A</v>
      </c>
      <c r="R36" s="362">
        <f>B36*'Population Figures'!M36*(1-'Scenario 2 Contributing Fact'!J39)</f>
        <v>0</v>
      </c>
      <c r="S36" s="353" t="str">
        <f>IF('Population Figures'!N36&lt;&gt;"", B36*'Population Figures'!N36*(1-'Scenario 2 Contributing Fact'!J39), "N/A")</f>
        <v>N/A</v>
      </c>
      <c r="T36" s="353" t="str">
        <f>IF('Population Figures'!O36&lt;&gt;"", B36*'Population Figures'!O36*(1-'Scenario 2 Contributing Fact'!J39), "N/A")</f>
        <v>N/A</v>
      </c>
      <c r="U36" s="364">
        <f>B36*'Population Figures'!J36*(1-'Scenario 3 - Nut. Analysis'!B35)</f>
        <v>0</v>
      </c>
      <c r="V36" s="355" t="str">
        <f>IF('Population Figures'!K36&lt;&gt;"", B36*'Population Figures'!K36*(1-'Scenario 3 - Nut. Analysis'!B35), "N/A")</f>
        <v>N/A</v>
      </c>
      <c r="W36" s="355" t="str">
        <f>IF('Population Figures'!L36&lt;&gt;"", B36*'Population Figures'!L36*(1-'Scenario 3 - Nut. Analysis'!B35), "N/A")</f>
        <v>N/A</v>
      </c>
      <c r="X36" s="92">
        <f>B36*'Population Figures'!P36*(1-'Scenario 3 - Nut. Analysis'!C35)</f>
        <v>0</v>
      </c>
      <c r="Y36" s="353" t="str">
        <f>IF('Population Figures'!Q36&lt;&gt;"", B36*'Population Figures'!Q36*(1-'Scenario 3 - Nut. Analysis'!C35), "N/A")</f>
        <v>N/A</v>
      </c>
      <c r="Z36" s="353" t="str">
        <f>IF('Population Figures'!R36&lt;&gt;"",B36*'Population Figures'!R36*(1-'Scenario 3 - Nut. Analysis'!C35),"N/A")</f>
        <v>N/A</v>
      </c>
      <c r="AA36" s="92">
        <f>B36*'Population Figures'!J36*(1-'Scenario 3 - Nut. Analysis'!H35)</f>
        <v>0</v>
      </c>
      <c r="AB36" s="356" t="str">
        <f>IF('Population Figures'!K36&lt;&gt;"", B36*'Population Figures'!K36*(1-'Scenario 3 - Nut. Analysis'!H35), "N/A")</f>
        <v>N/A</v>
      </c>
      <c r="AC36" s="353" t="str">
        <f>IF('Population Figures'!L36&lt;&gt;"", B36*'Population Figures'!L36*(1-'Scenario 3 - Nut. Analysis'!H35), "N/A")</f>
        <v>N/A</v>
      </c>
      <c r="AD36" s="92">
        <f>B36*'Population Figures'!M36*(1-'Scenario 3 - Nut. Analysis'!I35)</f>
        <v>0</v>
      </c>
      <c r="AE36" s="353" t="str">
        <f>IF('Population Figures'!N36&lt;&gt;"", B36*'Population Figures'!N36*(1-'Scenario 3 - Nut. Analysis'!I35), "N/A")</f>
        <v>N/A</v>
      </c>
      <c r="AF36" s="353" t="str">
        <f>IF('Population Figures'!O36&lt;&gt;"", B36*'Population Figures'!O36*(1-'Scenario 3 - Nut. Analysis'!I35), "N/A")</f>
        <v>N/A</v>
      </c>
      <c r="AG36" s="8"/>
      <c r="AH36" s="8"/>
      <c r="AI36" s="8"/>
      <c r="AJ36" s="8"/>
      <c r="AK36" s="8"/>
      <c r="AL36" s="8"/>
      <c r="AM36" s="8"/>
      <c r="AN36" s="8"/>
      <c r="AO36" s="8"/>
      <c r="AP36" s="8"/>
      <c r="AQ36" s="8"/>
      <c r="AR36" s="8"/>
      <c r="AS36" s="8"/>
      <c r="AT36" s="8"/>
      <c r="AU36" s="8"/>
    </row>
    <row r="37" spans="1:47" x14ac:dyDescent="0.2">
      <c r="A37" s="89">
        <f>'Population Figures'!E37</f>
        <v>0</v>
      </c>
      <c r="B37" s="299">
        <f>'Population Figures'!F37</f>
        <v>0</v>
      </c>
      <c r="C37" s="303"/>
      <c r="D37" s="355" t="str">
        <f>IF('Population Figures'!H37&lt;&gt;"", B37*'Population Figures'!H37*'Scenario 2 Contributing Fact'!B40, "N/A")</f>
        <v>N/A</v>
      </c>
      <c r="E37" s="355" t="str">
        <f>IF('Population Figures'!I37&lt;&gt;"", B37*'Population Figures'!I37*'Scenario 2 Contributing Fact'!B40, "N/A")</f>
        <v>N/A</v>
      </c>
      <c r="F37" s="92">
        <f>B37*('Population Figures'!G37)*'Scenario 2 Contributing Fact'!C40</f>
        <v>0</v>
      </c>
      <c r="G37" s="353" t="str">
        <f>IF('Population Figures'!H37&lt;&gt;"", B37*('Population Figures'!H37)*'Scenario 2 Contributing Fact'!C40, "N/A")</f>
        <v>N/A</v>
      </c>
      <c r="H37" s="353" t="str">
        <f>IF('Population Figures'!I37&lt;&gt;"", B37*('Population Figures'!I37)*'Scenario 2 Contributing Fact'!C40, "N/A")</f>
        <v>N/A</v>
      </c>
      <c r="I37" s="92">
        <f>B37*'Population Figures'!J37*(1-'Scenario 2 Contributing Fact'!H40)</f>
        <v>0</v>
      </c>
      <c r="J37" s="353" t="str">
        <f>IF('Population Figures'!K37&lt;&gt;"", B37*'Population Figures'!K37*(1-'Scenario 2 Contributing Fact'!H40), "N/A")</f>
        <v>N/A</v>
      </c>
      <c r="K37" s="353" t="str">
        <f>IF('Population Figures'!L37&lt;&gt;"", B37*'Population Figures'!L37*(1-'Scenario 2 Contributing Fact'!H40), "N/A")</f>
        <v>N/A</v>
      </c>
      <c r="L37" s="92">
        <f>B37*'Population Figures'!P37*(1-'Scenario 2 Contributing Fact'!K40)</f>
        <v>0</v>
      </c>
      <c r="M37" s="353" t="str">
        <f>IF('Population Figures'!Q37&lt;&gt;"", B37*'Population Figures'!Q37*(1-'Scenario 2 Contributing Fact'!K40), "N/A")</f>
        <v>N/A</v>
      </c>
      <c r="N37" s="353" t="str">
        <f>IF('Population Figures'!R37&lt;&gt;"", B37*'Population Figures'!R37*(1-'Scenario 2 Contributing Fact'!K40), "N/A")</f>
        <v>N/A</v>
      </c>
      <c r="O37" s="92">
        <f>B37*'Population Figures'!J37*(1-'Scenario 2 Contributing Fact'!I40)</f>
        <v>0</v>
      </c>
      <c r="P37" s="356" t="str">
        <f>IF('Population Figures'!K37&lt;&gt;"", B37*'Population Figures'!K37*(1-'Scenario 2 Contributing Fact'!I40), "N/A")</f>
        <v>N/A</v>
      </c>
      <c r="Q37" s="356" t="str">
        <f>IF('Population Figures'!L37&lt;&gt;"", B37*'Population Figures'!L37*(1-'Scenario 2 Contributing Fact'!I40), "N/A")</f>
        <v>N/A</v>
      </c>
      <c r="R37" s="362">
        <f>B37*'Population Figures'!M37*(1-'Scenario 2 Contributing Fact'!J40)</f>
        <v>0</v>
      </c>
      <c r="S37" s="353" t="str">
        <f>IF('Population Figures'!N37&lt;&gt;"", B37*'Population Figures'!N37*(1-'Scenario 2 Contributing Fact'!J40), "N/A")</f>
        <v>N/A</v>
      </c>
      <c r="T37" s="353" t="str">
        <f>IF('Population Figures'!O37&lt;&gt;"", B37*'Population Figures'!O37*(1-'Scenario 2 Contributing Fact'!J40), "N/A")</f>
        <v>N/A</v>
      </c>
      <c r="U37" s="364">
        <f>B37*'Population Figures'!J37*(1-'Scenario 3 - Nut. Analysis'!B36)</f>
        <v>0</v>
      </c>
      <c r="V37" s="355" t="str">
        <f>IF('Population Figures'!K37&lt;&gt;"", B37*'Population Figures'!K37*(1-'Scenario 3 - Nut. Analysis'!B36), "N/A")</f>
        <v>N/A</v>
      </c>
      <c r="W37" s="355" t="str">
        <f>IF('Population Figures'!L37&lt;&gt;"", B37*'Population Figures'!L37*(1-'Scenario 3 - Nut. Analysis'!B36), "N/A")</f>
        <v>N/A</v>
      </c>
      <c r="X37" s="92">
        <f>B37*'Population Figures'!P37*(1-'Scenario 3 - Nut. Analysis'!C36)</f>
        <v>0</v>
      </c>
      <c r="Y37" s="353" t="str">
        <f>IF('Population Figures'!Q37&lt;&gt;"", B37*'Population Figures'!Q37*(1-'Scenario 3 - Nut. Analysis'!C36), "N/A")</f>
        <v>N/A</v>
      </c>
      <c r="Z37" s="353" t="str">
        <f>IF('Population Figures'!R37&lt;&gt;"",B37*'Population Figures'!R37*(1-'Scenario 3 - Nut. Analysis'!C36),"N/A")</f>
        <v>N/A</v>
      </c>
      <c r="AA37" s="92">
        <f>B37*'Population Figures'!J37*(1-'Scenario 3 - Nut. Analysis'!H36)</f>
        <v>0</v>
      </c>
      <c r="AB37" s="356" t="str">
        <f>IF('Population Figures'!K37&lt;&gt;"", B37*'Population Figures'!K37*(1-'Scenario 3 - Nut. Analysis'!H36), "N/A")</f>
        <v>N/A</v>
      </c>
      <c r="AC37" s="353" t="str">
        <f>IF('Population Figures'!L37&lt;&gt;"", B37*'Population Figures'!L37*(1-'Scenario 3 - Nut. Analysis'!H36), "N/A")</f>
        <v>N/A</v>
      </c>
      <c r="AD37" s="92">
        <f>B37*'Population Figures'!M37*(1-'Scenario 3 - Nut. Analysis'!I36)</f>
        <v>0</v>
      </c>
      <c r="AE37" s="353" t="str">
        <f>IF('Population Figures'!N37&lt;&gt;"", B37*'Population Figures'!N37*(1-'Scenario 3 - Nut. Analysis'!I36), "N/A")</f>
        <v>N/A</v>
      </c>
      <c r="AF37" s="353" t="str">
        <f>IF('Population Figures'!O37&lt;&gt;"", B37*'Population Figures'!O37*(1-'Scenario 3 - Nut. Analysis'!I36), "N/A")</f>
        <v>N/A</v>
      </c>
    </row>
    <row r="38" spans="1:47" x14ac:dyDescent="0.2">
      <c r="A38" s="89">
        <f>'Population Figures'!E38</f>
        <v>0</v>
      </c>
      <c r="B38" s="299">
        <f>'Population Figures'!F38</f>
        <v>0</v>
      </c>
      <c r="C38" s="303"/>
      <c r="D38" s="355" t="str">
        <f>IF('Population Figures'!H38&lt;&gt;"", B38*'Population Figures'!H38*'Scenario 2 Contributing Fact'!B41, "N/A")</f>
        <v>N/A</v>
      </c>
      <c r="E38" s="355" t="str">
        <f>IF('Population Figures'!I38&lt;&gt;"", B38*'Population Figures'!I38*'Scenario 2 Contributing Fact'!B41, "N/A")</f>
        <v>N/A</v>
      </c>
      <c r="F38" s="92">
        <f>B38*('Population Figures'!G38)*'Scenario 2 Contributing Fact'!C41</f>
        <v>0</v>
      </c>
      <c r="G38" s="353" t="str">
        <f>IF('Population Figures'!H38&lt;&gt;"", B38*('Population Figures'!H38)*'Scenario 2 Contributing Fact'!C41, "N/A")</f>
        <v>N/A</v>
      </c>
      <c r="H38" s="353" t="str">
        <f>IF('Population Figures'!I38&lt;&gt;"", B38*('Population Figures'!I38)*'Scenario 2 Contributing Fact'!C41, "N/A")</f>
        <v>N/A</v>
      </c>
      <c r="I38" s="92">
        <f>B38*'Population Figures'!J38*(1-'Scenario 2 Contributing Fact'!H41)</f>
        <v>0</v>
      </c>
      <c r="J38" s="353" t="str">
        <f>IF('Population Figures'!K38&lt;&gt;"", B38*'Population Figures'!K38*(1-'Scenario 2 Contributing Fact'!H41), "N/A")</f>
        <v>N/A</v>
      </c>
      <c r="K38" s="353" t="str">
        <f>IF('Population Figures'!L38&lt;&gt;"", B38*'Population Figures'!L38*(1-'Scenario 2 Contributing Fact'!H41), "N/A")</f>
        <v>N/A</v>
      </c>
      <c r="L38" s="92">
        <f>B38*'Population Figures'!P38*(1-'Scenario 2 Contributing Fact'!K41)</f>
        <v>0</v>
      </c>
      <c r="M38" s="353" t="str">
        <f>IF('Population Figures'!Q38&lt;&gt;"", B38*'Population Figures'!Q38*(1-'Scenario 2 Contributing Fact'!K41), "N/A")</f>
        <v>N/A</v>
      </c>
      <c r="N38" s="353" t="str">
        <f>IF('Population Figures'!R38&lt;&gt;"", B38*'Population Figures'!R38*(1-'Scenario 2 Contributing Fact'!K41), "N/A")</f>
        <v>N/A</v>
      </c>
      <c r="O38" s="92">
        <f>B38*'Population Figures'!J38*(1-'Scenario 2 Contributing Fact'!I41)</f>
        <v>0</v>
      </c>
      <c r="P38" s="356" t="str">
        <f>IF('Population Figures'!K38&lt;&gt;"", B38*'Population Figures'!K38*(1-'Scenario 2 Contributing Fact'!I41), "N/A")</f>
        <v>N/A</v>
      </c>
      <c r="Q38" s="356" t="str">
        <f>IF('Population Figures'!L38&lt;&gt;"", B38*'Population Figures'!L38*(1-'Scenario 2 Contributing Fact'!I41), "N/A")</f>
        <v>N/A</v>
      </c>
      <c r="R38" s="362">
        <f>B38*'Population Figures'!M38*(1-'Scenario 2 Contributing Fact'!J41)</f>
        <v>0</v>
      </c>
      <c r="S38" s="353" t="str">
        <f>IF('Population Figures'!N38&lt;&gt;"", B38*'Population Figures'!N38*(1-'Scenario 2 Contributing Fact'!J41), "N/A")</f>
        <v>N/A</v>
      </c>
      <c r="T38" s="353" t="str">
        <f>IF('Population Figures'!O38&lt;&gt;"", B38*'Population Figures'!O38*(1-'Scenario 2 Contributing Fact'!J41), "N/A")</f>
        <v>N/A</v>
      </c>
      <c r="U38" s="364">
        <f>B38*'Population Figures'!J38*(1-'Scenario 3 - Nut. Analysis'!B37)</f>
        <v>0</v>
      </c>
      <c r="V38" s="355" t="str">
        <f>IF('Population Figures'!K38&lt;&gt;"", B38*'Population Figures'!K38*(1-'Scenario 3 - Nut. Analysis'!B37), "N/A")</f>
        <v>N/A</v>
      </c>
      <c r="W38" s="355" t="str">
        <f>IF('Population Figures'!L38&lt;&gt;"", B38*'Population Figures'!L38*(1-'Scenario 3 - Nut. Analysis'!B37), "N/A")</f>
        <v>N/A</v>
      </c>
      <c r="X38" s="92">
        <f>B38*'Population Figures'!P38*(1-'Scenario 3 - Nut. Analysis'!C37)</f>
        <v>0</v>
      </c>
      <c r="Y38" s="353" t="str">
        <f>IF('Population Figures'!Q38&lt;&gt;"", B38*'Population Figures'!Q38*(1-'Scenario 3 - Nut. Analysis'!C37), "N/A")</f>
        <v>N/A</v>
      </c>
      <c r="Z38" s="353" t="str">
        <f>IF('Population Figures'!R38&lt;&gt;"",B38*'Population Figures'!R38*(1-'Scenario 3 - Nut. Analysis'!C37),"N/A")</f>
        <v>N/A</v>
      </c>
      <c r="AA38" s="92">
        <f>B38*'Population Figures'!J38*(1-'Scenario 3 - Nut. Analysis'!H37)</f>
        <v>0</v>
      </c>
      <c r="AB38" s="356" t="str">
        <f>IF('Population Figures'!K38&lt;&gt;"", B38*'Population Figures'!K38*(1-'Scenario 3 - Nut. Analysis'!H37), "N/A")</f>
        <v>N/A</v>
      </c>
      <c r="AC38" s="353" t="str">
        <f>IF('Population Figures'!L38&lt;&gt;"", B38*'Population Figures'!L38*(1-'Scenario 3 - Nut. Analysis'!H37), "N/A")</f>
        <v>N/A</v>
      </c>
      <c r="AD38" s="92">
        <f>B38*'Population Figures'!M38*(1-'Scenario 3 - Nut. Analysis'!I37)</f>
        <v>0</v>
      </c>
      <c r="AE38" s="353" t="str">
        <f>IF('Population Figures'!N38&lt;&gt;"", B38*'Population Figures'!N38*(1-'Scenario 3 - Nut. Analysis'!I37), "N/A")</f>
        <v>N/A</v>
      </c>
      <c r="AF38" s="353" t="str">
        <f>IF('Population Figures'!O38&lt;&gt;"", B38*'Population Figures'!O38*(1-'Scenario 3 - Nut. Analysis'!I37), "N/A")</f>
        <v>N/A</v>
      </c>
    </row>
    <row r="39" spans="1:47" ht="13.5" thickBot="1" x14ac:dyDescent="0.25">
      <c r="A39" s="89">
        <f>'Population Figures'!E39</f>
        <v>0</v>
      </c>
      <c r="B39" s="299">
        <f>'Population Figures'!F39</f>
        <v>0</v>
      </c>
      <c r="C39" s="304"/>
      <c r="D39" s="355" t="str">
        <f>IF('Population Figures'!H39&lt;&gt;"", B39*'Population Figures'!H39*'Scenario 2 Contributing Fact'!B42, "N/A")</f>
        <v>N/A</v>
      </c>
      <c r="E39" s="355" t="str">
        <f>IF('Population Figures'!I39&lt;&gt;"", B39*'Population Figures'!I39*'Scenario 2 Contributing Fact'!B42, "N/A")</f>
        <v>N/A</v>
      </c>
      <c r="F39" s="92">
        <f>B39*('Population Figures'!G39)*'Scenario 2 Contributing Fact'!C42</f>
        <v>0</v>
      </c>
      <c r="G39" s="353" t="str">
        <f>IF('Population Figures'!H39&lt;&gt;"", B39*('Population Figures'!H39)*'Scenario 2 Contributing Fact'!C42, "N/A")</f>
        <v>N/A</v>
      </c>
      <c r="H39" s="353" t="str">
        <f>IF('Population Figures'!I39&lt;&gt;"", B39*('Population Figures'!I39)*'Scenario 2 Contributing Fact'!C42, "N/A")</f>
        <v>N/A</v>
      </c>
      <c r="I39" s="305">
        <f>B39*'Population Figures'!J39*(1-'Scenario 2 Contributing Fact'!H42)</f>
        <v>0</v>
      </c>
      <c r="J39" s="353" t="str">
        <f>IF('Population Figures'!K39&lt;&gt;"", B39*'Population Figures'!K39*(1-'Scenario 2 Contributing Fact'!H42), "N/A")</f>
        <v>N/A</v>
      </c>
      <c r="K39" s="353" t="str">
        <f>IF('Population Figures'!L39&lt;&gt;"", B39*'Population Figures'!L39*(1-'Scenario 2 Contributing Fact'!H42), "N/A")</f>
        <v>N/A</v>
      </c>
      <c r="L39" s="305">
        <f>B39*'Population Figures'!P39*(1-'Scenario 2 Contributing Fact'!K42)</f>
        <v>0</v>
      </c>
      <c r="M39" s="353" t="str">
        <f>IF('Population Figures'!Q39&lt;&gt;"", B39*'Population Figures'!Q39*(1-'Scenario 2 Contributing Fact'!K42), "N/A")</f>
        <v>N/A</v>
      </c>
      <c r="N39" s="353" t="str">
        <f>IF('Population Figures'!R39&lt;&gt;"", B39*'Population Figures'!R39*(1-'Scenario 2 Contributing Fact'!K42), "N/A")</f>
        <v>N/A</v>
      </c>
      <c r="O39" s="305">
        <f>B39*'Population Figures'!J39*(1-'Scenario 2 Contributing Fact'!I42)</f>
        <v>0</v>
      </c>
      <c r="P39" s="356" t="str">
        <f>IF('Population Figures'!K39&lt;&gt;"", B39*'Population Figures'!K39*(1-'Scenario 2 Contributing Fact'!I42), "N/A")</f>
        <v>N/A</v>
      </c>
      <c r="Q39" s="356" t="str">
        <f>IF('Population Figures'!L39&lt;&gt;"", B39*'Population Figures'!L39*(1-'Scenario 2 Contributing Fact'!I42), "N/A")</f>
        <v>N/A</v>
      </c>
      <c r="R39" s="363">
        <f>B39*'Population Figures'!M39*(1-'Scenario 2 Contributing Fact'!J42)</f>
        <v>0</v>
      </c>
      <c r="S39" s="353" t="str">
        <f>IF('Population Figures'!N39&lt;&gt;"", B39*'Population Figures'!N39*(1-'Scenario 2 Contributing Fact'!J42), "N/A")</f>
        <v>N/A</v>
      </c>
      <c r="T39" s="353" t="str">
        <f>IF('Population Figures'!O39&lt;&gt;"", B39*'Population Figures'!O39*(1-'Scenario 2 Contributing Fact'!J42), "N/A")</f>
        <v>N/A</v>
      </c>
      <c r="U39" s="365">
        <f>B39*'Population Figures'!J39*(1-'Scenario 3 - Nut. Analysis'!B38)</f>
        <v>0</v>
      </c>
      <c r="V39" s="355" t="str">
        <f>IF('Population Figures'!K39&lt;&gt;"", B39*'Population Figures'!K39*(1-'Scenario 3 - Nut. Analysis'!B38), "N/A")</f>
        <v>N/A</v>
      </c>
      <c r="W39" s="355" t="str">
        <f>IF('Population Figures'!L39&lt;&gt;"", B39*'Population Figures'!L39*(1-'Scenario 3 - Nut. Analysis'!B38), "N/A")</f>
        <v>N/A</v>
      </c>
      <c r="X39" s="305">
        <f>B39*'Population Figures'!P39*(1-'Scenario 3 - Nut. Analysis'!C38)</f>
        <v>0</v>
      </c>
      <c r="Y39" s="353" t="str">
        <f>IF('Population Figures'!Q39&lt;&gt;"", B39*'Population Figures'!Q39*(1-'Scenario 3 - Nut. Analysis'!C38), "N/A")</f>
        <v>N/A</v>
      </c>
      <c r="Z39" s="353" t="str">
        <f>IF('Population Figures'!R39&lt;&gt;"",B39*'Population Figures'!R39*(1-'Scenario 3 - Nut. Analysis'!C38),"N/A")</f>
        <v>N/A</v>
      </c>
      <c r="AA39" s="305">
        <f>B39*'Population Figures'!J39*(1-'Scenario 3 - Nut. Analysis'!H38)</f>
        <v>0</v>
      </c>
      <c r="AB39" s="356" t="str">
        <f>IF('Population Figures'!K39&lt;&gt;"", B39*'Population Figures'!K39*(1-'Scenario 3 - Nut. Analysis'!H38), "N/A")</f>
        <v>N/A</v>
      </c>
      <c r="AC39" s="353" t="str">
        <f>IF('Population Figures'!L39&lt;&gt;"", B39*'Population Figures'!L39*(1-'Scenario 3 - Nut. Analysis'!H38), "N/A")</f>
        <v>N/A</v>
      </c>
      <c r="AD39" s="92">
        <f>B39*'Population Figures'!M39*(1-'Scenario 3 - Nut. Analysis'!I38)</f>
        <v>0</v>
      </c>
      <c r="AE39" s="353" t="str">
        <f>IF('Population Figures'!N39&lt;&gt;"", B39*'Population Figures'!N39*(1-'Scenario 3 - Nut. Analysis'!I38), "N/A")</f>
        <v>N/A</v>
      </c>
      <c r="AF39" s="353" t="str">
        <f>IF('Population Figures'!O39&lt;&gt;"", B39*'Population Figures'!O39*(1-'Scenario 3 - Nut. Analysis'!I38), "N/A")</f>
        <v>N/A</v>
      </c>
    </row>
  </sheetData>
  <mergeCells count="3">
    <mergeCell ref="A1:R1"/>
    <mergeCell ref="C2:R2"/>
    <mergeCell ref="U2:AF2"/>
  </mergeCells>
  <phoneticPr fontId="35"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59999389629810485"/>
  </sheetPr>
  <dimension ref="A1:BP45"/>
  <sheetViews>
    <sheetView tabSelected="1" topLeftCell="AA1" workbookViewId="0">
      <selection activeCell="AG5" sqref="AG5"/>
    </sheetView>
    <sheetView workbookViewId="1"/>
  </sheetViews>
  <sheetFormatPr defaultColWidth="7.125" defaultRowHeight="15.75" x14ac:dyDescent="0.25"/>
  <cols>
    <col min="1" max="1" width="18" style="1" customWidth="1"/>
    <col min="2" max="2" width="17.625" style="1" customWidth="1"/>
    <col min="3" max="3" width="28.625" style="1" customWidth="1"/>
    <col min="4" max="4" width="25" style="1" customWidth="1"/>
    <col min="5" max="5" width="21.75" style="1" customWidth="1"/>
    <col min="6" max="6" width="24.875" style="1" customWidth="1"/>
    <col min="7" max="7" width="26.375" style="1" customWidth="1"/>
    <col min="8" max="8" width="15.75" style="1" customWidth="1"/>
    <col min="9" max="9" width="21.25" style="1" customWidth="1"/>
    <col min="10" max="10" width="17.125" style="1" customWidth="1"/>
    <col min="11" max="11" width="15.625" style="1" customWidth="1"/>
    <col min="12" max="12" width="14.75" style="1" customWidth="1"/>
    <col min="13" max="13" width="17.125" style="1" customWidth="1"/>
    <col min="14" max="14" width="15.75" style="1" customWidth="1"/>
    <col min="15" max="15" width="15" style="1" customWidth="1"/>
    <col min="16" max="16" width="18.625" customWidth="1"/>
    <col min="17" max="17" width="18.375" customWidth="1"/>
    <col min="18" max="18" width="17.625" customWidth="1"/>
    <col min="19" max="19" width="19.625" customWidth="1"/>
    <col min="20" max="22" width="29.75" style="2" customWidth="1"/>
    <col min="23" max="23" width="26.25" style="2" customWidth="1"/>
    <col min="24" max="24" width="18.375" style="2" customWidth="1"/>
    <col min="25" max="25" width="23.375" style="2" customWidth="1"/>
    <col min="26" max="26" width="26.75" style="2" customWidth="1"/>
    <col min="27" max="29" width="16.5" style="2" customWidth="1"/>
    <col min="30" max="32" width="20.125" style="3" customWidth="1"/>
    <col min="33" max="33" width="16.25" style="3" customWidth="1"/>
    <col min="34" max="35" width="18.75" style="3" customWidth="1"/>
    <col min="36" max="36" width="12.625" style="3" customWidth="1"/>
    <col min="37" max="37" width="14.25" style="2" customWidth="1"/>
    <col min="38" max="38" width="18.625" style="2" customWidth="1"/>
    <col min="39" max="39" width="16.5" style="2" customWidth="1"/>
    <col min="40" max="40" width="16.125" style="2" customWidth="1"/>
    <col min="41" max="41" width="18.25" style="2" customWidth="1"/>
    <col min="42" max="42" width="19" style="2" customWidth="1"/>
    <col min="43" max="43" width="16.25" style="1" customWidth="1"/>
    <col min="44" max="44" width="19.75" style="1" customWidth="1"/>
    <col min="45" max="45" width="18.25" style="1" customWidth="1"/>
    <col min="46" max="46" width="19" style="1" customWidth="1"/>
    <col min="47" max="63" width="7.125" style="3"/>
    <col min="64" max="16384" width="7.125" style="1"/>
  </cols>
  <sheetData>
    <row r="1" spans="1:68" ht="39.6" customHeight="1" thickBot="1" x14ac:dyDescent="0.25">
      <c r="B1" s="271"/>
      <c r="C1" s="531" t="s">
        <v>741</v>
      </c>
      <c r="D1" s="531"/>
      <c r="E1" s="531"/>
      <c r="F1" s="531"/>
      <c r="G1" s="531"/>
      <c r="H1" s="531"/>
      <c r="I1" s="531"/>
      <c r="J1" s="531"/>
      <c r="K1" s="531"/>
      <c r="L1" s="531"/>
      <c r="M1" s="531"/>
      <c r="N1" s="531"/>
      <c r="O1" s="531"/>
      <c r="P1" s="531"/>
      <c r="Q1" s="531"/>
      <c r="R1" s="531"/>
      <c r="S1" s="531"/>
      <c r="T1" s="531"/>
      <c r="U1" s="531"/>
      <c r="V1" s="531"/>
      <c r="W1" s="531"/>
      <c r="X1" s="531"/>
      <c r="Y1" s="531"/>
      <c r="Z1" s="531"/>
      <c r="AA1" s="531"/>
      <c r="AB1" s="531"/>
      <c r="AC1" s="531"/>
      <c r="AD1" s="531"/>
      <c r="AE1" s="531"/>
      <c r="AF1" s="531"/>
      <c r="AG1" s="531"/>
      <c r="AH1" s="531"/>
      <c r="AI1" s="531"/>
      <c r="AJ1" s="531"/>
      <c r="AK1" s="531"/>
      <c r="AL1" s="347"/>
      <c r="AM1" s="347"/>
      <c r="AN1" s="271"/>
      <c r="AO1" s="348"/>
      <c r="AP1" s="348"/>
      <c r="AT1" s="49"/>
    </row>
    <row r="2" spans="1:68" ht="15" customHeight="1" thickBot="1" x14ac:dyDescent="0.25">
      <c r="C2" s="540" t="s">
        <v>421</v>
      </c>
      <c r="D2" s="541"/>
      <c r="E2" s="541"/>
      <c r="F2" s="541"/>
      <c r="G2" s="541"/>
      <c r="H2" s="541"/>
      <c r="I2" s="541"/>
      <c r="J2" s="541"/>
      <c r="K2" s="541"/>
      <c r="L2" s="541"/>
      <c r="M2" s="541"/>
      <c r="N2" s="541"/>
      <c r="O2" s="542"/>
      <c r="P2" s="549" t="s">
        <v>725</v>
      </c>
      <c r="Q2" s="530"/>
      <c r="R2" s="530"/>
      <c r="S2" s="530"/>
      <c r="T2" s="530"/>
      <c r="U2" s="530"/>
      <c r="V2" s="530"/>
      <c r="W2" s="530"/>
      <c r="X2" s="530"/>
      <c r="Y2" s="530"/>
      <c r="Z2" s="530"/>
      <c r="AA2" s="530"/>
      <c r="AB2" s="530"/>
      <c r="AC2" s="530"/>
      <c r="AD2" s="530"/>
      <c r="AE2" s="530"/>
      <c r="AF2" s="530"/>
      <c r="AG2" s="530"/>
      <c r="AH2" s="530"/>
      <c r="AI2" s="530"/>
      <c r="AJ2" s="530"/>
      <c r="AK2" s="530"/>
      <c r="AL2" s="530"/>
      <c r="AM2" s="530"/>
      <c r="AN2" s="530"/>
      <c r="AO2" s="530"/>
      <c r="AP2" s="530"/>
      <c r="AQ2" s="530"/>
      <c r="AR2" s="530"/>
      <c r="AS2" s="530"/>
      <c r="AT2" s="530"/>
    </row>
    <row r="3" spans="1:68" s="5" customFormat="1" ht="52.15" customHeight="1" x14ac:dyDescent="0.25">
      <c r="A3" s="104" t="s">
        <v>516</v>
      </c>
      <c r="B3" s="104" t="s">
        <v>688</v>
      </c>
      <c r="C3" s="135" t="s">
        <v>713</v>
      </c>
      <c r="D3" s="135" t="s">
        <v>729</v>
      </c>
      <c r="E3" s="135" t="s">
        <v>714</v>
      </c>
      <c r="F3" s="135" t="s">
        <v>715</v>
      </c>
      <c r="G3" s="135" t="s">
        <v>716</v>
      </c>
      <c r="H3" s="135" t="s">
        <v>717</v>
      </c>
      <c r="I3" s="135" t="s">
        <v>718</v>
      </c>
      <c r="J3" s="135" t="s">
        <v>719</v>
      </c>
      <c r="K3" s="135" t="s">
        <v>720</v>
      </c>
      <c r="L3" s="135" t="s">
        <v>721</v>
      </c>
      <c r="M3" s="135" t="s">
        <v>722</v>
      </c>
      <c r="N3" s="135" t="s">
        <v>724</v>
      </c>
      <c r="O3" s="272" t="s">
        <v>723</v>
      </c>
      <c r="P3" s="100" t="s">
        <v>846</v>
      </c>
      <c r="Q3" s="372" t="s">
        <v>907</v>
      </c>
      <c r="R3" s="372" t="s">
        <v>908</v>
      </c>
      <c r="S3" s="100" t="s">
        <v>441</v>
      </c>
      <c r="T3" s="374" t="s">
        <v>726</v>
      </c>
      <c r="U3" s="372" t="s">
        <v>909</v>
      </c>
      <c r="V3" s="372" t="s">
        <v>910</v>
      </c>
      <c r="W3" s="100" t="s">
        <v>728</v>
      </c>
      <c r="X3" s="100" t="s">
        <v>730</v>
      </c>
      <c r="Y3" s="100" t="s">
        <v>731</v>
      </c>
      <c r="Z3" s="100" t="s">
        <v>732</v>
      </c>
      <c r="AA3" s="374" t="s">
        <v>733</v>
      </c>
      <c r="AB3" s="372" t="s">
        <v>911</v>
      </c>
      <c r="AC3" s="372" t="s">
        <v>912</v>
      </c>
      <c r="AD3" s="374" t="s">
        <v>734</v>
      </c>
      <c r="AE3" s="372" t="s">
        <v>913</v>
      </c>
      <c r="AF3" s="372" t="s">
        <v>914</v>
      </c>
      <c r="AG3" s="100" t="s">
        <v>735</v>
      </c>
      <c r="AH3" s="372" t="s">
        <v>915</v>
      </c>
      <c r="AI3" s="372" t="s">
        <v>916</v>
      </c>
      <c r="AJ3" s="100" t="s">
        <v>737</v>
      </c>
      <c r="AK3" s="100" t="s">
        <v>738</v>
      </c>
      <c r="AL3" s="372" t="s">
        <v>917</v>
      </c>
      <c r="AM3" s="372" t="s">
        <v>918</v>
      </c>
      <c r="AN3" s="374" t="s">
        <v>739</v>
      </c>
      <c r="AO3" s="372" t="s">
        <v>919</v>
      </c>
      <c r="AP3" s="372" t="s">
        <v>920</v>
      </c>
      <c r="AQ3" s="374" t="s">
        <v>740</v>
      </c>
      <c r="AR3" s="372" t="s">
        <v>921</v>
      </c>
      <c r="AS3" s="372" t="s">
        <v>922</v>
      </c>
      <c r="AT3" s="100" t="s">
        <v>723</v>
      </c>
      <c r="AU3" s="4"/>
      <c r="AV3" s="4"/>
      <c r="AW3" s="4"/>
      <c r="AX3" s="4"/>
      <c r="AY3" s="4"/>
      <c r="AZ3" s="4"/>
      <c r="BA3" s="4"/>
      <c r="BB3" s="4"/>
      <c r="BC3" s="4"/>
      <c r="BD3" s="4"/>
      <c r="BE3" s="4"/>
      <c r="BF3" s="4"/>
      <c r="BG3" s="4"/>
      <c r="BH3" s="4"/>
      <c r="BI3" s="4"/>
      <c r="BJ3" s="4"/>
      <c r="BK3" s="4"/>
      <c r="BL3" s="4"/>
      <c r="BM3" s="4"/>
      <c r="BN3" s="4"/>
      <c r="BO3" s="4"/>
      <c r="BP3" s="4"/>
    </row>
    <row r="4" spans="1:68" s="6" customFormat="1" ht="30" customHeight="1" x14ac:dyDescent="0.25">
      <c r="A4" s="97" t="s">
        <v>590</v>
      </c>
      <c r="B4" s="97" t="s">
        <v>590</v>
      </c>
      <c r="C4" s="254" t="s">
        <v>696</v>
      </c>
      <c r="D4" s="254" t="s">
        <v>696</v>
      </c>
      <c r="E4" s="254" t="s">
        <v>696</v>
      </c>
      <c r="F4" s="254" t="s">
        <v>696</v>
      </c>
      <c r="G4" s="254" t="s">
        <v>696</v>
      </c>
      <c r="H4" s="254" t="s">
        <v>696</v>
      </c>
      <c r="I4" s="254" t="s">
        <v>696</v>
      </c>
      <c r="J4" s="254" t="s">
        <v>696</v>
      </c>
      <c r="K4" s="254" t="s">
        <v>696</v>
      </c>
      <c r="L4" s="254" t="s">
        <v>696</v>
      </c>
      <c r="M4" s="254" t="s">
        <v>696</v>
      </c>
      <c r="N4" s="254" t="s">
        <v>696</v>
      </c>
      <c r="O4" s="254" t="s">
        <v>696</v>
      </c>
      <c r="P4" s="98" t="s">
        <v>701</v>
      </c>
      <c r="Q4" s="98" t="s">
        <v>927</v>
      </c>
      <c r="R4" s="98" t="s">
        <v>927</v>
      </c>
      <c r="S4" s="98" t="s">
        <v>701</v>
      </c>
      <c r="T4" s="98" t="s">
        <v>0</v>
      </c>
      <c r="U4" s="98" t="s">
        <v>927</v>
      </c>
      <c r="V4" s="98" t="s">
        <v>927</v>
      </c>
      <c r="W4" s="98" t="s">
        <v>0</v>
      </c>
      <c r="X4" s="98" t="s">
        <v>0</v>
      </c>
      <c r="Y4" s="98" t="s">
        <v>0</v>
      </c>
      <c r="Z4" s="98" t="s">
        <v>0</v>
      </c>
      <c r="AA4" s="98" t="s">
        <v>0</v>
      </c>
      <c r="AB4" s="98" t="s">
        <v>927</v>
      </c>
      <c r="AC4" s="98" t="s">
        <v>927</v>
      </c>
      <c r="AD4" s="98" t="s">
        <v>0</v>
      </c>
      <c r="AE4" s="98" t="s">
        <v>927</v>
      </c>
      <c r="AF4" s="98" t="s">
        <v>927</v>
      </c>
      <c r="AG4" s="98" t="s">
        <v>0</v>
      </c>
      <c r="AH4" s="98" t="s">
        <v>927</v>
      </c>
      <c r="AI4" s="98" t="s">
        <v>927</v>
      </c>
      <c r="AJ4" s="98" t="s">
        <v>0</v>
      </c>
      <c r="AK4" s="98" t="s">
        <v>0</v>
      </c>
      <c r="AL4" s="98" t="s">
        <v>927</v>
      </c>
      <c r="AM4" s="98" t="s">
        <v>927</v>
      </c>
      <c r="AN4" s="98" t="s">
        <v>0</v>
      </c>
      <c r="AO4" s="98" t="s">
        <v>927</v>
      </c>
      <c r="AP4" s="98" t="s">
        <v>927</v>
      </c>
      <c r="AQ4" s="98" t="s">
        <v>0</v>
      </c>
      <c r="AR4" s="98" t="s">
        <v>927</v>
      </c>
      <c r="AS4" s="98" t="s">
        <v>927</v>
      </c>
      <c r="AT4" s="98" t="s">
        <v>736</v>
      </c>
    </row>
    <row r="5" spans="1:68" s="7" customFormat="1" ht="15" x14ac:dyDescent="0.2">
      <c r="A5" s="89" t="str">
        <f>'Population Figures'!E5</f>
        <v>Badakhshan</v>
      </c>
      <c r="B5" s="91">
        <f>'Population Figures'!F5</f>
        <v>2958374.34</v>
      </c>
      <c r="C5" s="253">
        <v>0.05</v>
      </c>
      <c r="D5" s="253">
        <v>0.01</v>
      </c>
      <c r="E5" s="253">
        <v>0.02</v>
      </c>
      <c r="F5" s="253">
        <v>0.02</v>
      </c>
      <c r="G5" s="253">
        <v>0.02</v>
      </c>
      <c r="H5" s="253">
        <v>0.02</v>
      </c>
      <c r="I5" s="253">
        <v>0.02</v>
      </c>
      <c r="J5" s="253">
        <v>1.4999999999999999E-2</v>
      </c>
      <c r="K5" s="253">
        <v>1.4999999999999999E-2</v>
      </c>
      <c r="L5" s="253">
        <v>1.4999999999999999E-2</v>
      </c>
      <c r="M5" s="253">
        <v>1.4999999999999999E-2</v>
      </c>
      <c r="N5" s="253">
        <v>1.4999999999999999E-2</v>
      </c>
      <c r="O5" s="253">
        <v>1.4999999999999999E-2</v>
      </c>
      <c r="P5" s="92">
        <f>B5*'Population Figures'!G5*'Scenario 3 - Nut. Analysis'!F4</f>
        <v>94667.97888000001</v>
      </c>
      <c r="Q5" s="353" t="str">
        <f>IF('Population Figures'!H5&lt;&gt;"", B5*ABS('Population Figures'!H5-'Population Figures'!K5)*'Scenario 3 - Nut. Analysis'!F4, "N/A")</f>
        <v>N/A</v>
      </c>
      <c r="R5" s="353" t="str">
        <f>IF('Population Figures'!I5&lt;&gt;"",B5*ABS('Population Figures'!I5-'Population Figures'!L5)*'Scenario 3 - Nut. Analysis'!F4,"N/A")</f>
        <v>N/A</v>
      </c>
      <c r="S5" s="92">
        <f>B5*'Population Figures'!T5*'Scenario 3 - Nut. Analysis'!G4</f>
        <v>22187.807549999998</v>
      </c>
      <c r="T5" s="92">
        <f>B5*ABS('Population Figures'!G5-'Population Figures'!J5)*(1-C5)</f>
        <v>399084.69846599997</v>
      </c>
      <c r="U5" s="353" t="str">
        <f>IF('Population Figures'!H5&lt;&gt;"",B5*(ABS('Population Figures'!H5-'Population Figures'!K5))*(1-C5),"N/A")</f>
        <v>N/A</v>
      </c>
      <c r="V5" s="353" t="str">
        <f>IF('Population Figures'!I5&lt;&gt;"",B5*(ABS('Population Figures'!I5-'Population Figures'!L5)*0.9)*(1-C5),"N/A")</f>
        <v>N/A</v>
      </c>
      <c r="W5" s="92">
        <f>B5*('Population Figures'!T5)*(1-D5)</f>
        <v>87863.717897999988</v>
      </c>
      <c r="X5" s="92">
        <f>B5*('Population Figures'!T5)*(1-E5)</f>
        <v>86976.205595999985</v>
      </c>
      <c r="Y5" s="92">
        <f>B5*('Population Figures'!T5)*(1-F5)</f>
        <v>86976.205595999985</v>
      </c>
      <c r="Z5" s="92">
        <f>B5*'Population Figures'!S5*(1-G5)</f>
        <v>144960.34265999999</v>
      </c>
      <c r="AA5" s="92">
        <f>B5*ABS('Population Figures'!G5-'Population Figures'!J5)*H5</f>
        <v>8401.7831256000009</v>
      </c>
      <c r="AB5" s="353" t="str">
        <f>IF('Population Figures'!H5&lt;&gt;"",B5*(ABS('Population Figures'!H5-'Population Figures'!K5))*H5,"N/A")</f>
        <v>N/A</v>
      </c>
      <c r="AC5" s="353" t="str">
        <f>IF('Population Figures'!I5&lt;&gt;"",B5*(ABS('Population Figures'!I5-'Population Figures'!L5))*H5,"N/A")</f>
        <v>N/A</v>
      </c>
      <c r="AD5" s="92">
        <f>B5*ABS('Population Figures'!G5-'Population Figures'!J5)*(1-I5)</f>
        <v>411687.37315439997</v>
      </c>
      <c r="AE5" s="353" t="str">
        <f>IF('Population Figures'!H5&lt;&gt;"",B5*(ABS('Population Figures'!H5-'Population Figures'!K5))*(1-I5),"N/A")</f>
        <v>N/A</v>
      </c>
      <c r="AF5" s="353" t="str">
        <f>IF('Population Figures'!I5&lt;&gt;"",B5*(ABS('Population Figures'!I5-'Population Figures'!L5))*(1-I5),"N/A")</f>
        <v>N/A</v>
      </c>
      <c r="AG5" s="92">
        <f>B5*('Population Figures'!P5)*J5</f>
        <v>2396.2832153999998</v>
      </c>
      <c r="AH5" s="353" t="str">
        <f>IF('Population Figures'!Q5&lt;&gt;"",B5*('Population Figures'!Q5)*J5,"N/A")</f>
        <v>N/A</v>
      </c>
      <c r="AI5" s="353" t="str">
        <f>IF('Population Figures'!R5&lt;&gt;"",B5*('Population Figures'!R5)*J5,"N/A")</f>
        <v>N/A</v>
      </c>
      <c r="AJ5" s="92">
        <f>B5*'Population Figures'!S5*K5</f>
        <v>2218.7807549999998</v>
      </c>
      <c r="AK5" s="92">
        <f>B5*'Population Figures'!U5*L5</f>
        <v>4437.5615099999995</v>
      </c>
      <c r="AL5" s="353" t="str">
        <f>IF('Population Figures'!V5&lt;&gt;"",B5*'Population Figures'!V5*L5,"N/A")</f>
        <v>N/A</v>
      </c>
      <c r="AM5" s="353" t="str">
        <f>IF('Population Figures'!W5&lt;&gt;"",B5*'Population Figures'!W5*L5,"N/A")</f>
        <v>N/A</v>
      </c>
      <c r="AN5" s="92">
        <f>B5*ABS('Population Figures'!G5-'Population Figures'!J5)*(1-M5)</f>
        <v>413787.81893579999</v>
      </c>
      <c r="AO5" s="353" t="str">
        <f>IF('Population Figures'!H5&lt;&gt;"",B5*(ABS('Population Figures'!H5-'Population Figures'!K5))*(1-M5),"N/A")</f>
        <v>N/A</v>
      </c>
      <c r="AP5" s="353" t="str">
        <f>IF('Population Figures'!I5&lt;&gt;"",B5*(ABS('Population Figures'!I5-'Population Figures'!L5))*(1-M5),"N/A")</f>
        <v>N/A</v>
      </c>
      <c r="AQ5" s="92">
        <f>B5*ABS('Population Figures'!G5-'Population Figures'!J5)*(1-N5)</f>
        <v>413787.81893579999</v>
      </c>
      <c r="AR5" s="353" t="str">
        <f>IF('Population Figures'!H5&lt;&gt;"",B5*(ABS('Population Figures'!H5-'Population Figures'!K5))*(1-N5),"N/A")</f>
        <v>N/A</v>
      </c>
      <c r="AS5" s="353" t="str">
        <f>IF('Population Figures'!I5&lt;&gt;"",B5*(ABS('Population Figures'!I5-'Population Figures'!L5))*(1-N5),"N/A")</f>
        <v>N/A</v>
      </c>
      <c r="AT5" s="92"/>
    </row>
    <row r="6" spans="1:68" s="9" customFormat="1" ht="15" x14ac:dyDescent="0.2">
      <c r="A6" s="89" t="str">
        <f>'Population Figures'!E6</f>
        <v>Badghis</v>
      </c>
      <c r="B6" s="91">
        <f>'Population Figures'!F6</f>
        <v>1542806.1</v>
      </c>
      <c r="C6" s="253">
        <v>0.05</v>
      </c>
      <c r="D6" s="253">
        <v>0.01</v>
      </c>
      <c r="E6" s="253">
        <v>0.02</v>
      </c>
      <c r="F6" s="253">
        <v>0.02</v>
      </c>
      <c r="G6" s="253">
        <v>0.02</v>
      </c>
      <c r="H6" s="253">
        <v>0.02</v>
      </c>
      <c r="I6" s="253">
        <v>0.02</v>
      </c>
      <c r="J6" s="253">
        <v>1.4999999999999999E-2</v>
      </c>
      <c r="K6" s="253">
        <v>1.4999999999999999E-2</v>
      </c>
      <c r="L6" s="253">
        <v>1.4999999999999999E-2</v>
      </c>
      <c r="M6" s="253">
        <v>1.4999999999999999E-2</v>
      </c>
      <c r="N6" s="253">
        <v>1.4999999999999999E-2</v>
      </c>
      <c r="O6" s="253">
        <v>1.4999999999999999E-2</v>
      </c>
      <c r="P6" s="92">
        <f>B6*'Population Figures'!G6*'Scenario 3 - Nut. Analysis'!F5</f>
        <v>20827.88235</v>
      </c>
      <c r="Q6" s="353" t="str">
        <f>IF('Population Figures'!H6&lt;&gt;"", B6*ABS('Population Figures'!H6-'Population Figures'!K6)*'Scenario 3 - Nut. Analysis'!F5, "N/A")</f>
        <v>N/A</v>
      </c>
      <c r="R6" s="353" t="str">
        <f>IF('Population Figures'!I6&lt;&gt;"",B6*ABS('Population Figures'!I6-'Population Figures'!L6)*'Scenario 3 - Nut. Analysis'!F5,"N/A")</f>
        <v>N/A</v>
      </c>
      <c r="S6" s="92">
        <f>B6*'Population Figures'!T6*'Scenario 3 - Nut. Analysis'!G5</f>
        <v>4165.57647</v>
      </c>
      <c r="T6" s="92">
        <f>B6*ABS('Population Figures'!G6-'Population Figures'!J6)*(1-C6)</f>
        <v>193467.88493999999</v>
      </c>
      <c r="U6" s="353" t="str">
        <f>IF('Population Figures'!H6&lt;&gt;"",B6*(ABS('Population Figures'!H6-'Population Figures'!K6))*(1-C6),"N/A")</f>
        <v>N/A</v>
      </c>
      <c r="V6" s="353" t="str">
        <f>IF('Population Figures'!I6&lt;&gt;"",B6*(ABS('Population Figures'!I6-'Population Figures'!L6)*0.9)*(1-C6),"N/A")</f>
        <v>N/A</v>
      </c>
      <c r="W6" s="92">
        <f>B6*('Population Figures'!T6)*(1-D6)</f>
        <v>45821.341170000007</v>
      </c>
      <c r="X6" s="92">
        <f>B6*('Population Figures'!T6)*(1-E6)</f>
        <v>45358.499340000002</v>
      </c>
      <c r="Y6" s="92">
        <f>B6*('Population Figures'!T6)*(1-F6)</f>
        <v>45358.499340000002</v>
      </c>
      <c r="Z6" s="92">
        <f>B6*'Population Figures'!S6*(1-G6)</f>
        <v>75597.498900000006</v>
      </c>
      <c r="AA6" s="92">
        <f>B6*ABS('Population Figures'!G6-'Population Figures'!J6)*H6</f>
        <v>4073.0081040000005</v>
      </c>
      <c r="AB6" s="353" t="str">
        <f>IF('Population Figures'!H6&lt;&gt;"",B6*(ABS('Population Figures'!H6-'Population Figures'!K6))*H6,"N/A")</f>
        <v>N/A</v>
      </c>
      <c r="AC6" s="353" t="str">
        <f>IF('Population Figures'!I6&lt;&gt;"",B6*(ABS('Population Figures'!I6-'Population Figures'!L6))*H6,"N/A")</f>
        <v>N/A</v>
      </c>
      <c r="AD6" s="92">
        <f>B6*ABS('Population Figures'!G6-'Population Figures'!J6)*(1-I6)</f>
        <v>199577.397096</v>
      </c>
      <c r="AE6" s="353" t="str">
        <f>IF('Population Figures'!H6&lt;&gt;"",B6*(ABS('Population Figures'!H6-'Population Figures'!K6))*(1-I6),"N/A")</f>
        <v>N/A</v>
      </c>
      <c r="AF6" s="353" t="str">
        <f>IF('Population Figures'!I6&lt;&gt;"",B6*(ABS('Population Figures'!I6-'Population Figures'!L6))*(1-I6),"N/A")</f>
        <v>N/A</v>
      </c>
      <c r="AG6" s="92">
        <f>B6*('Population Figures'!P6)*J6</f>
        <v>1249.672941</v>
      </c>
      <c r="AH6" s="353" t="str">
        <f>IF('Population Figures'!Q6&lt;&gt;"",B6*('Population Figures'!Q6)*J6,"N/A")</f>
        <v>N/A</v>
      </c>
      <c r="AI6" s="353" t="str">
        <f>IF('Population Figures'!R6&lt;&gt;"",B6*('Population Figures'!R6)*J6,"N/A")</f>
        <v>N/A</v>
      </c>
      <c r="AJ6" s="92">
        <f>B6*'Population Figures'!S6*K6</f>
        <v>1157.1045750000001</v>
      </c>
      <c r="AK6" s="92">
        <f>(C6-D6)*(B6*'Population Figures'!G6)*'Population Figures'!$C$6</f>
        <v>0</v>
      </c>
      <c r="AL6" s="353" t="str">
        <f>IF('Population Figures'!V6&lt;&gt;"",B6*'Population Figures'!V6*L6,"N/A")</f>
        <v>N/A</v>
      </c>
      <c r="AM6" s="353" t="str">
        <f>IF('Population Figures'!W6&lt;&gt;"",B6*'Population Figures'!W6*L6,"N/A")</f>
        <v>N/A</v>
      </c>
      <c r="AN6" s="92">
        <f>B6*ABS('Population Figures'!G6-'Population Figures'!J6)*(1-M6)</f>
        <v>200595.649122</v>
      </c>
      <c r="AO6" s="353" t="str">
        <f>IF('Population Figures'!H6&lt;&gt;"",B6*(ABS('Population Figures'!H6-'Population Figures'!K6))*(1-M6),"N/A")</f>
        <v>N/A</v>
      </c>
      <c r="AP6" s="353" t="str">
        <f>IF('Population Figures'!I6&lt;&gt;"",B6*(ABS('Population Figures'!I6-'Population Figures'!L6))*(1-M6),"N/A")</f>
        <v>N/A</v>
      </c>
      <c r="AQ6" s="92">
        <f>B6*ABS('Population Figures'!G6-'Population Figures'!J6)*(1-N6)</f>
        <v>200595.649122</v>
      </c>
      <c r="AR6" s="353" t="str">
        <f>IF('Population Figures'!H6&lt;&gt;"",B6*(ABS('Population Figures'!H6-'Population Figures'!K6))*(1-N6),"N/A")</f>
        <v>N/A</v>
      </c>
      <c r="AS6" s="353" t="str">
        <f>IF('Population Figures'!I6&lt;&gt;"",B6*(ABS('Population Figures'!I6-'Population Figures'!L6))*(1-N6),"N/A")</f>
        <v>N/A</v>
      </c>
      <c r="AT6" s="92"/>
      <c r="AU6" s="8"/>
      <c r="AV6" s="8"/>
      <c r="AW6" s="8"/>
      <c r="AX6" s="8"/>
      <c r="AY6" s="8"/>
      <c r="AZ6" s="8"/>
      <c r="BA6" s="8"/>
      <c r="BB6" s="8"/>
      <c r="BC6" s="8"/>
      <c r="BD6" s="8"/>
      <c r="BE6" s="8"/>
      <c r="BF6" s="8"/>
      <c r="BG6" s="8"/>
      <c r="BH6" s="8"/>
      <c r="BI6" s="8"/>
      <c r="BJ6" s="8"/>
      <c r="BK6" s="8"/>
      <c r="BL6" s="8"/>
      <c r="BM6" s="8"/>
      <c r="BN6" s="8"/>
      <c r="BO6" s="8"/>
      <c r="BP6" s="8"/>
    </row>
    <row r="7" spans="1:68" s="9" customFormat="1" ht="15" x14ac:dyDescent="0.2">
      <c r="A7" s="89" t="str">
        <f>'Population Figures'!E7</f>
        <v>Baghlan</v>
      </c>
      <c r="B7" s="91">
        <f>'Population Figures'!F7</f>
        <v>2836525.14</v>
      </c>
      <c r="C7" s="253">
        <v>0.05</v>
      </c>
      <c r="D7" s="253">
        <v>0.01</v>
      </c>
      <c r="E7" s="253">
        <v>0.02</v>
      </c>
      <c r="F7" s="253">
        <v>0.02</v>
      </c>
      <c r="G7" s="253">
        <v>0.02</v>
      </c>
      <c r="H7" s="253">
        <v>0.02</v>
      </c>
      <c r="I7" s="253">
        <v>0.02</v>
      </c>
      <c r="J7" s="253">
        <v>1.4999999999999999E-2</v>
      </c>
      <c r="K7" s="253">
        <v>1.4999999999999999E-2</v>
      </c>
      <c r="L7" s="253">
        <v>1.4999999999999999E-2</v>
      </c>
      <c r="M7" s="253">
        <v>1.4999999999999999E-2</v>
      </c>
      <c r="N7" s="253">
        <v>1.4999999999999999E-2</v>
      </c>
      <c r="O7" s="253">
        <v>1.4999999999999999E-2</v>
      </c>
      <c r="P7" s="92">
        <f>B7*'Population Figures'!G7*'Scenario 3 - Nut. Analysis'!F6</f>
        <v>181537.60896000001</v>
      </c>
      <c r="Q7" s="353" t="str">
        <f>IF('Population Figures'!H7&lt;&gt;"", B7*ABS('Population Figures'!H7-'Population Figures'!K7)*'Scenario 3 - Nut. Analysis'!F6, "N/A")</f>
        <v>N/A</v>
      </c>
      <c r="R7" s="353" t="str">
        <f>IF('Population Figures'!I7&lt;&gt;"",B7*ABS('Population Figures'!I7-'Population Figures'!L7)*'Scenario 3 - Nut. Analysis'!F6,"N/A")</f>
        <v>N/A</v>
      </c>
      <c r="S7" s="92">
        <f>B7*'Population Figures'!T7*'Scenario 3 - Nut. Analysis'!G6</f>
        <v>34038.301679999997</v>
      </c>
      <c r="T7" s="92">
        <f>B7*ABS('Population Figures'!G7-'Population Figures'!J7)*(1-C7)</f>
        <v>382647.24138600007</v>
      </c>
      <c r="U7" s="353" t="str">
        <f>IF('Population Figures'!H7&lt;&gt;"",B7*(ABS('Population Figures'!H7-'Population Figures'!K7))*(1-C7),"N/A")</f>
        <v>N/A</v>
      </c>
      <c r="V7" s="353" t="str">
        <f>IF('Population Figures'!I7&lt;&gt;"",B7*(ABS('Population Figures'!I7-'Population Figures'!L7)*0.9)*(1-C7),"N/A")</f>
        <v>N/A</v>
      </c>
      <c r="W7" s="92">
        <f>B7*('Population Figures'!T7)*(1-D7)</f>
        <v>84244.796657999992</v>
      </c>
      <c r="X7" s="92">
        <f>B7*('Population Figures'!T7)*(1-E7)</f>
        <v>83393.839115999988</v>
      </c>
      <c r="Y7" s="92">
        <f>B7*('Population Figures'!T7)*(1-F7)</f>
        <v>83393.839115999988</v>
      </c>
      <c r="Z7" s="92">
        <f>B7*'Population Figures'!S7*(1-G7)</f>
        <v>138989.73186</v>
      </c>
      <c r="AA7" s="92">
        <f>B7*ABS('Population Figures'!G7-'Population Figures'!J7)*H7</f>
        <v>8055.7313976000014</v>
      </c>
      <c r="AB7" s="353" t="str">
        <f>IF('Population Figures'!H7&lt;&gt;"",B7*(ABS('Population Figures'!H7-'Population Figures'!K7))*H7,"N/A")</f>
        <v>N/A</v>
      </c>
      <c r="AC7" s="353" t="str">
        <f>IF('Population Figures'!I7&lt;&gt;"",B7*(ABS('Population Figures'!I7-'Population Figures'!L7))*H7,"N/A")</f>
        <v>N/A</v>
      </c>
      <c r="AD7" s="92">
        <f>B7*ABS('Population Figures'!G7-'Population Figures'!J7)*(1-I7)</f>
        <v>394730.83848240005</v>
      </c>
      <c r="AE7" s="353" t="str">
        <f>IF('Population Figures'!H7&lt;&gt;"",B7*(ABS('Population Figures'!H7-'Population Figures'!K7))*(1-I7),"N/A")</f>
        <v>N/A</v>
      </c>
      <c r="AF7" s="353" t="str">
        <f>IF('Population Figures'!I7&lt;&gt;"",B7*(ABS('Population Figures'!I7-'Population Figures'!L7))*(1-I7),"N/A")</f>
        <v>N/A</v>
      </c>
      <c r="AG7" s="92">
        <f>B7*('Population Figures'!P7)*J7</f>
        <v>2297.5853634</v>
      </c>
      <c r="AH7" s="353" t="str">
        <f>IF('Population Figures'!Q7&lt;&gt;"",B7*('Population Figures'!Q7)*J7,"N/A")</f>
        <v>N/A</v>
      </c>
      <c r="AI7" s="353" t="str">
        <f>IF('Population Figures'!R7&lt;&gt;"",B7*('Population Figures'!R7)*J7,"N/A")</f>
        <v>N/A</v>
      </c>
      <c r="AJ7" s="92">
        <f>B7*'Population Figures'!S7*K7</f>
        <v>2127.3938550000003</v>
      </c>
      <c r="AK7" s="92">
        <f>(C7-D7)*(B7*'Population Figures'!G7)*'Population Figures'!$C$6</f>
        <v>0</v>
      </c>
      <c r="AL7" s="353" t="str">
        <f>IF('Population Figures'!V7&lt;&gt;"",B7*'Population Figures'!V7*L7,"N/A")</f>
        <v>N/A</v>
      </c>
      <c r="AM7" s="353" t="str">
        <f>IF('Population Figures'!W7&lt;&gt;"",B7*'Population Figures'!W7*L7,"N/A")</f>
        <v>N/A</v>
      </c>
      <c r="AN7" s="92">
        <f>B7*ABS('Population Figures'!G7-'Population Figures'!J7)*(1-M7)</f>
        <v>396744.77133180009</v>
      </c>
      <c r="AO7" s="353" t="str">
        <f>IF('Population Figures'!H7&lt;&gt;"",B7*(ABS('Population Figures'!H7-'Population Figures'!K7))*(1-M7),"N/A")</f>
        <v>N/A</v>
      </c>
      <c r="AP7" s="353" t="str">
        <f>IF('Population Figures'!I7&lt;&gt;"",B7*(ABS('Population Figures'!I7-'Population Figures'!L7))*(1-M7),"N/A")</f>
        <v>N/A</v>
      </c>
      <c r="AQ7" s="92">
        <f>B7*ABS('Population Figures'!G7-'Population Figures'!J7)*(1-N7)</f>
        <v>396744.77133180009</v>
      </c>
      <c r="AR7" s="353" t="str">
        <f>IF('Population Figures'!H7&lt;&gt;"",B7*(ABS('Population Figures'!H7-'Population Figures'!K7))*(1-N7),"N/A")</f>
        <v>N/A</v>
      </c>
      <c r="AS7" s="353" t="str">
        <f>IF('Population Figures'!I7&lt;&gt;"",B7*(ABS('Population Figures'!I7-'Population Figures'!L7))*(1-N7),"N/A")</f>
        <v>N/A</v>
      </c>
      <c r="AT7" s="92"/>
      <c r="AU7" s="8"/>
      <c r="AV7" s="8"/>
      <c r="AW7" s="8"/>
      <c r="AX7" s="8"/>
      <c r="AY7" s="8"/>
      <c r="AZ7" s="8"/>
      <c r="BA7" s="8"/>
      <c r="BB7" s="8"/>
      <c r="BC7" s="8"/>
      <c r="BD7" s="8"/>
      <c r="BE7" s="8"/>
      <c r="BF7" s="8"/>
      <c r="BG7" s="8"/>
      <c r="BH7" s="8"/>
      <c r="BI7" s="8"/>
      <c r="BJ7" s="8"/>
      <c r="BK7" s="8"/>
      <c r="BL7" s="8"/>
      <c r="BM7" s="8"/>
      <c r="BN7" s="8"/>
      <c r="BO7" s="8"/>
      <c r="BP7" s="8"/>
    </row>
    <row r="8" spans="1:68" s="9" customFormat="1" ht="15" x14ac:dyDescent="0.2">
      <c r="A8" s="89" t="str">
        <f>'Population Figures'!E8</f>
        <v>Balkh</v>
      </c>
      <c r="B8" s="91">
        <f>'Population Figures'!F8</f>
        <v>4142095.56</v>
      </c>
      <c r="C8" s="253">
        <v>0.05</v>
      </c>
      <c r="D8" s="253">
        <v>0.01</v>
      </c>
      <c r="E8" s="253">
        <v>0.02</v>
      </c>
      <c r="F8" s="253">
        <v>0.02</v>
      </c>
      <c r="G8" s="253">
        <v>0.02</v>
      </c>
      <c r="H8" s="253">
        <v>0.02</v>
      </c>
      <c r="I8" s="253">
        <v>0.02</v>
      </c>
      <c r="J8" s="253">
        <v>1.4999999999999999E-2</v>
      </c>
      <c r="K8" s="253">
        <v>1.4999999999999999E-2</v>
      </c>
      <c r="L8" s="253">
        <v>1.4999999999999999E-2</v>
      </c>
      <c r="M8" s="253">
        <v>1.4999999999999999E-2</v>
      </c>
      <c r="N8" s="253">
        <v>1.4999999999999999E-2</v>
      </c>
      <c r="O8" s="253">
        <v>1.4999999999999999E-2</v>
      </c>
      <c r="P8" s="92">
        <f>B8*'Population Figures'!G8*'Scenario 3 - Nut. Analysis'!F7</f>
        <v>13254.705792000001</v>
      </c>
      <c r="Q8" s="353" t="str">
        <f>IF('Population Figures'!H8&lt;&gt;"", B8*ABS('Population Figures'!H8-'Population Figures'!K8)*'Scenario 3 - Nut. Analysis'!F7, "N/A")</f>
        <v>N/A</v>
      </c>
      <c r="R8" s="353" t="str">
        <f>IF('Population Figures'!I8&lt;&gt;"",B8*ABS('Population Figures'!I8-'Population Figures'!L8)*'Scenario 3 - Nut. Analysis'!F7,"N/A")</f>
        <v>N/A</v>
      </c>
      <c r="S8" s="92">
        <f>B8*'Population Figures'!T8*'Scenario 3 - Nut. Analysis'!G7</f>
        <v>2485.2573360000001</v>
      </c>
      <c r="T8" s="92">
        <f>B8*ABS('Population Figures'!G8-'Population Figures'!J8)*(1-C8)</f>
        <v>558768.69104399998</v>
      </c>
      <c r="U8" s="353" t="str">
        <f>IF('Population Figures'!H8&lt;&gt;"",B8*(ABS('Population Figures'!H8-'Population Figures'!K8))*(1-C8),"N/A")</f>
        <v>N/A</v>
      </c>
      <c r="V8" s="353" t="str">
        <f>IF('Population Figures'!I8&lt;&gt;"",B8*(ABS('Population Figures'!I8-'Population Figures'!L8)*0.9)*(1-C8),"N/A")</f>
        <v>N/A</v>
      </c>
      <c r="W8" s="92">
        <f>B8*('Population Figures'!T8)*(1-D8)</f>
        <v>123020.238132</v>
      </c>
      <c r="X8" s="92">
        <f>B8*('Population Figures'!T8)*(1-E8)</f>
        <v>121777.60946400001</v>
      </c>
      <c r="Y8" s="92">
        <f>B8*('Population Figures'!T8)*(1-F8)</f>
        <v>121777.60946400001</v>
      </c>
      <c r="Z8" s="92">
        <f>B8*'Population Figures'!S8*(1-G8)</f>
        <v>202962.68244</v>
      </c>
      <c r="AA8" s="92">
        <f>B8*ABS('Population Figures'!G8-'Population Figures'!J8)*H8</f>
        <v>11763.5513904</v>
      </c>
      <c r="AB8" s="353" t="str">
        <f>IF('Population Figures'!H8&lt;&gt;"",B8*(ABS('Population Figures'!H8-'Population Figures'!K8))*H8,"N/A")</f>
        <v>N/A</v>
      </c>
      <c r="AC8" s="353" t="str">
        <f>IF('Population Figures'!I8&lt;&gt;"",B8*(ABS('Population Figures'!I8-'Population Figures'!L8))*H8,"N/A")</f>
        <v>N/A</v>
      </c>
      <c r="AD8" s="92">
        <f>B8*ABS('Population Figures'!G8-'Population Figures'!J8)*(1-I8)</f>
        <v>576414.01812959998</v>
      </c>
      <c r="AE8" s="353" t="str">
        <f>IF('Population Figures'!H8&lt;&gt;"",B8*(ABS('Population Figures'!H8-'Population Figures'!K8))*(1-I8),"N/A")</f>
        <v>N/A</v>
      </c>
      <c r="AF8" s="353" t="str">
        <f>IF('Population Figures'!I8&lt;&gt;"",B8*(ABS('Population Figures'!I8-'Population Figures'!L8))*(1-I8),"N/A")</f>
        <v>N/A</v>
      </c>
      <c r="AG8" s="92">
        <f>B8*('Population Figures'!P8)*J8</f>
        <v>3355.0974035999998</v>
      </c>
      <c r="AH8" s="353" t="str">
        <f>IF('Population Figures'!Q8&lt;&gt;"",B8*('Population Figures'!Q8)*J8,"N/A")</f>
        <v>N/A</v>
      </c>
      <c r="AI8" s="353" t="str">
        <f>IF('Population Figures'!R8&lt;&gt;"",B8*('Population Figures'!R8)*J8,"N/A")</f>
        <v>N/A</v>
      </c>
      <c r="AJ8" s="92">
        <f>B8*'Population Figures'!S8*K8</f>
        <v>3106.5716700000003</v>
      </c>
      <c r="AK8" s="92">
        <f>(C8-D8)*(B8*'Population Figures'!G8)*'Population Figures'!$C$6</f>
        <v>0</v>
      </c>
      <c r="AL8" s="353" t="str">
        <f>IF('Population Figures'!V8&lt;&gt;"",B8*'Population Figures'!V8*L8,"N/A")</f>
        <v>N/A</v>
      </c>
      <c r="AM8" s="353" t="str">
        <f>IF('Population Figures'!W8&lt;&gt;"",B8*'Population Figures'!W8*L8,"N/A")</f>
        <v>N/A</v>
      </c>
      <c r="AN8" s="92">
        <f>B8*ABS('Population Figures'!G8-'Population Figures'!J8)*(1-M8)</f>
        <v>579354.90597720002</v>
      </c>
      <c r="AO8" s="353" t="str">
        <f>IF('Population Figures'!H8&lt;&gt;"",B8*(ABS('Population Figures'!H8-'Population Figures'!K8))*(1-M8),"N/A")</f>
        <v>N/A</v>
      </c>
      <c r="AP8" s="353" t="str">
        <f>IF('Population Figures'!I8&lt;&gt;"",B8*(ABS('Population Figures'!I8-'Population Figures'!L8))*(1-M8),"N/A")</f>
        <v>N/A</v>
      </c>
      <c r="AQ8" s="92">
        <f>B8*ABS('Population Figures'!G8-'Population Figures'!J8)*(1-N8)</f>
        <v>579354.90597720002</v>
      </c>
      <c r="AR8" s="353" t="str">
        <f>IF('Population Figures'!H8&lt;&gt;"",B8*(ABS('Population Figures'!H8-'Population Figures'!K8))*(1-N8),"N/A")</f>
        <v>N/A</v>
      </c>
      <c r="AS8" s="353" t="str">
        <f>IF('Population Figures'!I8&lt;&gt;"",B8*(ABS('Population Figures'!I8-'Population Figures'!L8))*(1-N8),"N/A")</f>
        <v>N/A</v>
      </c>
      <c r="AT8" s="92"/>
      <c r="AU8" s="8"/>
      <c r="AV8" s="8"/>
      <c r="AW8" s="8"/>
      <c r="AX8" s="8"/>
      <c r="AY8" s="8"/>
      <c r="AZ8" s="8"/>
      <c r="BA8" s="8"/>
      <c r="BB8" s="8"/>
      <c r="BC8" s="8"/>
      <c r="BD8" s="8"/>
      <c r="BE8" s="8"/>
      <c r="BF8" s="8"/>
      <c r="BG8" s="8"/>
      <c r="BH8" s="8"/>
      <c r="BI8" s="8"/>
      <c r="BJ8" s="8"/>
      <c r="BK8" s="8"/>
      <c r="BL8" s="8"/>
      <c r="BM8" s="8"/>
      <c r="BN8" s="8"/>
      <c r="BO8" s="8"/>
      <c r="BP8" s="8"/>
    </row>
    <row r="9" spans="1:68" s="9" customFormat="1" ht="15" x14ac:dyDescent="0.2">
      <c r="A9" s="89" t="str">
        <f>'Population Figures'!E9</f>
        <v>Bamyan</v>
      </c>
      <c r="B9" s="91">
        <f>'Population Figures'!F9</f>
        <v>1391176.98</v>
      </c>
      <c r="C9" s="253">
        <v>0.05</v>
      </c>
      <c r="D9" s="253">
        <v>0.01</v>
      </c>
      <c r="E9" s="253">
        <v>0.02</v>
      </c>
      <c r="F9" s="253">
        <v>0.02</v>
      </c>
      <c r="G9" s="253">
        <v>0.02</v>
      </c>
      <c r="H9" s="253">
        <v>0.02</v>
      </c>
      <c r="I9" s="253">
        <v>0.02</v>
      </c>
      <c r="J9" s="253">
        <v>1.4999999999999999E-2</v>
      </c>
      <c r="K9" s="253">
        <v>1.4999999999999999E-2</v>
      </c>
      <c r="L9" s="253">
        <v>1.4999999999999999E-2</v>
      </c>
      <c r="M9" s="253">
        <v>1.4999999999999999E-2</v>
      </c>
      <c r="N9" s="253">
        <v>1.4999999999999999E-2</v>
      </c>
      <c r="O9" s="253">
        <v>1.4999999999999999E-2</v>
      </c>
      <c r="P9" s="92">
        <f>B9*'Population Figures'!G9*'Scenario 3 - Nut. Analysis'!F8</f>
        <v>89035.326720000012</v>
      </c>
      <c r="Q9" s="353" t="str">
        <f>IF('Population Figures'!H9&lt;&gt;"", B9*ABS('Population Figures'!H9-'Population Figures'!K9)*'Scenario 3 - Nut. Analysis'!F8, "N/A")</f>
        <v>N/A</v>
      </c>
      <c r="R9" s="353" t="str">
        <f>IF('Population Figures'!I9&lt;&gt;"",B9*ABS('Population Figures'!I9-'Population Figures'!L9)*'Scenario 3 - Nut. Analysis'!F8,"N/A")</f>
        <v>N/A</v>
      </c>
      <c r="S9" s="92">
        <f>B9*'Population Figures'!T9*'Scenario 3 - Nut. Analysis'!G8</f>
        <v>16694.123759999999</v>
      </c>
      <c r="T9" s="92">
        <f>B9*ABS('Population Figures'!G9-'Population Figures'!J9)*(1-C9)</f>
        <v>187669.77460200002</v>
      </c>
      <c r="U9" s="353" t="str">
        <f>IF('Population Figures'!H9&lt;&gt;"",B9*(ABS('Population Figures'!H9-'Population Figures'!K9))*(1-C9),"N/A")</f>
        <v>N/A</v>
      </c>
      <c r="V9" s="353" t="str">
        <f>IF('Population Figures'!I9&lt;&gt;"",B9*(ABS('Population Figures'!I9-'Population Figures'!L9)*0.9)*(1-C9),"N/A")</f>
        <v>N/A</v>
      </c>
      <c r="W9" s="92">
        <f>B9*('Population Figures'!T9)*(1-D9)</f>
        <v>41317.956306</v>
      </c>
      <c r="X9" s="92">
        <f>B9*('Population Figures'!T9)*(1-E9)</f>
        <v>40900.603211999995</v>
      </c>
      <c r="Y9" s="92">
        <f>B9*('Population Figures'!T9)*(1-F9)</f>
        <v>40900.603211999995</v>
      </c>
      <c r="Z9" s="92">
        <f>B9*'Population Figures'!S9*(1-G9)</f>
        <v>68167.672019999998</v>
      </c>
      <c r="AA9" s="92">
        <f>B9*ABS('Population Figures'!G9-'Population Figures'!J9)*H9</f>
        <v>3950.9426232000005</v>
      </c>
      <c r="AB9" s="353" t="str">
        <f>IF('Population Figures'!H9&lt;&gt;"",B9*(ABS('Population Figures'!H9-'Population Figures'!K9))*H9,"N/A")</f>
        <v>N/A</v>
      </c>
      <c r="AC9" s="353" t="str">
        <f>IF('Population Figures'!I9&lt;&gt;"",B9*(ABS('Population Figures'!I9-'Population Figures'!L9))*H9,"N/A")</f>
        <v>N/A</v>
      </c>
      <c r="AD9" s="92">
        <f>B9*ABS('Population Figures'!G9-'Population Figures'!J9)*(1-I9)</f>
        <v>193596.18853680001</v>
      </c>
      <c r="AE9" s="353" t="str">
        <f>IF('Population Figures'!H9&lt;&gt;"",B9*(ABS('Population Figures'!H9-'Population Figures'!K9))*(1-I9),"N/A")</f>
        <v>N/A</v>
      </c>
      <c r="AF9" s="353" t="str">
        <f>IF('Population Figures'!I9&lt;&gt;"",B9*(ABS('Population Figures'!I9-'Population Figures'!L9))*(1-I9),"N/A")</f>
        <v>N/A</v>
      </c>
      <c r="AG9" s="92">
        <f>B9*('Population Figures'!P9)*J9</f>
        <v>1126.8533537999999</v>
      </c>
      <c r="AH9" s="353" t="str">
        <f>IF('Population Figures'!Q9&lt;&gt;"",B9*('Population Figures'!Q9)*J9,"N/A")</f>
        <v>N/A</v>
      </c>
      <c r="AI9" s="353" t="str">
        <f>IF('Population Figures'!R9&lt;&gt;"",B9*('Population Figures'!R9)*J9,"N/A")</f>
        <v>N/A</v>
      </c>
      <c r="AJ9" s="92">
        <f>B9*'Population Figures'!S9*K9</f>
        <v>1043.3827349999999</v>
      </c>
      <c r="AK9" s="92">
        <f>(C9-D9)*(B9*'Population Figures'!G9)*'Population Figures'!$C$6</f>
        <v>0</v>
      </c>
      <c r="AL9" s="353" t="str">
        <f>IF('Population Figures'!V9&lt;&gt;"",B9*'Population Figures'!V9*L9,"N/A")</f>
        <v>N/A</v>
      </c>
      <c r="AM9" s="353" t="str">
        <f>IF('Population Figures'!W9&lt;&gt;"",B9*'Population Figures'!W9*L9,"N/A")</f>
        <v>N/A</v>
      </c>
      <c r="AN9" s="92">
        <f>B9*ABS('Population Figures'!G9-'Population Figures'!J9)*(1-M9)</f>
        <v>194583.92419260001</v>
      </c>
      <c r="AO9" s="353" t="str">
        <f>IF('Population Figures'!H9&lt;&gt;"",B9*(ABS('Population Figures'!H9-'Population Figures'!K9))*(1-M9),"N/A")</f>
        <v>N/A</v>
      </c>
      <c r="AP9" s="353" t="str">
        <f>IF('Population Figures'!I9&lt;&gt;"",B9*(ABS('Population Figures'!I9-'Population Figures'!L9))*(1-M9),"N/A")</f>
        <v>N/A</v>
      </c>
      <c r="AQ9" s="92">
        <f>B9*ABS('Population Figures'!G9-'Population Figures'!J9)*(1-N9)</f>
        <v>194583.92419260001</v>
      </c>
      <c r="AR9" s="353" t="str">
        <f>IF('Population Figures'!H9&lt;&gt;"",B9*(ABS('Population Figures'!H9-'Population Figures'!K9))*(1-N9),"N/A")</f>
        <v>N/A</v>
      </c>
      <c r="AS9" s="353" t="str">
        <f>IF('Population Figures'!I9&lt;&gt;"",B9*(ABS('Population Figures'!I9-'Population Figures'!L9))*(1-N9),"N/A")</f>
        <v>N/A</v>
      </c>
      <c r="AT9" s="92"/>
      <c r="AU9" s="8"/>
      <c r="AV9" s="8"/>
      <c r="AW9" s="8"/>
      <c r="AX9" s="8"/>
      <c r="AY9" s="8"/>
      <c r="AZ9" s="8"/>
      <c r="BA9" s="8"/>
      <c r="BB9" s="8"/>
      <c r="BC9" s="8"/>
      <c r="BD9" s="8"/>
      <c r="BE9" s="8"/>
      <c r="BF9" s="8"/>
      <c r="BG9" s="8"/>
      <c r="BH9" s="8"/>
      <c r="BI9" s="8"/>
      <c r="BJ9" s="8"/>
      <c r="BK9" s="8"/>
      <c r="BL9" s="8"/>
      <c r="BM9" s="8"/>
      <c r="BN9" s="8"/>
      <c r="BO9" s="8"/>
      <c r="BP9" s="8"/>
    </row>
    <row r="10" spans="1:68" s="9" customFormat="1" ht="15" x14ac:dyDescent="0.2">
      <c r="A10" s="89" t="str">
        <f>'Population Figures'!E10</f>
        <v>Dykundi</v>
      </c>
      <c r="B10" s="91">
        <f>'Population Figures'!F10</f>
        <v>1432624.68</v>
      </c>
      <c r="C10" s="253">
        <v>0.05</v>
      </c>
      <c r="D10" s="253">
        <v>0.01</v>
      </c>
      <c r="E10" s="253">
        <v>0.02</v>
      </c>
      <c r="F10" s="253">
        <v>0.02</v>
      </c>
      <c r="G10" s="253">
        <v>0.02</v>
      </c>
      <c r="H10" s="253">
        <v>0.02</v>
      </c>
      <c r="I10" s="253">
        <v>0.02</v>
      </c>
      <c r="J10" s="253">
        <v>1.4999999999999999E-2</v>
      </c>
      <c r="K10" s="253">
        <v>1.4999999999999999E-2</v>
      </c>
      <c r="L10" s="253">
        <v>1.4999999999999999E-2</v>
      </c>
      <c r="M10" s="253">
        <v>1.4999999999999999E-2</v>
      </c>
      <c r="N10" s="253">
        <v>1.4999999999999999E-2</v>
      </c>
      <c r="O10" s="253">
        <v>1.4999999999999999E-2</v>
      </c>
      <c r="P10" s="92">
        <f>B10*'Population Figures'!G10*'Scenario 3 - Nut. Analysis'!F9</f>
        <v>91687.979519999993</v>
      </c>
      <c r="Q10" s="353" t="str">
        <f>IF('Population Figures'!H10&lt;&gt;"", B10*ABS('Population Figures'!H10-'Population Figures'!K10)*'Scenario 3 - Nut. Analysis'!F9, "N/A")</f>
        <v>N/A</v>
      </c>
      <c r="R10" s="353" t="str">
        <f>IF('Population Figures'!I10&lt;&gt;"",B10*ABS('Population Figures'!I10-'Population Figures'!L10)*'Scenario 3 - Nut. Analysis'!F9,"N/A")</f>
        <v>N/A</v>
      </c>
      <c r="S10" s="92">
        <f>B10*'Population Figures'!T10*'Scenario 3 - Nut. Analysis'!G9</f>
        <v>17191.496159999999</v>
      </c>
      <c r="T10" s="92">
        <f>B10*ABS('Population Figures'!G10-'Population Figures'!J10)*(1-C10)</f>
        <v>193261.06933200001</v>
      </c>
      <c r="U10" s="353" t="str">
        <f>IF('Population Figures'!H10&lt;&gt;"",B10*(ABS('Population Figures'!H10-'Population Figures'!K10))*(1-C10),"N/A")</f>
        <v>N/A</v>
      </c>
      <c r="V10" s="353" t="str">
        <f>IF('Population Figures'!I10&lt;&gt;"",B10*(ABS('Population Figures'!I10-'Population Figures'!L10)*0.9)*(1-C10),"N/A")</f>
        <v>N/A</v>
      </c>
      <c r="W10" s="92">
        <f>B10*('Population Figures'!T10)*(1-D10)</f>
        <v>42548.952995999993</v>
      </c>
      <c r="X10" s="92">
        <f>B10*('Population Figures'!T10)*(1-E10)</f>
        <v>42119.165591999998</v>
      </c>
      <c r="Y10" s="92">
        <f>B10*('Population Figures'!T10)*(1-F10)</f>
        <v>42119.165591999998</v>
      </c>
      <c r="Z10" s="92">
        <f>B10*'Population Figures'!S10*(1-G10)</f>
        <v>70198.609319999989</v>
      </c>
      <c r="AA10" s="92">
        <f>B10*ABS('Population Figures'!G10-'Population Figures'!J10)*H10</f>
        <v>4068.6540912000005</v>
      </c>
      <c r="AB10" s="353" t="str">
        <f>IF('Population Figures'!H10&lt;&gt;"",B10*(ABS('Population Figures'!H10-'Population Figures'!K10))*H10,"N/A")</f>
        <v>N/A</v>
      </c>
      <c r="AC10" s="353" t="str">
        <f>IF('Population Figures'!I10&lt;&gt;"",B10*(ABS('Population Figures'!I10-'Population Figures'!L10))*H10,"N/A")</f>
        <v>N/A</v>
      </c>
      <c r="AD10" s="92">
        <f>B10*ABS('Population Figures'!G10-'Population Figures'!J10)*(1-I10)</f>
        <v>199364.05046880001</v>
      </c>
      <c r="AE10" s="353" t="str">
        <f>IF('Population Figures'!H10&lt;&gt;"",B10*(ABS('Population Figures'!H10-'Population Figures'!K10))*(1-I10),"N/A")</f>
        <v>N/A</v>
      </c>
      <c r="AF10" s="353" t="str">
        <f>IF('Population Figures'!I10&lt;&gt;"",B10*(ABS('Population Figures'!I10-'Population Figures'!L10))*(1-I10),"N/A")</f>
        <v>N/A</v>
      </c>
      <c r="AG10" s="92">
        <f>B10*('Population Figures'!P10)*J10</f>
        <v>1160.4259907999999</v>
      </c>
      <c r="AH10" s="353" t="str">
        <f>IF('Population Figures'!Q10&lt;&gt;"",B10*('Population Figures'!Q10)*J10,"N/A")</f>
        <v>N/A</v>
      </c>
      <c r="AI10" s="353" t="str">
        <f>IF('Population Figures'!R10&lt;&gt;"",B10*('Population Figures'!R10)*J10,"N/A")</f>
        <v>N/A</v>
      </c>
      <c r="AJ10" s="92">
        <f>B10*'Population Figures'!S10*K10</f>
        <v>1074.4685099999999</v>
      </c>
      <c r="AK10" s="92">
        <f>(C10-D10)*(B10*'Population Figures'!G10)*'Population Figures'!$C$6</f>
        <v>0</v>
      </c>
      <c r="AL10" s="353" t="str">
        <f>IF('Population Figures'!V10&lt;&gt;"",B10*'Population Figures'!V10*L10,"N/A")</f>
        <v>N/A</v>
      </c>
      <c r="AM10" s="353" t="str">
        <f>IF('Population Figures'!W10&lt;&gt;"",B10*'Population Figures'!W10*L10,"N/A")</f>
        <v>N/A</v>
      </c>
      <c r="AN10" s="92">
        <f>B10*ABS('Population Figures'!G10-'Population Figures'!J10)*(1-M10)</f>
        <v>200381.2139916</v>
      </c>
      <c r="AO10" s="353" t="str">
        <f>IF('Population Figures'!H10&lt;&gt;"",B10*(ABS('Population Figures'!H10-'Population Figures'!K10))*(1-M10),"N/A")</f>
        <v>N/A</v>
      </c>
      <c r="AP10" s="353" t="str">
        <f>IF('Population Figures'!I10&lt;&gt;"",B10*(ABS('Population Figures'!I10-'Population Figures'!L10))*(1-M10),"N/A")</f>
        <v>N/A</v>
      </c>
      <c r="AQ10" s="92">
        <f>B10*ABS('Population Figures'!G10-'Population Figures'!J10)*(1-N10)</f>
        <v>200381.2139916</v>
      </c>
      <c r="AR10" s="353" t="str">
        <f>IF('Population Figures'!H10&lt;&gt;"",B10*(ABS('Population Figures'!H10-'Population Figures'!K10))*(1-N10),"N/A")</f>
        <v>N/A</v>
      </c>
      <c r="AS10" s="353" t="str">
        <f>IF('Population Figures'!I10&lt;&gt;"",B10*(ABS('Population Figures'!I10-'Population Figures'!L10))*(1-N10),"N/A")</f>
        <v>N/A</v>
      </c>
      <c r="AT10" s="92"/>
      <c r="AU10" s="8"/>
      <c r="AV10" s="8"/>
      <c r="AW10" s="8"/>
      <c r="AX10" s="8"/>
      <c r="AY10" s="8"/>
      <c r="AZ10" s="8"/>
      <c r="BA10" s="8"/>
      <c r="BB10" s="8"/>
      <c r="BC10" s="8"/>
      <c r="BD10" s="8"/>
      <c r="BE10" s="8"/>
      <c r="BF10" s="8"/>
      <c r="BG10" s="8"/>
      <c r="BH10" s="8"/>
      <c r="BI10" s="8"/>
      <c r="BJ10" s="8"/>
      <c r="BK10" s="8"/>
      <c r="BL10" s="8"/>
      <c r="BM10" s="8"/>
      <c r="BN10" s="8"/>
      <c r="BO10" s="8"/>
      <c r="BP10" s="8"/>
    </row>
    <row r="11" spans="1:68" s="9" customFormat="1" ht="15" x14ac:dyDescent="0.2">
      <c r="A11" s="89" t="str">
        <f>'Population Figures'!E11</f>
        <v>Farah</v>
      </c>
      <c r="B11" s="91">
        <f>'Population Figures'!F11</f>
        <v>1578877.38</v>
      </c>
      <c r="C11" s="253">
        <v>0.05</v>
      </c>
      <c r="D11" s="253">
        <v>0.01</v>
      </c>
      <c r="E11" s="253">
        <v>0.02</v>
      </c>
      <c r="F11" s="253">
        <v>0.02</v>
      </c>
      <c r="G11" s="253">
        <v>0.02</v>
      </c>
      <c r="H11" s="253">
        <v>0.02</v>
      </c>
      <c r="I11" s="253">
        <v>0.02</v>
      </c>
      <c r="J11" s="253">
        <v>1.4999999999999999E-2</v>
      </c>
      <c r="K11" s="253">
        <v>1.4999999999999999E-2</v>
      </c>
      <c r="L11" s="253">
        <v>1.4999999999999999E-2</v>
      </c>
      <c r="M11" s="253">
        <v>1.4999999999999999E-2</v>
      </c>
      <c r="N11" s="253">
        <v>1.4999999999999999E-2</v>
      </c>
      <c r="O11" s="253">
        <v>1.4999999999999999E-2</v>
      </c>
      <c r="P11" s="92">
        <f>B11*'Population Figures'!G11*'Scenario 3 - Nut. Analysis'!F10</f>
        <v>55576.483775999994</v>
      </c>
      <c r="Q11" s="353" t="str">
        <f>IF('Population Figures'!H11&lt;&gt;"", B11*ABS('Population Figures'!H11-'Population Figures'!K11)*'Scenario 3 - Nut. Analysis'!F10, "N/A")</f>
        <v>N/A</v>
      </c>
      <c r="R11" s="353" t="str">
        <f>IF('Population Figures'!I11&lt;&gt;"",B11*ABS('Population Figures'!I11-'Population Figures'!L11)*'Scenario 3 - Nut. Analysis'!F10,"N/A")</f>
        <v>N/A</v>
      </c>
      <c r="S11" s="92">
        <f>B11*'Population Figures'!T11*'Scenario 3 - Nut. Analysis'!G10</f>
        <v>10420.590707999998</v>
      </c>
      <c r="T11" s="92">
        <f>B11*ABS('Population Figures'!G11-'Population Figures'!J11)*(1-C11)</f>
        <v>212990.55856199999</v>
      </c>
      <c r="U11" s="353" t="str">
        <f>IF('Population Figures'!H11&lt;&gt;"",B11*(ABS('Population Figures'!H11-'Population Figures'!K11))*(1-C11),"N/A")</f>
        <v>N/A</v>
      </c>
      <c r="V11" s="353" t="str">
        <f>IF('Population Figures'!I11&lt;&gt;"",B11*(ABS('Population Figures'!I11-'Population Figures'!L11)*0.9)*(1-C11),"N/A")</f>
        <v>N/A</v>
      </c>
      <c r="W11" s="92">
        <f>B11*('Population Figures'!T11)*(1-D11)</f>
        <v>46892.658185999993</v>
      </c>
      <c r="X11" s="92">
        <f>B11*('Population Figures'!T11)*(1-E11)</f>
        <v>46418.994971999993</v>
      </c>
      <c r="Y11" s="92">
        <f>B11*('Population Figures'!T11)*(1-F11)</f>
        <v>46418.994971999993</v>
      </c>
      <c r="Z11" s="92">
        <f>B11*'Population Figures'!S11*(1-G11)</f>
        <v>77364.991620000001</v>
      </c>
      <c r="AA11" s="92">
        <f>B11*ABS('Population Figures'!G11-'Population Figures'!J11)*H11</f>
        <v>4484.0117592000006</v>
      </c>
      <c r="AB11" s="353" t="str">
        <f>IF('Population Figures'!H11&lt;&gt;"",B11*(ABS('Population Figures'!H11-'Population Figures'!K11))*H11,"N/A")</f>
        <v>N/A</v>
      </c>
      <c r="AC11" s="353" t="str">
        <f>IF('Population Figures'!I11&lt;&gt;"",B11*(ABS('Population Figures'!I11-'Population Figures'!L11))*H11,"N/A")</f>
        <v>N/A</v>
      </c>
      <c r="AD11" s="92">
        <f>B11*ABS('Population Figures'!G11-'Population Figures'!J11)*(1-I11)</f>
        <v>219716.57620079999</v>
      </c>
      <c r="AE11" s="353" t="str">
        <f>IF('Population Figures'!H11&lt;&gt;"",B11*(ABS('Population Figures'!H11-'Population Figures'!K11))*(1-I11),"N/A")</f>
        <v>N/A</v>
      </c>
      <c r="AF11" s="353" t="str">
        <f>IF('Population Figures'!I11&lt;&gt;"",B11*(ABS('Population Figures'!I11-'Population Figures'!L11))*(1-I11),"N/A")</f>
        <v>N/A</v>
      </c>
      <c r="AG11" s="92">
        <f>B11*('Population Figures'!P11)*J11</f>
        <v>1278.8906777999998</v>
      </c>
      <c r="AH11" s="353" t="str">
        <f>IF('Population Figures'!Q11&lt;&gt;"",B11*('Population Figures'!Q11)*J11,"N/A")</f>
        <v>N/A</v>
      </c>
      <c r="AI11" s="353" t="str">
        <f>IF('Population Figures'!R11&lt;&gt;"",B11*('Population Figures'!R11)*J11,"N/A")</f>
        <v>N/A</v>
      </c>
      <c r="AJ11" s="92">
        <f>B11*'Population Figures'!S11*K11</f>
        <v>1184.1580350000002</v>
      </c>
      <c r="AK11" s="92">
        <f>(C11-D11)*(B11*'Population Figures'!G11)*'Population Figures'!$C$6</f>
        <v>0</v>
      </c>
      <c r="AL11" s="353" t="str">
        <f>IF('Population Figures'!V11&lt;&gt;"",B11*'Population Figures'!V11*L11,"N/A")</f>
        <v>N/A</v>
      </c>
      <c r="AM11" s="353" t="str">
        <f>IF('Population Figures'!W11&lt;&gt;"",B11*'Population Figures'!W11*L11,"N/A")</f>
        <v>N/A</v>
      </c>
      <c r="AN11" s="92">
        <f>B11*ABS('Population Figures'!G11-'Population Figures'!J11)*(1-M11)</f>
        <v>220837.57914059999</v>
      </c>
      <c r="AO11" s="353" t="str">
        <f>IF('Population Figures'!H11&lt;&gt;"",B11*(ABS('Population Figures'!H11-'Population Figures'!K11))*(1-M11),"N/A")</f>
        <v>N/A</v>
      </c>
      <c r="AP11" s="353" t="str">
        <f>IF('Population Figures'!I11&lt;&gt;"",B11*(ABS('Population Figures'!I11-'Population Figures'!L11))*(1-M11),"N/A")</f>
        <v>N/A</v>
      </c>
      <c r="AQ11" s="92">
        <f>B11*ABS('Population Figures'!G11-'Population Figures'!J11)*(1-N11)</f>
        <v>220837.57914059999</v>
      </c>
      <c r="AR11" s="353" t="str">
        <f>IF('Population Figures'!H11&lt;&gt;"",B11*(ABS('Population Figures'!H11-'Population Figures'!K11))*(1-N11),"N/A")</f>
        <v>N/A</v>
      </c>
      <c r="AS11" s="353" t="str">
        <f>IF('Population Figures'!I11&lt;&gt;"",B11*(ABS('Population Figures'!I11-'Population Figures'!L11))*(1-N11),"N/A")</f>
        <v>N/A</v>
      </c>
      <c r="AT11" s="92"/>
      <c r="AU11" s="8"/>
      <c r="AV11" s="8"/>
      <c r="AW11" s="8"/>
      <c r="AX11" s="8"/>
      <c r="AY11" s="8"/>
      <c r="AZ11" s="8"/>
      <c r="BA11" s="8"/>
      <c r="BB11" s="8"/>
      <c r="BC11" s="8"/>
      <c r="BD11" s="8"/>
      <c r="BE11" s="8"/>
      <c r="BF11" s="8"/>
      <c r="BG11" s="8"/>
      <c r="BH11" s="8"/>
      <c r="BI11" s="8"/>
      <c r="BJ11" s="8"/>
      <c r="BK11" s="8"/>
      <c r="BL11" s="8"/>
      <c r="BM11" s="8"/>
      <c r="BN11" s="8"/>
      <c r="BO11" s="8"/>
      <c r="BP11" s="8"/>
    </row>
    <row r="12" spans="1:68" s="9" customFormat="1" ht="15" x14ac:dyDescent="0.2">
      <c r="A12" s="89" t="str">
        <f>'Population Figures'!E12</f>
        <v>Faryab</v>
      </c>
      <c r="B12" s="91">
        <f>'Population Figures'!F12</f>
        <v>3106925.1</v>
      </c>
      <c r="C12" s="253">
        <v>0.05</v>
      </c>
      <c r="D12" s="253">
        <v>0.01</v>
      </c>
      <c r="E12" s="253">
        <v>0.02</v>
      </c>
      <c r="F12" s="253">
        <v>0.02</v>
      </c>
      <c r="G12" s="253">
        <v>0.02</v>
      </c>
      <c r="H12" s="253">
        <v>0.02</v>
      </c>
      <c r="I12" s="253">
        <v>0.02</v>
      </c>
      <c r="J12" s="253">
        <v>1.4999999999999999E-2</v>
      </c>
      <c r="K12" s="253">
        <v>1.4999999999999999E-2</v>
      </c>
      <c r="L12" s="253">
        <v>1.4999999999999999E-2</v>
      </c>
      <c r="M12" s="253">
        <v>1.4999999999999999E-2</v>
      </c>
      <c r="N12" s="253">
        <v>1.4999999999999999E-2</v>
      </c>
      <c r="O12" s="253">
        <v>1.4999999999999999E-2</v>
      </c>
      <c r="P12" s="92">
        <f>B12*'Population Figures'!G12*'Scenario 3 - Nut. Analysis'!F11</f>
        <v>19884.320640000002</v>
      </c>
      <c r="Q12" s="353" t="str">
        <f>IF('Population Figures'!H12&lt;&gt;"", B12*ABS('Population Figures'!H12-'Population Figures'!K12)*'Scenario 3 - Nut. Analysis'!F11, "N/A")</f>
        <v>N/A</v>
      </c>
      <c r="R12" s="353" t="str">
        <f>IF('Population Figures'!I12&lt;&gt;"",B12*ABS('Population Figures'!I12-'Population Figures'!L12)*'Scenario 3 - Nut. Analysis'!F11,"N/A")</f>
        <v>N/A</v>
      </c>
      <c r="S12" s="92">
        <f>B12*'Population Figures'!T12*'Scenario 3 - Nut. Analysis'!G11</f>
        <v>3728.3101200000001</v>
      </c>
      <c r="T12" s="92">
        <f>B12*ABS('Population Figures'!G12-'Population Figures'!J12)*(1-C12)</f>
        <v>419124.19599000004</v>
      </c>
      <c r="U12" s="353" t="str">
        <f>IF('Population Figures'!H12&lt;&gt;"",B12*(ABS('Population Figures'!H12-'Population Figures'!K12))*(1-C12),"N/A")</f>
        <v>N/A</v>
      </c>
      <c r="V12" s="353" t="str">
        <f>IF('Population Figures'!I12&lt;&gt;"",B12*(ABS('Population Figures'!I12-'Population Figures'!L12)*0.9)*(1-C12),"N/A")</f>
        <v>N/A</v>
      </c>
      <c r="W12" s="92">
        <f>B12*('Population Figures'!T12)*(1-D12)</f>
        <v>92275.675470000002</v>
      </c>
      <c r="X12" s="92">
        <f>B12*('Population Figures'!T12)*(1-E12)</f>
        <v>91343.597939999992</v>
      </c>
      <c r="Y12" s="92">
        <f>B12*('Population Figures'!T12)*(1-F12)</f>
        <v>91343.597939999992</v>
      </c>
      <c r="Z12" s="92">
        <f>B12*'Population Figures'!S12*(1-G12)</f>
        <v>152239.32990000001</v>
      </c>
      <c r="AA12" s="92">
        <f>B12*ABS('Population Figures'!G12-'Population Figures'!J12)*H12</f>
        <v>8823.667284000001</v>
      </c>
      <c r="AB12" s="353" t="str">
        <f>IF('Population Figures'!H12&lt;&gt;"",B12*(ABS('Population Figures'!H12-'Population Figures'!K12))*H12,"N/A")</f>
        <v>N/A</v>
      </c>
      <c r="AC12" s="353" t="str">
        <f>IF('Population Figures'!I12&lt;&gt;"",B12*(ABS('Population Figures'!I12-'Population Figures'!L12))*H12,"N/A")</f>
        <v>N/A</v>
      </c>
      <c r="AD12" s="92">
        <f>B12*ABS('Population Figures'!G12-'Population Figures'!J12)*(1-I12)</f>
        <v>432359.69691600004</v>
      </c>
      <c r="AE12" s="353" t="str">
        <f>IF('Population Figures'!H12&lt;&gt;"",B12*(ABS('Population Figures'!H12-'Population Figures'!K12))*(1-I12),"N/A")</f>
        <v>N/A</v>
      </c>
      <c r="AF12" s="353" t="str">
        <f>IF('Population Figures'!I12&lt;&gt;"",B12*(ABS('Population Figures'!I12-'Population Figures'!L12))*(1-I12),"N/A")</f>
        <v>N/A</v>
      </c>
      <c r="AG12" s="92">
        <f>B12*('Population Figures'!P12)*J12</f>
        <v>2516.6093310000001</v>
      </c>
      <c r="AH12" s="353" t="str">
        <f>IF('Population Figures'!Q12&lt;&gt;"",B12*('Population Figures'!Q12)*J12,"N/A")</f>
        <v>N/A</v>
      </c>
      <c r="AI12" s="353" t="str">
        <f>IF('Population Figures'!R12&lt;&gt;"",B12*('Population Figures'!R12)*J12,"N/A")</f>
        <v>N/A</v>
      </c>
      <c r="AJ12" s="92">
        <f>B12*'Population Figures'!S12*K12</f>
        <v>2330.1938249999998</v>
      </c>
      <c r="AK12" s="92">
        <f>(C12-D12)*(B12*'Population Figures'!G12)*'Population Figures'!$C$6</f>
        <v>0</v>
      </c>
      <c r="AL12" s="353" t="str">
        <f>IF('Population Figures'!V12&lt;&gt;"",B12*'Population Figures'!V12*L12,"N/A")</f>
        <v>N/A</v>
      </c>
      <c r="AM12" s="353" t="str">
        <f>IF('Population Figures'!W12&lt;&gt;"",B12*'Population Figures'!W12*L12,"N/A")</f>
        <v>N/A</v>
      </c>
      <c r="AN12" s="92">
        <f>B12*ABS('Population Figures'!G12-'Population Figures'!J12)*(1-M12)</f>
        <v>434565.61373700004</v>
      </c>
      <c r="AO12" s="353" t="str">
        <f>IF('Population Figures'!H12&lt;&gt;"",B12*(ABS('Population Figures'!H12-'Population Figures'!K12))*(1-M12),"N/A")</f>
        <v>N/A</v>
      </c>
      <c r="AP12" s="353" t="str">
        <f>IF('Population Figures'!I12&lt;&gt;"",B12*(ABS('Population Figures'!I12-'Population Figures'!L12))*(1-M12),"N/A")</f>
        <v>N/A</v>
      </c>
      <c r="AQ12" s="92">
        <f>B12*ABS('Population Figures'!G12-'Population Figures'!J12)*(1-N12)</f>
        <v>434565.61373700004</v>
      </c>
      <c r="AR12" s="353" t="str">
        <f>IF('Population Figures'!H12&lt;&gt;"",B12*(ABS('Population Figures'!H12-'Population Figures'!K12))*(1-N12),"N/A")</f>
        <v>N/A</v>
      </c>
      <c r="AS12" s="353" t="str">
        <f>IF('Population Figures'!I12&lt;&gt;"",B12*(ABS('Population Figures'!I12-'Population Figures'!L12))*(1-N12),"N/A")</f>
        <v>N/A</v>
      </c>
      <c r="AT12" s="92"/>
      <c r="AU12" s="8"/>
      <c r="AV12" s="8"/>
      <c r="AW12" s="8"/>
      <c r="AX12" s="8"/>
      <c r="AY12" s="8"/>
      <c r="AZ12" s="8"/>
      <c r="BA12" s="8"/>
      <c r="BB12" s="8"/>
      <c r="BC12" s="8"/>
      <c r="BD12" s="8"/>
      <c r="BE12" s="8"/>
      <c r="BF12" s="8"/>
      <c r="BG12" s="8"/>
      <c r="BH12" s="8"/>
      <c r="BI12" s="8"/>
      <c r="BJ12" s="8"/>
      <c r="BK12" s="8"/>
      <c r="BL12" s="8"/>
      <c r="BM12" s="8"/>
      <c r="BN12" s="8"/>
      <c r="BO12" s="8"/>
      <c r="BP12" s="8"/>
    </row>
    <row r="13" spans="1:68" s="9" customFormat="1" ht="15" x14ac:dyDescent="0.2">
      <c r="A13" s="89" t="str">
        <f>'Population Figures'!E13</f>
        <v>Ghazni</v>
      </c>
      <c r="B13" s="91">
        <f>'Population Figures'!F13</f>
        <v>3823090.56</v>
      </c>
      <c r="C13" s="253">
        <v>0.05</v>
      </c>
      <c r="D13" s="253">
        <v>0.01</v>
      </c>
      <c r="E13" s="253">
        <v>0.02</v>
      </c>
      <c r="F13" s="253">
        <v>0.02</v>
      </c>
      <c r="G13" s="253">
        <v>0.02</v>
      </c>
      <c r="H13" s="253">
        <v>0.02</v>
      </c>
      <c r="I13" s="253">
        <v>0.02</v>
      </c>
      <c r="J13" s="253">
        <v>1.4999999999999999E-2</v>
      </c>
      <c r="K13" s="253">
        <v>1.4999999999999999E-2</v>
      </c>
      <c r="L13" s="253">
        <v>1.4999999999999999E-2</v>
      </c>
      <c r="M13" s="253">
        <v>1.4999999999999999E-2</v>
      </c>
      <c r="N13" s="253">
        <v>1.4999999999999999E-2</v>
      </c>
      <c r="O13" s="253">
        <v>1.4999999999999999E-2</v>
      </c>
      <c r="P13" s="92">
        <f>B13*'Population Figures'!G13*'Scenario 3 - Nut. Analysis'!F12</f>
        <v>134572.78771199999</v>
      </c>
      <c r="Q13" s="353" t="str">
        <f>IF('Population Figures'!H13&lt;&gt;"", B13*ABS('Population Figures'!H13-'Population Figures'!K13)*'Scenario 3 - Nut. Analysis'!F12, "N/A")</f>
        <v>N/A</v>
      </c>
      <c r="R13" s="353" t="str">
        <f>IF('Population Figures'!I13&lt;&gt;"",B13*ABS('Population Figures'!I13-'Population Figures'!L13)*'Scenario 3 - Nut. Analysis'!F12,"N/A")</f>
        <v>N/A</v>
      </c>
      <c r="S13" s="92">
        <f>B13*'Population Figures'!T13*'Scenario 3 - Nut. Analysis'!G12</f>
        <v>25232.397696</v>
      </c>
      <c r="T13" s="92">
        <f>B13*ABS('Population Figures'!G13-'Population Figures'!J13)*(1-C13)</f>
        <v>515734.91654400004</v>
      </c>
      <c r="U13" s="353" t="str">
        <f>IF('Population Figures'!H13&lt;&gt;"",B13*(ABS('Population Figures'!H13-'Population Figures'!K13))*(1-C13),"N/A")</f>
        <v>N/A</v>
      </c>
      <c r="V13" s="353" t="str">
        <f>IF('Population Figures'!I13&lt;&gt;"",B13*(ABS('Population Figures'!I13-'Population Figures'!L13)*0.9)*(1-C13),"N/A")</f>
        <v>N/A</v>
      </c>
      <c r="W13" s="92">
        <f>B13*('Population Figures'!T13)*(1-D13)</f>
        <v>113545.789632</v>
      </c>
      <c r="X13" s="92">
        <f>B13*('Population Figures'!T13)*(1-E13)</f>
        <v>112398.86246399999</v>
      </c>
      <c r="Y13" s="92">
        <f>B13*('Population Figures'!T13)*(1-F13)</f>
        <v>112398.86246399999</v>
      </c>
      <c r="Z13" s="92">
        <f>B13*'Population Figures'!S13*(1-G13)</f>
        <v>187331.43744000001</v>
      </c>
      <c r="AA13" s="92">
        <f>B13*ABS('Population Figures'!G13-'Population Figures'!J13)*H13</f>
        <v>10857.577190400001</v>
      </c>
      <c r="AB13" s="353" t="str">
        <f>IF('Population Figures'!H13&lt;&gt;"",B13*(ABS('Population Figures'!H13-'Population Figures'!K13))*H13,"N/A")</f>
        <v>N/A</v>
      </c>
      <c r="AC13" s="353" t="str">
        <f>IF('Population Figures'!I13&lt;&gt;"",B13*(ABS('Population Figures'!I13-'Population Figures'!L13))*H13,"N/A")</f>
        <v>N/A</v>
      </c>
      <c r="AD13" s="92">
        <f>B13*ABS('Population Figures'!G13-'Population Figures'!J13)*(1-I13)</f>
        <v>532021.28232960007</v>
      </c>
      <c r="AE13" s="353" t="str">
        <f>IF('Population Figures'!H13&lt;&gt;"",B13*(ABS('Population Figures'!H13-'Population Figures'!K13))*(1-I13),"N/A")</f>
        <v>N/A</v>
      </c>
      <c r="AF13" s="353" t="str">
        <f>IF('Population Figures'!I13&lt;&gt;"",B13*(ABS('Population Figures'!I13-'Population Figures'!L13))*(1-I13),"N/A")</f>
        <v>N/A</v>
      </c>
      <c r="AG13" s="92">
        <f>B13*('Population Figures'!P13)*J13</f>
        <v>3096.7033535999999</v>
      </c>
      <c r="AH13" s="353" t="str">
        <f>IF('Population Figures'!Q13&lt;&gt;"",B13*('Population Figures'!Q13)*J13,"N/A")</f>
        <v>N/A</v>
      </c>
      <c r="AI13" s="353" t="str">
        <f>IF('Population Figures'!R13&lt;&gt;"",B13*('Population Figures'!R13)*J13,"N/A")</f>
        <v>N/A</v>
      </c>
      <c r="AJ13" s="92">
        <f>B13*'Population Figures'!S13*K13</f>
        <v>2867.3179200000004</v>
      </c>
      <c r="AK13" s="92">
        <f>(C13-D13)*(B13*'Population Figures'!G13)*'Population Figures'!$C$6</f>
        <v>0</v>
      </c>
      <c r="AL13" s="353" t="str">
        <f>IF('Population Figures'!V13&lt;&gt;"",B13*'Population Figures'!V13*L13,"N/A")</f>
        <v>N/A</v>
      </c>
      <c r="AM13" s="353" t="str">
        <f>IF('Population Figures'!W13&lt;&gt;"",B13*'Population Figures'!W13*L13,"N/A")</f>
        <v>N/A</v>
      </c>
      <c r="AN13" s="92">
        <f>B13*ABS('Population Figures'!G13-'Population Figures'!J13)*(1-M13)</f>
        <v>534735.6766272001</v>
      </c>
      <c r="AO13" s="353" t="str">
        <f>IF('Population Figures'!H13&lt;&gt;"",B13*(ABS('Population Figures'!H13-'Population Figures'!K13))*(1-M13),"N/A")</f>
        <v>N/A</v>
      </c>
      <c r="AP13" s="353" t="str">
        <f>IF('Population Figures'!I13&lt;&gt;"",B13*(ABS('Population Figures'!I13-'Population Figures'!L13))*(1-M13),"N/A")</f>
        <v>N/A</v>
      </c>
      <c r="AQ13" s="92">
        <f>B13*ABS('Population Figures'!G13-'Population Figures'!J13)*(1-N13)</f>
        <v>534735.6766272001</v>
      </c>
      <c r="AR13" s="353" t="str">
        <f>IF('Population Figures'!H13&lt;&gt;"",B13*(ABS('Population Figures'!H13-'Population Figures'!K13))*(1-N13),"N/A")</f>
        <v>N/A</v>
      </c>
      <c r="AS13" s="353" t="str">
        <f>IF('Population Figures'!I13&lt;&gt;"",B13*(ABS('Population Figures'!I13-'Population Figures'!L13))*(1-N13),"N/A")</f>
        <v>N/A</v>
      </c>
      <c r="AT13" s="92"/>
      <c r="AU13" s="8"/>
      <c r="AV13" s="8"/>
      <c r="AW13" s="8"/>
      <c r="AX13" s="8"/>
      <c r="AY13" s="8"/>
      <c r="AZ13" s="8"/>
      <c r="BA13" s="8"/>
      <c r="BB13" s="8"/>
      <c r="BC13" s="8"/>
      <c r="BD13" s="8"/>
      <c r="BE13" s="8"/>
      <c r="BF13" s="8"/>
      <c r="BG13" s="8"/>
      <c r="BH13" s="8"/>
      <c r="BI13" s="8"/>
      <c r="BJ13" s="8"/>
      <c r="BK13" s="8"/>
      <c r="BL13" s="8"/>
      <c r="BM13" s="8"/>
      <c r="BN13" s="8"/>
      <c r="BO13" s="8"/>
      <c r="BP13" s="8"/>
    </row>
    <row r="14" spans="1:68" s="9" customFormat="1" ht="15" x14ac:dyDescent="0.2">
      <c r="A14" s="89" t="str">
        <f>'Population Figures'!E14</f>
        <v>Ghor</v>
      </c>
      <c r="B14" s="91">
        <f>'Population Figures'!F14</f>
        <v>2147058.1800000002</v>
      </c>
      <c r="C14" s="253">
        <v>0.05</v>
      </c>
      <c r="D14" s="253">
        <v>0.01</v>
      </c>
      <c r="E14" s="253">
        <v>0.02</v>
      </c>
      <c r="F14" s="253">
        <v>0.02</v>
      </c>
      <c r="G14" s="253">
        <v>0.02</v>
      </c>
      <c r="H14" s="253">
        <v>0.02</v>
      </c>
      <c r="I14" s="253">
        <v>0.02</v>
      </c>
      <c r="J14" s="253">
        <v>1.4999999999999999E-2</v>
      </c>
      <c r="K14" s="253">
        <v>1.4999999999999999E-2</v>
      </c>
      <c r="L14" s="253">
        <v>1.4999999999999999E-2</v>
      </c>
      <c r="M14" s="253">
        <v>1.4999999999999999E-2</v>
      </c>
      <c r="N14" s="253">
        <v>1.4999999999999999E-2</v>
      </c>
      <c r="O14" s="253">
        <v>1.4999999999999999E-2</v>
      </c>
      <c r="P14" s="92">
        <f>B14*'Population Figures'!G14*'Scenario 3 - Nut. Analysis'!F13</f>
        <v>0</v>
      </c>
      <c r="Q14" s="353" t="str">
        <f>IF('Population Figures'!H14&lt;&gt;"", B14*ABS('Population Figures'!H14-'Population Figures'!K14)*'Scenario 3 - Nut. Analysis'!F13, "N/A")</f>
        <v>N/A</v>
      </c>
      <c r="R14" s="353" t="str">
        <f>IF('Population Figures'!I14&lt;&gt;"",B14*ABS('Population Figures'!I14-'Population Figures'!L14)*'Scenario 3 - Nut. Analysis'!F13,"N/A")</f>
        <v>N/A</v>
      </c>
      <c r="S14" s="92">
        <f>B14*'Population Figures'!T14*'Scenario 3 - Nut. Analysis'!G13</f>
        <v>0</v>
      </c>
      <c r="T14" s="92">
        <f>B14*ABS('Population Figures'!G14-'Population Figures'!J14)*(1-C14)</f>
        <v>289638.14848200005</v>
      </c>
      <c r="U14" s="353" t="str">
        <f>IF('Population Figures'!H14&lt;&gt;"",B14*(ABS('Population Figures'!H14-'Population Figures'!K14))*(1-C14),"N/A")</f>
        <v>N/A</v>
      </c>
      <c r="V14" s="353" t="str">
        <f>IF('Population Figures'!I14&lt;&gt;"",B14*(ABS('Population Figures'!I14-'Population Figures'!L14)*0.9)*(1-C14),"N/A")</f>
        <v>N/A</v>
      </c>
      <c r="W14" s="92">
        <f>B14*('Population Figures'!T14)*(1-D14)</f>
        <v>63767.627946000001</v>
      </c>
      <c r="X14" s="92">
        <f>B14*('Population Figures'!T14)*(1-E14)</f>
        <v>63123.510492000001</v>
      </c>
      <c r="Y14" s="92">
        <f>B14*('Population Figures'!T14)*(1-F14)</f>
        <v>63123.510492000001</v>
      </c>
      <c r="Z14" s="92">
        <f>B14*'Population Figures'!S14*(1-G14)</f>
        <v>105205.85082000001</v>
      </c>
      <c r="AA14" s="92">
        <f>B14*ABS('Population Figures'!G14-'Population Figures'!J14)*H14</f>
        <v>6097.6452312000019</v>
      </c>
      <c r="AB14" s="353" t="str">
        <f>IF('Population Figures'!H14&lt;&gt;"",B14*(ABS('Population Figures'!H14-'Population Figures'!K14))*H14,"N/A")</f>
        <v>N/A</v>
      </c>
      <c r="AC14" s="353" t="str">
        <f>IF('Population Figures'!I14&lt;&gt;"",B14*(ABS('Population Figures'!I14-'Population Figures'!L14))*H14,"N/A")</f>
        <v>N/A</v>
      </c>
      <c r="AD14" s="92">
        <f>B14*ABS('Population Figures'!G14-'Population Figures'!J14)*(1-I14)</f>
        <v>298784.61632880004</v>
      </c>
      <c r="AE14" s="353" t="str">
        <f>IF('Population Figures'!H14&lt;&gt;"",B14*(ABS('Population Figures'!H14-'Population Figures'!K14))*(1-I14),"N/A")</f>
        <v>N/A</v>
      </c>
      <c r="AF14" s="353" t="str">
        <f>IF('Population Figures'!I14&lt;&gt;"",B14*(ABS('Population Figures'!I14-'Population Figures'!L14))*(1-I14),"N/A")</f>
        <v>N/A</v>
      </c>
      <c r="AG14" s="92">
        <f>B14*('Population Figures'!P14)*J14</f>
        <v>1739.1171258000002</v>
      </c>
      <c r="AH14" s="353" t="str">
        <f>IF('Population Figures'!Q14&lt;&gt;"",B14*('Population Figures'!Q14)*J14,"N/A")</f>
        <v>N/A</v>
      </c>
      <c r="AI14" s="353" t="str">
        <f>IF('Population Figures'!R14&lt;&gt;"",B14*('Population Figures'!R14)*J14,"N/A")</f>
        <v>N/A</v>
      </c>
      <c r="AJ14" s="92">
        <f>B14*'Population Figures'!S14*K14</f>
        <v>1610.2936350000002</v>
      </c>
      <c r="AK14" s="92">
        <f>(C14-D14)*(B14*'Population Figures'!G14)*'Population Figures'!$C$6</f>
        <v>0</v>
      </c>
      <c r="AL14" s="353" t="str">
        <f>IF('Population Figures'!V14&lt;&gt;"",B14*'Population Figures'!V14*L14,"N/A")</f>
        <v>N/A</v>
      </c>
      <c r="AM14" s="353" t="str">
        <f>IF('Population Figures'!W14&lt;&gt;"",B14*'Population Figures'!W14*L14,"N/A")</f>
        <v>N/A</v>
      </c>
      <c r="AN14" s="92">
        <f>B14*ABS('Population Figures'!G14-'Population Figures'!J14)*(1-M14)</f>
        <v>300309.02763660008</v>
      </c>
      <c r="AO14" s="353" t="str">
        <f>IF('Population Figures'!H14&lt;&gt;"",B14*(ABS('Population Figures'!H14-'Population Figures'!K14))*(1-M14),"N/A")</f>
        <v>N/A</v>
      </c>
      <c r="AP14" s="353" t="str">
        <f>IF('Population Figures'!I14&lt;&gt;"",B14*(ABS('Population Figures'!I14-'Population Figures'!L14))*(1-M14),"N/A")</f>
        <v>N/A</v>
      </c>
      <c r="AQ14" s="92">
        <f>B14*ABS('Population Figures'!G14-'Population Figures'!J14)*(1-N14)</f>
        <v>300309.02763660008</v>
      </c>
      <c r="AR14" s="353" t="str">
        <f>IF('Population Figures'!H14&lt;&gt;"",B14*(ABS('Population Figures'!H14-'Population Figures'!K14))*(1-N14),"N/A")</f>
        <v>N/A</v>
      </c>
      <c r="AS14" s="353" t="str">
        <f>IF('Population Figures'!I14&lt;&gt;"",B14*(ABS('Population Figures'!I14-'Population Figures'!L14))*(1-N14),"N/A")</f>
        <v>N/A</v>
      </c>
      <c r="AT14" s="92"/>
      <c r="AU14" s="8"/>
      <c r="AV14" s="8"/>
      <c r="AW14" s="8"/>
      <c r="AX14" s="8"/>
      <c r="AY14" s="8"/>
      <c r="AZ14" s="8"/>
      <c r="BA14" s="8"/>
      <c r="BB14" s="8"/>
      <c r="BC14" s="8"/>
      <c r="BD14" s="8"/>
      <c r="BE14" s="8"/>
      <c r="BF14" s="8"/>
      <c r="BG14" s="8"/>
      <c r="BH14" s="8"/>
      <c r="BI14" s="8"/>
      <c r="BJ14" s="8"/>
      <c r="BK14" s="8"/>
      <c r="BL14" s="8"/>
      <c r="BM14" s="8"/>
      <c r="BN14" s="8"/>
      <c r="BO14" s="8"/>
      <c r="BP14" s="8"/>
    </row>
    <row r="15" spans="1:68" s="9" customFormat="1" ht="15" x14ac:dyDescent="0.2">
      <c r="A15" s="89" t="str">
        <f>'Population Figures'!E15</f>
        <v>Helmand</v>
      </c>
      <c r="B15" s="91">
        <f>'Population Figures'!F15</f>
        <v>2877125.2199999997</v>
      </c>
      <c r="C15" s="253">
        <v>0.05</v>
      </c>
      <c r="D15" s="253">
        <v>0.01</v>
      </c>
      <c r="E15" s="253">
        <v>0.02</v>
      </c>
      <c r="F15" s="253">
        <v>0.02</v>
      </c>
      <c r="G15" s="253">
        <v>0.02</v>
      </c>
      <c r="H15" s="253">
        <v>0.02</v>
      </c>
      <c r="I15" s="253">
        <v>0.02</v>
      </c>
      <c r="J15" s="253">
        <v>1.4999999999999999E-2</v>
      </c>
      <c r="K15" s="253">
        <v>1.4999999999999999E-2</v>
      </c>
      <c r="L15" s="253">
        <v>1.4999999999999999E-2</v>
      </c>
      <c r="M15" s="253">
        <v>1.4999999999999999E-2</v>
      </c>
      <c r="N15" s="253">
        <v>1.4999999999999999E-2</v>
      </c>
      <c r="O15" s="253">
        <v>1.4999999999999999E-2</v>
      </c>
      <c r="P15" s="92">
        <f>B15*'Population Figures'!G15*'Scenario 3 - Nut. Analysis'!F14</f>
        <v>50637.403871999995</v>
      </c>
      <c r="Q15" s="353" t="str">
        <f>IF('Population Figures'!H15&lt;&gt;"", B15*ABS('Population Figures'!H15-'Population Figures'!K15)*'Scenario 3 - Nut. Analysis'!F14, "N/A")</f>
        <v>N/A</v>
      </c>
      <c r="R15" s="353" t="str">
        <f>IF('Population Figures'!I15&lt;&gt;"",B15*ABS('Population Figures'!I15-'Population Figures'!L15)*'Scenario 3 - Nut. Analysis'!F14,"N/A")</f>
        <v>N/A</v>
      </c>
      <c r="S15" s="92">
        <f>B15*'Population Figures'!T15*'Scenario 3 - Nut. Analysis'!G14</f>
        <v>9494.5132259999991</v>
      </c>
      <c r="T15" s="92">
        <f>B15*ABS('Population Figures'!G15-'Population Figures'!J15)*(1-C15)</f>
        <v>388124.19217799994</v>
      </c>
      <c r="U15" s="353" t="str">
        <f>IF('Population Figures'!H15&lt;&gt;"",B15*(ABS('Population Figures'!H15-'Population Figures'!K15))*(1-C15),"N/A")</f>
        <v>N/A</v>
      </c>
      <c r="V15" s="353" t="str">
        <f>IF('Population Figures'!I15&lt;&gt;"",B15*(ABS('Population Figures'!I15-'Population Figures'!L15)*0.9)*(1-C15),"N/A")</f>
        <v>N/A</v>
      </c>
      <c r="W15" s="92">
        <f>B15*('Population Figures'!T15)*(1-D15)</f>
        <v>85450.619033999988</v>
      </c>
      <c r="X15" s="92">
        <f>B15*('Population Figures'!T15)*(1-E15)</f>
        <v>84587.481467999998</v>
      </c>
      <c r="Y15" s="92">
        <f>B15*('Population Figures'!T15)*(1-F15)</f>
        <v>84587.481467999998</v>
      </c>
      <c r="Z15" s="92">
        <f>B15*'Population Figures'!S15*(1-G15)</f>
        <v>140979.13577999998</v>
      </c>
      <c r="AA15" s="92">
        <f>B15*ABS('Population Figures'!G15-'Population Figures'!J15)*H15</f>
        <v>8171.0356247999998</v>
      </c>
      <c r="AB15" s="353" t="str">
        <f>IF('Population Figures'!H15&lt;&gt;"",B15*(ABS('Population Figures'!H15-'Population Figures'!K15))*H15,"N/A")</f>
        <v>N/A</v>
      </c>
      <c r="AC15" s="353" t="str">
        <f>IF('Population Figures'!I15&lt;&gt;"",B15*(ABS('Population Figures'!I15-'Population Figures'!L15))*H15,"N/A")</f>
        <v>N/A</v>
      </c>
      <c r="AD15" s="92">
        <f>B15*ABS('Population Figures'!G15-'Population Figures'!J15)*(1-I15)</f>
        <v>400380.74561519996</v>
      </c>
      <c r="AE15" s="353" t="str">
        <f>IF('Population Figures'!H15&lt;&gt;"",B15*(ABS('Population Figures'!H15-'Population Figures'!K15))*(1-I15),"N/A")</f>
        <v>N/A</v>
      </c>
      <c r="AF15" s="353" t="str">
        <f>IF('Population Figures'!I15&lt;&gt;"",B15*(ABS('Population Figures'!I15-'Population Figures'!L15))*(1-I15),"N/A")</f>
        <v>N/A</v>
      </c>
      <c r="AG15" s="92">
        <f>B15*('Population Figures'!P15)*J15</f>
        <v>2330.4714281999995</v>
      </c>
      <c r="AH15" s="353" t="str">
        <f>IF('Population Figures'!Q15&lt;&gt;"",B15*('Population Figures'!Q15)*J15,"N/A")</f>
        <v>N/A</v>
      </c>
      <c r="AI15" s="353" t="str">
        <f>IF('Population Figures'!R15&lt;&gt;"",B15*('Population Figures'!R15)*J15,"N/A")</f>
        <v>N/A</v>
      </c>
      <c r="AJ15" s="92">
        <f>B15*'Population Figures'!S15*K15</f>
        <v>2157.8439149999999</v>
      </c>
      <c r="AK15" s="92">
        <f>(C15-D15)*(B15*'Population Figures'!G15)*'Population Figures'!$C$6</f>
        <v>0</v>
      </c>
      <c r="AL15" s="353" t="str">
        <f>IF('Population Figures'!V15&lt;&gt;"",B15*'Population Figures'!V15*L15,"N/A")</f>
        <v>N/A</v>
      </c>
      <c r="AM15" s="353" t="str">
        <f>IF('Population Figures'!W15&lt;&gt;"",B15*'Population Figures'!W15*L15,"N/A")</f>
        <v>N/A</v>
      </c>
      <c r="AN15" s="92">
        <f>B15*ABS('Population Figures'!G15-'Population Figures'!J15)*(1-M15)</f>
        <v>402423.50452139997</v>
      </c>
      <c r="AO15" s="353" t="str">
        <f>IF('Population Figures'!H15&lt;&gt;"",B15*(ABS('Population Figures'!H15-'Population Figures'!K15))*(1-M15),"N/A")</f>
        <v>N/A</v>
      </c>
      <c r="AP15" s="353" t="str">
        <f>IF('Population Figures'!I15&lt;&gt;"",B15*(ABS('Population Figures'!I15-'Population Figures'!L15))*(1-M15),"N/A")</f>
        <v>N/A</v>
      </c>
      <c r="AQ15" s="92">
        <f>B15*ABS('Population Figures'!G15-'Population Figures'!J15)*(1-N15)</f>
        <v>402423.50452139997</v>
      </c>
      <c r="AR15" s="353" t="str">
        <f>IF('Population Figures'!H15&lt;&gt;"",B15*(ABS('Population Figures'!H15-'Population Figures'!K15))*(1-N15),"N/A")</f>
        <v>N/A</v>
      </c>
      <c r="AS15" s="353" t="str">
        <f>IF('Population Figures'!I15&lt;&gt;"",B15*(ABS('Population Figures'!I15-'Population Figures'!L15))*(1-N15),"N/A")</f>
        <v>N/A</v>
      </c>
      <c r="AT15" s="92"/>
      <c r="AU15" s="8"/>
      <c r="AV15" s="8"/>
      <c r="AW15" s="8"/>
      <c r="AX15" s="8"/>
      <c r="AY15" s="8"/>
      <c r="AZ15" s="8"/>
      <c r="BA15" s="8"/>
      <c r="BB15" s="8"/>
      <c r="BC15" s="8"/>
      <c r="BD15" s="8"/>
      <c r="BE15" s="8"/>
      <c r="BF15" s="8"/>
      <c r="BG15" s="8"/>
      <c r="BH15" s="8"/>
      <c r="BI15" s="8"/>
      <c r="BJ15" s="8"/>
      <c r="BK15" s="8"/>
      <c r="BL15" s="8"/>
      <c r="BM15" s="8"/>
      <c r="BN15" s="8"/>
      <c r="BO15" s="8"/>
      <c r="BP15" s="8"/>
    </row>
    <row r="16" spans="1:68" s="9" customFormat="1" ht="15" x14ac:dyDescent="0.2">
      <c r="A16" s="89" t="str">
        <f>'Population Figures'!E16</f>
        <v>Hirat</v>
      </c>
      <c r="B16" s="91">
        <f>'Population Figures'!F16</f>
        <v>5900680.6200000001</v>
      </c>
      <c r="C16" s="253">
        <v>0.05</v>
      </c>
      <c r="D16" s="253">
        <v>0.01</v>
      </c>
      <c r="E16" s="253">
        <v>0.02</v>
      </c>
      <c r="F16" s="253">
        <v>0.02</v>
      </c>
      <c r="G16" s="253">
        <v>0.02</v>
      </c>
      <c r="H16" s="253">
        <v>0.02</v>
      </c>
      <c r="I16" s="253">
        <v>0.02</v>
      </c>
      <c r="J16" s="253">
        <v>1.4999999999999999E-2</v>
      </c>
      <c r="K16" s="253">
        <v>1.4999999999999999E-2</v>
      </c>
      <c r="L16" s="253">
        <v>1.4999999999999999E-2</v>
      </c>
      <c r="M16" s="253">
        <v>1.4999999999999999E-2</v>
      </c>
      <c r="N16" s="253">
        <v>1.4999999999999999E-2</v>
      </c>
      <c r="O16" s="253">
        <v>1.4999999999999999E-2</v>
      </c>
      <c r="P16" s="92">
        <f>B16*'Population Figures'!G16*'Scenario 3 - Nut. Analysis'!F15</f>
        <v>113293.067904</v>
      </c>
      <c r="Q16" s="353" t="str">
        <f>IF('Population Figures'!H16&lt;&gt;"", B16*ABS('Population Figures'!H16-'Population Figures'!K16)*'Scenario 3 - Nut. Analysis'!F15, "N/A")</f>
        <v>N/A</v>
      </c>
      <c r="R16" s="353" t="str">
        <f>IF('Population Figures'!I16&lt;&gt;"",B16*ABS('Population Figures'!I16-'Population Figures'!L16)*'Scenario 3 - Nut. Analysis'!F15,"N/A")</f>
        <v>N/A</v>
      </c>
      <c r="S16" s="92">
        <f>B16*'Population Figures'!T16*'Scenario 3 - Nut. Analysis'!G15</f>
        <v>21242.450231999999</v>
      </c>
      <c r="T16" s="92">
        <f>B16*ABS('Population Figures'!G16-'Population Figures'!J16)*(1-C16)</f>
        <v>796001.81563800003</v>
      </c>
      <c r="U16" s="353" t="str">
        <f>IF('Population Figures'!H16&lt;&gt;"",B16*(ABS('Population Figures'!H16-'Population Figures'!K16))*(1-C16),"N/A")</f>
        <v>N/A</v>
      </c>
      <c r="V16" s="353" t="str">
        <f>IF('Population Figures'!I16&lt;&gt;"",B16*(ABS('Population Figures'!I16-'Population Figures'!L16)*0.9)*(1-C16),"N/A")</f>
        <v>N/A</v>
      </c>
      <c r="W16" s="92">
        <f>B16*('Population Figures'!T16)*(1-D16)</f>
        <v>175250.21441400002</v>
      </c>
      <c r="X16" s="92">
        <f>B16*('Population Figures'!T16)*(1-E16)</f>
        <v>173480.010228</v>
      </c>
      <c r="Y16" s="92">
        <f>B16*('Population Figures'!T16)*(1-F16)</f>
        <v>173480.010228</v>
      </c>
      <c r="Z16" s="92">
        <f>B16*'Population Figures'!S16*(1-G16)</f>
        <v>289133.35038000002</v>
      </c>
      <c r="AA16" s="92">
        <f>B16*ABS('Population Figures'!G16-'Population Figures'!J16)*H16</f>
        <v>16757.932960800004</v>
      </c>
      <c r="AB16" s="353" t="str">
        <f>IF('Population Figures'!H16&lt;&gt;"",B16*(ABS('Population Figures'!H16-'Population Figures'!K16))*H16,"N/A")</f>
        <v>N/A</v>
      </c>
      <c r="AC16" s="353" t="str">
        <f>IF('Population Figures'!I16&lt;&gt;"",B16*(ABS('Population Figures'!I16-'Population Figures'!L16))*H16,"N/A")</f>
        <v>N/A</v>
      </c>
      <c r="AD16" s="92">
        <f>B16*ABS('Population Figures'!G16-'Population Figures'!J16)*(1-I16)</f>
        <v>821138.7150792001</v>
      </c>
      <c r="AE16" s="353" t="str">
        <f>IF('Population Figures'!H16&lt;&gt;"",B16*(ABS('Population Figures'!H16-'Population Figures'!K16))*(1-I16),"N/A")</f>
        <v>N/A</v>
      </c>
      <c r="AF16" s="353" t="str">
        <f>IF('Population Figures'!I16&lt;&gt;"",B16*(ABS('Population Figures'!I16-'Population Figures'!L16))*(1-I16),"N/A")</f>
        <v>N/A</v>
      </c>
      <c r="AG16" s="92">
        <f>B16*('Population Figures'!P16)*J16</f>
        <v>4779.5513022000005</v>
      </c>
      <c r="AH16" s="353" t="str">
        <f>IF('Population Figures'!Q16&lt;&gt;"",B16*('Population Figures'!Q16)*J16,"N/A")</f>
        <v>N/A</v>
      </c>
      <c r="AI16" s="353" t="str">
        <f>IF('Population Figures'!R16&lt;&gt;"",B16*('Population Figures'!R16)*J16,"N/A")</f>
        <v>N/A</v>
      </c>
      <c r="AJ16" s="92">
        <f>B16*'Population Figures'!S16*K16</f>
        <v>4425.5104650000003</v>
      </c>
      <c r="AK16" s="92">
        <f>(C16-D16)*(B16*'Population Figures'!G16)*'Population Figures'!$C$6</f>
        <v>0</v>
      </c>
      <c r="AL16" s="353" t="str">
        <f>IF('Population Figures'!V16&lt;&gt;"",B16*'Population Figures'!V16*L16,"N/A")</f>
        <v>N/A</v>
      </c>
      <c r="AM16" s="353" t="str">
        <f>IF('Population Figures'!W16&lt;&gt;"",B16*'Population Figures'!W16*L16,"N/A")</f>
        <v>N/A</v>
      </c>
      <c r="AN16" s="92">
        <f>B16*ABS('Population Figures'!G16-'Population Figures'!J16)*(1-M16)</f>
        <v>825328.19831940008</v>
      </c>
      <c r="AO16" s="353" t="str">
        <f>IF('Population Figures'!H16&lt;&gt;"",B16*(ABS('Population Figures'!H16-'Population Figures'!K16))*(1-M16),"N/A")</f>
        <v>N/A</v>
      </c>
      <c r="AP16" s="353" t="str">
        <f>IF('Population Figures'!I16&lt;&gt;"",B16*(ABS('Population Figures'!I16-'Population Figures'!L16))*(1-M16),"N/A")</f>
        <v>N/A</v>
      </c>
      <c r="AQ16" s="92">
        <f>B16*ABS('Population Figures'!G16-'Population Figures'!J16)*(1-N16)</f>
        <v>825328.19831940008</v>
      </c>
      <c r="AR16" s="353" t="str">
        <f>IF('Population Figures'!H16&lt;&gt;"",B16*(ABS('Population Figures'!H16-'Population Figures'!K16))*(1-N16),"N/A")</f>
        <v>N/A</v>
      </c>
      <c r="AS16" s="353" t="str">
        <f>IF('Population Figures'!I16&lt;&gt;"",B16*(ABS('Population Figures'!I16-'Population Figures'!L16))*(1-N16),"N/A")</f>
        <v>N/A</v>
      </c>
      <c r="AT16" s="92"/>
      <c r="AU16" s="8"/>
      <c r="AV16" s="8"/>
      <c r="AW16" s="8"/>
      <c r="AX16" s="8"/>
      <c r="AY16" s="8"/>
      <c r="AZ16" s="8"/>
      <c r="BA16" s="8"/>
      <c r="BB16" s="8"/>
      <c r="BC16" s="8"/>
      <c r="BD16" s="8"/>
      <c r="BE16" s="8"/>
      <c r="BF16" s="8"/>
      <c r="BG16" s="8"/>
      <c r="BH16" s="8"/>
      <c r="BI16" s="8"/>
      <c r="BJ16" s="8"/>
      <c r="BK16" s="8"/>
      <c r="BL16" s="8"/>
      <c r="BM16" s="8"/>
      <c r="BN16" s="8"/>
      <c r="BO16" s="8"/>
      <c r="BP16" s="8"/>
    </row>
    <row r="17" spans="1:68" s="9" customFormat="1" ht="15" x14ac:dyDescent="0.2">
      <c r="A17" s="89" t="str">
        <f>'Population Figures'!E17</f>
        <v>Jawzjan</v>
      </c>
      <c r="B17" s="91">
        <f>'Population Figures'!F17</f>
        <v>1682694</v>
      </c>
      <c r="C17" s="253">
        <v>0.05</v>
      </c>
      <c r="D17" s="253">
        <v>0.01</v>
      </c>
      <c r="E17" s="253">
        <v>0.02</v>
      </c>
      <c r="F17" s="253">
        <v>0.02</v>
      </c>
      <c r="G17" s="253">
        <v>0.02</v>
      </c>
      <c r="H17" s="253">
        <v>0.02</v>
      </c>
      <c r="I17" s="253">
        <v>0.02</v>
      </c>
      <c r="J17" s="253">
        <v>1.4999999999999999E-2</v>
      </c>
      <c r="K17" s="253">
        <v>1.4999999999999999E-2</v>
      </c>
      <c r="L17" s="253">
        <v>1.4999999999999999E-2</v>
      </c>
      <c r="M17" s="253">
        <v>1.4999999999999999E-2</v>
      </c>
      <c r="N17" s="253">
        <v>1.4999999999999999E-2</v>
      </c>
      <c r="O17" s="253">
        <v>1.4999999999999999E-2</v>
      </c>
      <c r="P17" s="92">
        <f>B17*'Population Figures'!G17*'Scenario 3 - Nut. Analysis'!F16</f>
        <v>21538.483199999999</v>
      </c>
      <c r="Q17" s="353" t="str">
        <f>IF('Population Figures'!H17&lt;&gt;"", B17*ABS('Population Figures'!H17-'Population Figures'!K17)*'Scenario 3 - Nut. Analysis'!F16, "N/A")</f>
        <v>N/A</v>
      </c>
      <c r="R17" s="353" t="str">
        <f>IF('Population Figures'!I17&lt;&gt;"",B17*ABS('Population Figures'!I17-'Population Figures'!L17)*'Scenario 3 - Nut. Analysis'!F16,"N/A")</f>
        <v>N/A</v>
      </c>
      <c r="S17" s="92">
        <f>B17*'Population Figures'!T17*'Scenario 3 - Nut. Analysis'!G16</f>
        <v>4038.4656</v>
      </c>
      <c r="T17" s="92">
        <f>B17*ABS('Population Figures'!G17-'Population Figures'!J17)*(1-C17)</f>
        <v>226995.42060000001</v>
      </c>
      <c r="U17" s="353" t="str">
        <f>IF('Population Figures'!H17&lt;&gt;"",B17*(ABS('Population Figures'!H17-'Population Figures'!K17))*(1-C17),"N/A")</f>
        <v>N/A</v>
      </c>
      <c r="V17" s="353" t="str">
        <f>IF('Population Figures'!I17&lt;&gt;"",B17*(ABS('Population Figures'!I17-'Population Figures'!L17)*0.9)*(1-C17),"N/A")</f>
        <v>N/A</v>
      </c>
      <c r="W17" s="92">
        <f>B17*('Population Figures'!T17)*(1-D17)</f>
        <v>49976.0118</v>
      </c>
      <c r="X17" s="92">
        <f>B17*('Population Figures'!T17)*(1-E17)</f>
        <v>49471.203600000001</v>
      </c>
      <c r="Y17" s="92">
        <f>B17*('Population Figures'!T17)*(1-F17)</f>
        <v>49471.203600000001</v>
      </c>
      <c r="Z17" s="92">
        <f>B17*'Population Figures'!S17*(1-G17)</f>
        <v>82452.006000000008</v>
      </c>
      <c r="AA17" s="92">
        <f>B17*ABS('Population Figures'!G17-'Population Figures'!J17)*H17</f>
        <v>4778.8509600000007</v>
      </c>
      <c r="AB17" s="353" t="str">
        <f>IF('Population Figures'!H17&lt;&gt;"",B17*(ABS('Population Figures'!H17-'Population Figures'!K17))*H17,"N/A")</f>
        <v>N/A</v>
      </c>
      <c r="AC17" s="353" t="str">
        <f>IF('Population Figures'!I17&lt;&gt;"",B17*(ABS('Population Figures'!I17-'Population Figures'!L17))*H17,"N/A")</f>
        <v>N/A</v>
      </c>
      <c r="AD17" s="92">
        <f>B17*ABS('Population Figures'!G17-'Population Figures'!J17)*(1-I17)</f>
        <v>234163.69704000003</v>
      </c>
      <c r="AE17" s="353" t="str">
        <f>IF('Population Figures'!H17&lt;&gt;"",B17*(ABS('Population Figures'!H17-'Population Figures'!K17))*(1-I17),"N/A")</f>
        <v>N/A</v>
      </c>
      <c r="AF17" s="353" t="str">
        <f>IF('Population Figures'!I17&lt;&gt;"",B17*(ABS('Population Figures'!I17-'Population Figures'!L17))*(1-I17),"N/A")</f>
        <v>N/A</v>
      </c>
      <c r="AG17" s="92">
        <f>B17*('Population Figures'!P17)*J17</f>
        <v>1362.9821399999998</v>
      </c>
      <c r="AH17" s="353" t="str">
        <f>IF('Population Figures'!Q17&lt;&gt;"",B17*('Population Figures'!Q17)*J17,"N/A")</f>
        <v>N/A</v>
      </c>
      <c r="AI17" s="353" t="str">
        <f>IF('Population Figures'!R17&lt;&gt;"",B17*('Population Figures'!R17)*J17,"N/A")</f>
        <v>N/A</v>
      </c>
      <c r="AJ17" s="92">
        <f>B17*'Population Figures'!S17*K17</f>
        <v>1262.0205000000001</v>
      </c>
      <c r="AK17" s="92">
        <f>(C17-D17)*(B17*'Population Figures'!G17)*'Population Figures'!$C$6</f>
        <v>0</v>
      </c>
      <c r="AL17" s="353" t="str">
        <f>IF('Population Figures'!V17&lt;&gt;"",B17*'Population Figures'!V17*L17,"N/A")</f>
        <v>N/A</v>
      </c>
      <c r="AM17" s="353" t="str">
        <f>IF('Population Figures'!W17&lt;&gt;"",B17*'Population Figures'!W17*L17,"N/A")</f>
        <v>N/A</v>
      </c>
      <c r="AN17" s="92">
        <f>B17*ABS('Population Figures'!G17-'Population Figures'!J17)*(1-M17)</f>
        <v>235358.40978000005</v>
      </c>
      <c r="AO17" s="353" t="str">
        <f>IF('Population Figures'!H17&lt;&gt;"",B17*(ABS('Population Figures'!H17-'Population Figures'!K17))*(1-M17),"N/A")</f>
        <v>N/A</v>
      </c>
      <c r="AP17" s="353" t="str">
        <f>IF('Population Figures'!I17&lt;&gt;"",B17*(ABS('Population Figures'!I17-'Population Figures'!L17))*(1-M17),"N/A")</f>
        <v>N/A</v>
      </c>
      <c r="AQ17" s="92">
        <f>B17*ABS('Population Figures'!G17-'Population Figures'!J17)*(1-N17)</f>
        <v>235358.40978000005</v>
      </c>
      <c r="AR17" s="353" t="str">
        <f>IF('Population Figures'!H17&lt;&gt;"",B17*(ABS('Population Figures'!H17-'Population Figures'!K17))*(1-N17),"N/A")</f>
        <v>N/A</v>
      </c>
      <c r="AS17" s="353" t="str">
        <f>IF('Population Figures'!I17&lt;&gt;"",B17*(ABS('Population Figures'!I17-'Population Figures'!L17))*(1-N17),"N/A")</f>
        <v>N/A</v>
      </c>
      <c r="AT17" s="92"/>
      <c r="AU17" s="8"/>
      <c r="AV17" s="8"/>
      <c r="AW17" s="8"/>
      <c r="AX17" s="8"/>
      <c r="AY17" s="8"/>
      <c r="AZ17" s="8"/>
      <c r="BA17" s="8"/>
      <c r="BB17" s="8"/>
      <c r="BC17" s="8"/>
      <c r="BD17" s="8"/>
      <c r="BE17" s="8"/>
      <c r="BF17" s="8"/>
      <c r="BG17" s="8"/>
      <c r="BH17" s="8"/>
      <c r="BI17" s="8"/>
      <c r="BJ17" s="8"/>
      <c r="BK17" s="8"/>
      <c r="BL17" s="8"/>
      <c r="BM17" s="8"/>
      <c r="BN17" s="8"/>
      <c r="BO17" s="8"/>
      <c r="BP17" s="8"/>
    </row>
    <row r="18" spans="1:68" s="9" customFormat="1" ht="15" x14ac:dyDescent="0.2">
      <c r="A18" s="89" t="str">
        <f>'Population Figures'!E18</f>
        <v>Kabul</v>
      </c>
      <c r="B18" s="91">
        <f>'Population Figures'!F18</f>
        <v>13842577.080000002</v>
      </c>
      <c r="C18" s="253">
        <v>0.05</v>
      </c>
      <c r="D18" s="253">
        <v>0.01</v>
      </c>
      <c r="E18" s="253">
        <v>0.02</v>
      </c>
      <c r="F18" s="253">
        <v>0.02</v>
      </c>
      <c r="G18" s="253">
        <v>0.02</v>
      </c>
      <c r="H18" s="253">
        <v>0.02</v>
      </c>
      <c r="I18" s="253">
        <v>0.02</v>
      </c>
      <c r="J18" s="253">
        <v>1.4999999999999999E-2</v>
      </c>
      <c r="K18" s="253">
        <v>1.4999999999999999E-2</v>
      </c>
      <c r="L18" s="253">
        <v>1.4999999999999999E-2</v>
      </c>
      <c r="M18" s="253">
        <v>1.4999999999999999E-2</v>
      </c>
      <c r="N18" s="253">
        <v>1.4999999999999999E-2</v>
      </c>
      <c r="O18" s="253">
        <v>1.4999999999999999E-2</v>
      </c>
      <c r="P18" s="92">
        <f>B18*'Population Figures'!G18*'Scenario 3 - Nut. Analysis'!F17</f>
        <v>177184.98662400004</v>
      </c>
      <c r="Q18" s="353" t="str">
        <f>IF('Population Figures'!H18&lt;&gt;"", B18*ABS('Population Figures'!H18-'Population Figures'!K18)*'Scenario 3 - Nut. Analysis'!F17, "N/A")</f>
        <v>N/A</v>
      </c>
      <c r="R18" s="353" t="str">
        <f>IF('Population Figures'!I18&lt;&gt;"",B18*ABS('Population Figures'!I18-'Population Figures'!L18)*'Scenario 3 - Nut. Analysis'!F17,"N/A")</f>
        <v>N/A</v>
      </c>
      <c r="S18" s="92">
        <f>B18*'Population Figures'!T18*'Scenario 3 - Nut. Analysis'!G17</f>
        <v>33222.184992000002</v>
      </c>
      <c r="T18" s="92">
        <f>B18*ABS('Population Figures'!G18-'Population Figures'!J18)*(1-C18)</f>
        <v>1867363.6480920003</v>
      </c>
      <c r="U18" s="353" t="str">
        <f>IF('Population Figures'!H18&lt;&gt;"",B18*(ABS('Population Figures'!H18-'Population Figures'!K18))*(1-C18),"N/A")</f>
        <v>N/A</v>
      </c>
      <c r="V18" s="353" t="str">
        <f>IF('Population Figures'!I18&lt;&gt;"",B18*(ABS('Population Figures'!I18-'Population Figures'!L18)*0.9)*(1-C18),"N/A")</f>
        <v>N/A</v>
      </c>
      <c r="W18" s="92">
        <f>B18*('Population Figures'!T18)*(1-D18)</f>
        <v>411124.53927600005</v>
      </c>
      <c r="X18" s="92">
        <f>B18*('Population Figures'!T18)*(1-E18)</f>
        <v>406971.76615200005</v>
      </c>
      <c r="Y18" s="92">
        <f>B18*('Population Figures'!T18)*(1-F18)</f>
        <v>406971.76615200005</v>
      </c>
      <c r="Z18" s="92">
        <f>B18*'Population Figures'!S18*(1-G18)</f>
        <v>678286.27692000021</v>
      </c>
      <c r="AA18" s="92">
        <f>B18*ABS('Population Figures'!G18-'Population Figures'!J18)*H18</f>
        <v>39312.918907200008</v>
      </c>
      <c r="AB18" s="353" t="str">
        <f>IF('Population Figures'!H18&lt;&gt;"",B18*(ABS('Population Figures'!H18-'Population Figures'!K18))*H18,"N/A")</f>
        <v>N/A</v>
      </c>
      <c r="AC18" s="353" t="str">
        <f>IF('Population Figures'!I18&lt;&gt;"",B18*(ABS('Population Figures'!I18-'Population Figures'!L18))*H18,"N/A")</f>
        <v>N/A</v>
      </c>
      <c r="AD18" s="92">
        <f>B18*ABS('Population Figures'!G18-'Population Figures'!J18)*(1-I18)</f>
        <v>1926333.0264528005</v>
      </c>
      <c r="AE18" s="353" t="str">
        <f>IF('Population Figures'!H18&lt;&gt;"",B18*(ABS('Population Figures'!H18-'Population Figures'!K18))*(1-I18),"N/A")</f>
        <v>N/A</v>
      </c>
      <c r="AF18" s="353" t="str">
        <f>IF('Population Figures'!I18&lt;&gt;"",B18*(ABS('Population Figures'!I18-'Population Figures'!L18))*(1-I18),"N/A")</f>
        <v>N/A</v>
      </c>
      <c r="AG18" s="92">
        <f>B18*('Population Figures'!P18)*J18</f>
        <v>11212.487434800001</v>
      </c>
      <c r="AH18" s="353" t="str">
        <f>IF('Population Figures'!Q18&lt;&gt;"",B18*('Population Figures'!Q18)*J18,"N/A")</f>
        <v>N/A</v>
      </c>
      <c r="AI18" s="353" t="str">
        <f>IF('Population Figures'!R18&lt;&gt;"",B18*('Population Figures'!R18)*J18,"N/A")</f>
        <v>N/A</v>
      </c>
      <c r="AJ18" s="92">
        <f>B18*'Population Figures'!S18*K18</f>
        <v>10381.932810000002</v>
      </c>
      <c r="AK18" s="92">
        <f>(C18-D18)*(B18*'Population Figures'!G18)*'Population Figures'!$C$6</f>
        <v>0</v>
      </c>
      <c r="AL18" s="353" t="str">
        <f>IF('Population Figures'!V18&lt;&gt;"",B18*'Population Figures'!V18*L18,"N/A")</f>
        <v>N/A</v>
      </c>
      <c r="AM18" s="353" t="str">
        <f>IF('Population Figures'!W18&lt;&gt;"",B18*'Population Figures'!W18*L18,"N/A")</f>
        <v>N/A</v>
      </c>
      <c r="AN18" s="92">
        <f>B18*ABS('Population Figures'!G18-'Population Figures'!J18)*(1-M18)</f>
        <v>1936161.2561796005</v>
      </c>
      <c r="AO18" s="353" t="str">
        <f>IF('Population Figures'!H18&lt;&gt;"",B18*(ABS('Population Figures'!H18-'Population Figures'!K18))*(1-M18),"N/A")</f>
        <v>N/A</v>
      </c>
      <c r="AP18" s="353" t="str">
        <f>IF('Population Figures'!I18&lt;&gt;"",B18*(ABS('Population Figures'!I18-'Population Figures'!L18))*(1-M18),"N/A")</f>
        <v>N/A</v>
      </c>
      <c r="AQ18" s="92">
        <f>B18*ABS('Population Figures'!G18-'Population Figures'!J18)*(1-N18)</f>
        <v>1936161.2561796005</v>
      </c>
      <c r="AR18" s="353" t="str">
        <f>IF('Population Figures'!H18&lt;&gt;"",B18*(ABS('Population Figures'!H18-'Population Figures'!K18))*(1-N18),"N/A")</f>
        <v>N/A</v>
      </c>
      <c r="AS18" s="353" t="str">
        <f>IF('Population Figures'!I18&lt;&gt;"",B18*(ABS('Population Figures'!I18-'Population Figures'!L18))*(1-N18),"N/A")</f>
        <v>N/A</v>
      </c>
      <c r="AT18" s="92"/>
      <c r="AU18" s="8"/>
      <c r="AV18" s="8"/>
      <c r="AW18" s="8"/>
      <c r="AX18" s="8"/>
      <c r="AY18" s="8"/>
      <c r="AZ18" s="8"/>
      <c r="BA18" s="8"/>
      <c r="BB18" s="8"/>
      <c r="BC18" s="8"/>
      <c r="BD18" s="8"/>
      <c r="BE18" s="8"/>
      <c r="BF18" s="8"/>
      <c r="BG18" s="8"/>
      <c r="BH18" s="8"/>
      <c r="BI18" s="8"/>
      <c r="BJ18" s="8"/>
      <c r="BK18" s="8"/>
      <c r="BL18" s="8"/>
      <c r="BM18" s="8"/>
      <c r="BN18" s="8"/>
      <c r="BO18" s="8"/>
      <c r="BP18" s="8"/>
    </row>
    <row r="19" spans="1:68" s="9" customFormat="1" ht="15" x14ac:dyDescent="0.2">
      <c r="A19" s="89" t="str">
        <f>'Population Figures'!E19</f>
        <v>Kandahar</v>
      </c>
      <c r="B19" s="91">
        <f>'Population Figures'!F19</f>
        <v>3833525.16</v>
      </c>
      <c r="C19" s="253">
        <v>0.05</v>
      </c>
      <c r="D19" s="253">
        <v>0.01</v>
      </c>
      <c r="E19" s="253">
        <v>0.02</v>
      </c>
      <c r="F19" s="253">
        <v>0.02</v>
      </c>
      <c r="G19" s="253">
        <v>0.02</v>
      </c>
      <c r="H19" s="253">
        <v>0.02</v>
      </c>
      <c r="I19" s="253">
        <v>0.02</v>
      </c>
      <c r="J19" s="253">
        <v>1.4999999999999999E-2</v>
      </c>
      <c r="K19" s="253">
        <v>1.4999999999999999E-2</v>
      </c>
      <c r="L19" s="253">
        <v>1.4999999999999999E-2</v>
      </c>
      <c r="M19" s="253">
        <v>1.4999999999999999E-2</v>
      </c>
      <c r="N19" s="253">
        <v>1.4999999999999999E-2</v>
      </c>
      <c r="O19" s="253">
        <v>1.4999999999999999E-2</v>
      </c>
      <c r="P19" s="92">
        <f>B19*'Population Figures'!G19*'Scenario 3 - Nut. Analysis'!F18</f>
        <v>110405.52460800001</v>
      </c>
      <c r="Q19" s="353" t="str">
        <f>IF('Population Figures'!H19&lt;&gt;"", B19*ABS('Population Figures'!H19-'Population Figures'!K19)*'Scenario 3 - Nut. Analysis'!F18, "N/A")</f>
        <v>N/A</v>
      </c>
      <c r="R19" s="353" t="str">
        <f>IF('Population Figures'!I19&lt;&gt;"",B19*ABS('Population Figures'!I19-'Population Figures'!L19)*'Scenario 3 - Nut. Analysis'!F18,"N/A")</f>
        <v>N/A</v>
      </c>
      <c r="S19" s="92">
        <f>B19*'Population Figures'!T19*'Scenario 3 - Nut. Analysis'!G18</f>
        <v>20701.035863999998</v>
      </c>
      <c r="T19" s="92">
        <f>B19*ABS('Population Figures'!G19-'Population Figures'!J19)*(1-C19)</f>
        <v>517142.54408400005</v>
      </c>
      <c r="U19" s="353" t="str">
        <f>IF('Population Figures'!H19&lt;&gt;"",B19*(ABS('Population Figures'!H19-'Population Figures'!K19))*(1-C19),"N/A")</f>
        <v>N/A</v>
      </c>
      <c r="V19" s="353" t="str">
        <f>IF('Population Figures'!I19&lt;&gt;"",B19*(ABS('Population Figures'!I19-'Population Figures'!L19)*0.9)*(1-C19),"N/A")</f>
        <v>N/A</v>
      </c>
      <c r="W19" s="92">
        <f>B19*('Population Figures'!T19)*(1-D19)</f>
        <v>113855.697252</v>
      </c>
      <c r="X19" s="92">
        <f>B19*('Population Figures'!T19)*(1-E19)</f>
        <v>112705.63970399999</v>
      </c>
      <c r="Y19" s="92">
        <f>B19*('Population Figures'!T19)*(1-F19)</f>
        <v>112705.63970399999</v>
      </c>
      <c r="Z19" s="92">
        <f>B19*'Population Figures'!S19*(1-G19)</f>
        <v>187842.73284000004</v>
      </c>
      <c r="AA19" s="92">
        <f>B19*ABS('Population Figures'!G19-'Population Figures'!J19)*H19</f>
        <v>10887.211454400001</v>
      </c>
      <c r="AB19" s="353" t="str">
        <f>IF('Population Figures'!H19&lt;&gt;"",B19*(ABS('Population Figures'!H19-'Population Figures'!K19))*H19,"N/A")</f>
        <v>N/A</v>
      </c>
      <c r="AC19" s="353" t="str">
        <f>IF('Population Figures'!I19&lt;&gt;"",B19*(ABS('Population Figures'!I19-'Population Figures'!L19))*H19,"N/A")</f>
        <v>N/A</v>
      </c>
      <c r="AD19" s="92">
        <f>B19*ABS('Population Figures'!G19-'Population Figures'!J19)*(1-I19)</f>
        <v>533473.36126560008</v>
      </c>
      <c r="AE19" s="353" t="str">
        <f>IF('Population Figures'!H19&lt;&gt;"",B19*(ABS('Population Figures'!H19-'Population Figures'!K19))*(1-I19),"N/A")</f>
        <v>N/A</v>
      </c>
      <c r="AF19" s="353" t="str">
        <f>IF('Population Figures'!I19&lt;&gt;"",B19*(ABS('Population Figures'!I19-'Population Figures'!L19))*(1-I19),"N/A")</f>
        <v>N/A</v>
      </c>
      <c r="AG19" s="92">
        <f>B19*('Population Figures'!P19)*J19</f>
        <v>3105.1553795999998</v>
      </c>
      <c r="AH19" s="353" t="str">
        <f>IF('Population Figures'!Q19&lt;&gt;"",B19*('Population Figures'!Q19)*J19,"N/A")</f>
        <v>N/A</v>
      </c>
      <c r="AI19" s="353" t="str">
        <f>IF('Population Figures'!R19&lt;&gt;"",B19*('Population Figures'!R19)*J19,"N/A")</f>
        <v>N/A</v>
      </c>
      <c r="AJ19" s="92">
        <f>B19*'Population Figures'!S19*K19</f>
        <v>2875.1438700000003</v>
      </c>
      <c r="AK19" s="92">
        <f>(C19-D19)*(B19*'Population Figures'!G19)*'Population Figures'!$C$6</f>
        <v>0</v>
      </c>
      <c r="AL19" s="353" t="str">
        <f>IF('Population Figures'!V19&lt;&gt;"",B19*'Population Figures'!V19*L19,"N/A")</f>
        <v>N/A</v>
      </c>
      <c r="AM19" s="353" t="str">
        <f>IF('Population Figures'!W19&lt;&gt;"",B19*'Population Figures'!W19*L19,"N/A")</f>
        <v>N/A</v>
      </c>
      <c r="AN19" s="92">
        <f>B19*ABS('Population Figures'!G19-'Population Figures'!J19)*(1-M19)</f>
        <v>536195.16412920004</v>
      </c>
      <c r="AO19" s="353" t="str">
        <f>IF('Population Figures'!H19&lt;&gt;"",B19*(ABS('Population Figures'!H19-'Population Figures'!K19))*(1-M19),"N/A")</f>
        <v>N/A</v>
      </c>
      <c r="AP19" s="353" t="str">
        <f>IF('Population Figures'!I19&lt;&gt;"",B19*(ABS('Population Figures'!I19-'Population Figures'!L19))*(1-M19),"N/A")</f>
        <v>N/A</v>
      </c>
      <c r="AQ19" s="92">
        <f>B19*ABS('Population Figures'!G19-'Population Figures'!J19)*(1-N19)</f>
        <v>536195.16412920004</v>
      </c>
      <c r="AR19" s="353" t="str">
        <f>IF('Population Figures'!H19&lt;&gt;"",B19*(ABS('Population Figures'!H19-'Population Figures'!K19))*(1-N19),"N/A")</f>
        <v>N/A</v>
      </c>
      <c r="AS19" s="353" t="str">
        <f>IF('Population Figures'!I19&lt;&gt;"",B19*(ABS('Population Figures'!I19-'Population Figures'!L19))*(1-N19),"N/A")</f>
        <v>N/A</v>
      </c>
      <c r="AT19" s="92"/>
      <c r="AU19" s="8"/>
      <c r="AV19" s="8"/>
      <c r="AW19" s="8"/>
      <c r="AX19" s="8"/>
      <c r="AY19" s="8"/>
      <c r="AZ19" s="8"/>
      <c r="BA19" s="8"/>
      <c r="BB19" s="8"/>
      <c r="BC19" s="8"/>
      <c r="BD19" s="8"/>
      <c r="BE19" s="8"/>
      <c r="BF19" s="8"/>
      <c r="BG19" s="8"/>
      <c r="BH19" s="8"/>
      <c r="BI19" s="8"/>
      <c r="BJ19" s="8"/>
      <c r="BK19" s="8"/>
      <c r="BL19" s="8"/>
      <c r="BM19" s="8"/>
      <c r="BN19" s="8"/>
      <c r="BO19" s="8"/>
      <c r="BP19" s="8"/>
    </row>
    <row r="20" spans="1:68" s="9" customFormat="1" ht="15" x14ac:dyDescent="0.2">
      <c r="A20" s="89" t="str">
        <f>'Population Figures'!E20</f>
        <v>Kapisa</v>
      </c>
      <c r="B20" s="91">
        <f>'Population Figures'!F20</f>
        <v>1371629.7000000002</v>
      </c>
      <c r="C20" s="253">
        <v>0.05</v>
      </c>
      <c r="D20" s="253">
        <v>0.01</v>
      </c>
      <c r="E20" s="253">
        <v>0.02</v>
      </c>
      <c r="F20" s="253">
        <v>0.02</v>
      </c>
      <c r="G20" s="253">
        <v>0.02</v>
      </c>
      <c r="H20" s="253">
        <v>0.02</v>
      </c>
      <c r="I20" s="253">
        <v>0.02</v>
      </c>
      <c r="J20" s="253">
        <v>1.4999999999999999E-2</v>
      </c>
      <c r="K20" s="253">
        <v>1.4999999999999999E-2</v>
      </c>
      <c r="L20" s="253">
        <v>1.4999999999999999E-2</v>
      </c>
      <c r="M20" s="253">
        <v>1.4999999999999999E-2</v>
      </c>
      <c r="N20" s="253">
        <v>1.4999999999999999E-2</v>
      </c>
      <c r="O20" s="253">
        <v>1.4999999999999999E-2</v>
      </c>
      <c r="P20" s="92">
        <f>B20*'Population Figures'!G20*'Scenario 3 - Nut. Analysis'!F19</f>
        <v>26335.290240000002</v>
      </c>
      <c r="Q20" s="353" t="str">
        <f>IF('Population Figures'!H20&lt;&gt;"", B20*ABS('Population Figures'!H20-'Population Figures'!K20)*'Scenario 3 - Nut. Analysis'!F19, "N/A")</f>
        <v>N/A</v>
      </c>
      <c r="R20" s="353" t="str">
        <f>IF('Population Figures'!I20&lt;&gt;"",B20*ABS('Population Figures'!I20-'Population Figures'!L20)*'Scenario 3 - Nut. Analysis'!F19,"N/A")</f>
        <v>N/A</v>
      </c>
      <c r="S20" s="92">
        <f>B20*'Population Figures'!T20*'Scenario 3 - Nut. Analysis'!G19</f>
        <v>4937.8669200000004</v>
      </c>
      <c r="T20" s="92">
        <f>B20*ABS('Population Figures'!G20-'Population Figures'!J20)*(1-C20)</f>
        <v>185032.84653000004</v>
      </c>
      <c r="U20" s="353" t="str">
        <f>IF('Population Figures'!H20&lt;&gt;"",B20*(ABS('Population Figures'!H20-'Population Figures'!K20))*(1-C20),"N/A")</f>
        <v>N/A</v>
      </c>
      <c r="V20" s="353" t="str">
        <f>IF('Population Figures'!I20&lt;&gt;"",B20*(ABS('Population Figures'!I20-'Population Figures'!L20)*0.9)*(1-C20),"N/A")</f>
        <v>N/A</v>
      </c>
      <c r="W20" s="92">
        <f>B20*('Population Figures'!T20)*(1-D20)</f>
        <v>40737.402090000003</v>
      </c>
      <c r="X20" s="92">
        <f>B20*('Population Figures'!T20)*(1-E20)</f>
        <v>40325.913180000003</v>
      </c>
      <c r="Y20" s="92">
        <f>B20*('Population Figures'!T20)*(1-F20)</f>
        <v>40325.913180000003</v>
      </c>
      <c r="Z20" s="92">
        <f>B20*'Population Figures'!S20*(1-G20)</f>
        <v>67209.85530000001</v>
      </c>
      <c r="AA20" s="92">
        <f>B20*ABS('Population Figures'!G20-'Population Figures'!J20)*H20</f>
        <v>3895.4283480000008</v>
      </c>
      <c r="AB20" s="353" t="str">
        <f>IF('Population Figures'!H20&lt;&gt;"",B20*(ABS('Population Figures'!H20-'Population Figures'!K20))*H20,"N/A")</f>
        <v>N/A</v>
      </c>
      <c r="AC20" s="353" t="str">
        <f>IF('Population Figures'!I20&lt;&gt;"",B20*(ABS('Population Figures'!I20-'Population Figures'!L20))*H20,"N/A")</f>
        <v>N/A</v>
      </c>
      <c r="AD20" s="92">
        <f>B20*ABS('Population Figures'!G20-'Population Figures'!J20)*(1-I20)</f>
        <v>190875.98905200002</v>
      </c>
      <c r="AE20" s="353" t="str">
        <f>IF('Population Figures'!H20&lt;&gt;"",B20*(ABS('Population Figures'!H20-'Population Figures'!K20))*(1-I20),"N/A")</f>
        <v>N/A</v>
      </c>
      <c r="AF20" s="353" t="str">
        <f>IF('Population Figures'!I20&lt;&gt;"",B20*(ABS('Population Figures'!I20-'Population Figures'!L20))*(1-I20),"N/A")</f>
        <v>N/A</v>
      </c>
      <c r="AG20" s="92">
        <f>B20*('Population Figures'!P20)*J20</f>
        <v>1111.020057</v>
      </c>
      <c r="AH20" s="353" t="str">
        <f>IF('Population Figures'!Q20&lt;&gt;"",B20*('Population Figures'!Q20)*J20,"N/A")</f>
        <v>N/A</v>
      </c>
      <c r="AI20" s="353" t="str">
        <f>IF('Population Figures'!R20&lt;&gt;"",B20*('Population Figures'!R20)*J20,"N/A")</f>
        <v>N/A</v>
      </c>
      <c r="AJ20" s="92">
        <f>B20*'Population Figures'!S20*K20</f>
        <v>1028.7222750000001</v>
      </c>
      <c r="AK20" s="92">
        <f>(C20-D20)*(B20*'Population Figures'!G20)*'Population Figures'!$C$6</f>
        <v>0</v>
      </c>
      <c r="AL20" s="353" t="str">
        <f>IF('Population Figures'!V20&lt;&gt;"",B20*'Population Figures'!V20*L20,"N/A")</f>
        <v>N/A</v>
      </c>
      <c r="AM20" s="353" t="str">
        <f>IF('Population Figures'!W20&lt;&gt;"",B20*'Population Figures'!W20*L20,"N/A")</f>
        <v>N/A</v>
      </c>
      <c r="AN20" s="92">
        <f>B20*ABS('Population Figures'!G20-'Population Figures'!J20)*(1-M20)</f>
        <v>191849.84613900003</v>
      </c>
      <c r="AO20" s="353" t="str">
        <f>IF('Population Figures'!H20&lt;&gt;"",B20*(ABS('Population Figures'!H20-'Population Figures'!K20))*(1-M20),"N/A")</f>
        <v>N/A</v>
      </c>
      <c r="AP20" s="353" t="str">
        <f>IF('Population Figures'!I20&lt;&gt;"",B20*(ABS('Population Figures'!I20-'Population Figures'!L20))*(1-M20),"N/A")</f>
        <v>N/A</v>
      </c>
      <c r="AQ20" s="92">
        <f>B20*ABS('Population Figures'!G20-'Population Figures'!J20)*(1-N20)</f>
        <v>191849.84613900003</v>
      </c>
      <c r="AR20" s="353" t="str">
        <f>IF('Population Figures'!H20&lt;&gt;"",B20*(ABS('Population Figures'!H20-'Population Figures'!K20))*(1-N20),"N/A")</f>
        <v>N/A</v>
      </c>
      <c r="AS20" s="353" t="str">
        <f>IF('Population Figures'!I20&lt;&gt;"",B20*(ABS('Population Figures'!I20-'Population Figures'!L20))*(1-N20),"N/A")</f>
        <v>N/A</v>
      </c>
      <c r="AT20" s="92"/>
      <c r="AU20" s="8"/>
      <c r="AV20" s="8"/>
      <c r="AW20" s="8"/>
      <c r="AX20" s="8"/>
      <c r="AY20" s="8"/>
      <c r="AZ20" s="8"/>
      <c r="BA20" s="8"/>
      <c r="BB20" s="8"/>
      <c r="BC20" s="8"/>
      <c r="BD20" s="8"/>
      <c r="BE20" s="8"/>
      <c r="BF20" s="8"/>
      <c r="BG20" s="8"/>
      <c r="BH20" s="8"/>
      <c r="BI20" s="8"/>
      <c r="BJ20" s="8"/>
      <c r="BK20" s="8"/>
      <c r="BL20" s="8"/>
      <c r="BM20" s="8"/>
      <c r="BN20" s="8"/>
      <c r="BO20" s="8"/>
      <c r="BP20" s="8"/>
    </row>
    <row r="21" spans="1:68" s="9" customFormat="1" ht="15" x14ac:dyDescent="0.2">
      <c r="A21" s="89" t="str">
        <f>'Population Figures'!E21</f>
        <v>Khost</v>
      </c>
      <c r="B21" s="91">
        <f>'Population Figures'!F21</f>
        <v>1787269.5</v>
      </c>
      <c r="C21" s="253">
        <v>0.05</v>
      </c>
      <c r="D21" s="253">
        <v>0.01</v>
      </c>
      <c r="E21" s="253">
        <v>0.02</v>
      </c>
      <c r="F21" s="253">
        <v>0.02</v>
      </c>
      <c r="G21" s="253">
        <v>0.02</v>
      </c>
      <c r="H21" s="253">
        <v>0.02</v>
      </c>
      <c r="I21" s="253">
        <v>0.02</v>
      </c>
      <c r="J21" s="253">
        <v>1.4999999999999999E-2</v>
      </c>
      <c r="K21" s="253">
        <v>1.4999999999999999E-2</v>
      </c>
      <c r="L21" s="253">
        <v>1.4999999999999999E-2</v>
      </c>
      <c r="M21" s="253">
        <v>1.4999999999999999E-2</v>
      </c>
      <c r="N21" s="253">
        <v>1.4999999999999999E-2</v>
      </c>
      <c r="O21" s="253">
        <v>1.4999999999999999E-2</v>
      </c>
      <c r="P21" s="92">
        <f>B21*'Population Figures'!G21*'Scenario 3 - Nut. Analysis'!F20</f>
        <v>40034.836800000005</v>
      </c>
      <c r="Q21" s="353" t="str">
        <f>IF('Population Figures'!H21&lt;&gt;"", B21*ABS('Population Figures'!H21-'Population Figures'!K21)*'Scenario 3 - Nut. Analysis'!F20, "N/A")</f>
        <v>N/A</v>
      </c>
      <c r="R21" s="353" t="str">
        <f>IF('Population Figures'!I21&lt;&gt;"",B21*ABS('Population Figures'!I21-'Population Figures'!L21)*'Scenario 3 - Nut. Analysis'!F20,"N/A")</f>
        <v>N/A</v>
      </c>
      <c r="S21" s="92">
        <f>B21*'Population Figures'!T21*'Scenario 3 - Nut. Analysis'!G20</f>
        <v>7506.5319000000009</v>
      </c>
      <c r="T21" s="92">
        <f>B21*ABS('Population Figures'!G21-'Population Figures'!J21)*(1-C21)</f>
        <v>241102.65555000002</v>
      </c>
      <c r="U21" s="353" t="str">
        <f>IF('Population Figures'!H21&lt;&gt;"",B21*(ABS('Population Figures'!H21-'Population Figures'!K21))*(1-C21),"N/A")</f>
        <v>N/A</v>
      </c>
      <c r="V21" s="353" t="str">
        <f>IF('Population Figures'!I21&lt;&gt;"",B21*(ABS('Population Figures'!I21-'Population Figures'!L21)*0.9)*(1-C21),"N/A")</f>
        <v>N/A</v>
      </c>
      <c r="W21" s="92">
        <f>B21*('Population Figures'!T21)*(1-D21)</f>
        <v>53081.904150000002</v>
      </c>
      <c r="X21" s="92">
        <f>B21*('Population Figures'!T21)*(1-E21)</f>
        <v>52545.723299999998</v>
      </c>
      <c r="Y21" s="92">
        <f>B21*('Population Figures'!T21)*(1-F21)</f>
        <v>52545.723299999998</v>
      </c>
      <c r="Z21" s="92">
        <f>B21*'Population Figures'!S21*(1-G21)</f>
        <v>87576.205500000011</v>
      </c>
      <c r="AA21" s="92">
        <f>B21*ABS('Population Figures'!G21-'Population Figures'!J21)*H21</f>
        <v>5075.8453800000007</v>
      </c>
      <c r="AB21" s="353" t="str">
        <f>IF('Population Figures'!H21&lt;&gt;"",B21*(ABS('Population Figures'!H21-'Population Figures'!K21))*H21,"N/A")</f>
        <v>N/A</v>
      </c>
      <c r="AC21" s="353" t="str">
        <f>IF('Population Figures'!I21&lt;&gt;"",B21*(ABS('Population Figures'!I21-'Population Figures'!L21))*H21,"N/A")</f>
        <v>N/A</v>
      </c>
      <c r="AD21" s="92">
        <f>B21*ABS('Population Figures'!G21-'Population Figures'!J21)*(1-I21)</f>
        <v>248716.42362000002</v>
      </c>
      <c r="AE21" s="353" t="str">
        <f>IF('Population Figures'!H21&lt;&gt;"",B21*(ABS('Population Figures'!H21-'Population Figures'!K21))*(1-I21),"N/A")</f>
        <v>N/A</v>
      </c>
      <c r="AF21" s="353" t="str">
        <f>IF('Population Figures'!I21&lt;&gt;"",B21*(ABS('Population Figures'!I21-'Population Figures'!L21))*(1-I21),"N/A")</f>
        <v>N/A</v>
      </c>
      <c r="AG21" s="92">
        <f>B21*('Population Figures'!P21)*J21</f>
        <v>1447.6882949999999</v>
      </c>
      <c r="AH21" s="353" t="str">
        <f>IF('Population Figures'!Q21&lt;&gt;"",B21*('Population Figures'!Q21)*J21,"N/A")</f>
        <v>N/A</v>
      </c>
      <c r="AI21" s="353" t="str">
        <f>IF('Population Figures'!R21&lt;&gt;"",B21*('Population Figures'!R21)*J21,"N/A")</f>
        <v>N/A</v>
      </c>
      <c r="AJ21" s="92">
        <f>B21*'Population Figures'!S21*K21</f>
        <v>1340.452125</v>
      </c>
      <c r="AK21" s="92">
        <f>(C21-D21)*(B21*'Population Figures'!G21)*'Population Figures'!$C$6</f>
        <v>0</v>
      </c>
      <c r="AL21" s="353" t="str">
        <f>IF('Population Figures'!V21&lt;&gt;"",B21*'Population Figures'!V21*L21,"N/A")</f>
        <v>N/A</v>
      </c>
      <c r="AM21" s="353" t="str">
        <f>IF('Population Figures'!W21&lt;&gt;"",B21*'Population Figures'!W21*L21,"N/A")</f>
        <v>N/A</v>
      </c>
      <c r="AN21" s="92">
        <f>B21*ABS('Population Figures'!G21-'Population Figures'!J21)*(1-M21)</f>
        <v>249985.38496500003</v>
      </c>
      <c r="AO21" s="353" t="str">
        <f>IF('Population Figures'!H21&lt;&gt;"",B21*(ABS('Population Figures'!H21-'Population Figures'!K21))*(1-M21),"N/A")</f>
        <v>N/A</v>
      </c>
      <c r="AP21" s="353" t="str">
        <f>IF('Population Figures'!I21&lt;&gt;"",B21*(ABS('Population Figures'!I21-'Population Figures'!L21))*(1-M21),"N/A")</f>
        <v>N/A</v>
      </c>
      <c r="AQ21" s="92">
        <f>B21*ABS('Population Figures'!G21-'Population Figures'!J21)*(1-N21)</f>
        <v>249985.38496500003</v>
      </c>
      <c r="AR21" s="353" t="str">
        <f>IF('Population Figures'!H21&lt;&gt;"",B21*(ABS('Population Figures'!H21-'Population Figures'!K21))*(1-N21),"N/A")</f>
        <v>N/A</v>
      </c>
      <c r="AS21" s="353" t="str">
        <f>IF('Population Figures'!I21&lt;&gt;"",B21*(ABS('Population Figures'!I21-'Population Figures'!L21))*(1-N21),"N/A")</f>
        <v>N/A</v>
      </c>
      <c r="AT21" s="92"/>
      <c r="AU21" s="8"/>
      <c r="AV21" s="8"/>
      <c r="AW21" s="8"/>
      <c r="AX21" s="8"/>
      <c r="AY21" s="8"/>
      <c r="AZ21" s="8"/>
      <c r="BA21" s="8"/>
      <c r="BB21" s="8"/>
      <c r="BC21" s="8"/>
      <c r="BD21" s="8"/>
      <c r="BE21" s="8"/>
      <c r="BF21" s="8"/>
      <c r="BG21" s="8"/>
      <c r="BH21" s="8"/>
      <c r="BI21" s="8"/>
      <c r="BJ21" s="8"/>
      <c r="BK21" s="8"/>
      <c r="BL21" s="8"/>
      <c r="BM21" s="8"/>
      <c r="BN21" s="8"/>
      <c r="BO21" s="8"/>
      <c r="BP21" s="8"/>
    </row>
    <row r="22" spans="1:68" s="9" customFormat="1" ht="15" x14ac:dyDescent="0.2">
      <c r="A22" s="89" t="str">
        <f>'Population Figures'!E22</f>
        <v>Kunar</v>
      </c>
      <c r="B22" s="91">
        <f>'Population Figures'!F22</f>
        <v>1401877.8</v>
      </c>
      <c r="C22" s="253">
        <v>0.05</v>
      </c>
      <c r="D22" s="253">
        <v>0.01</v>
      </c>
      <c r="E22" s="253">
        <v>0.02</v>
      </c>
      <c r="F22" s="253">
        <v>0.02</v>
      </c>
      <c r="G22" s="253">
        <v>0.02</v>
      </c>
      <c r="H22" s="253">
        <v>0.02</v>
      </c>
      <c r="I22" s="253">
        <v>0.02</v>
      </c>
      <c r="J22" s="253">
        <v>1.4999999999999999E-2</v>
      </c>
      <c r="K22" s="253">
        <v>1.4999999999999999E-2</v>
      </c>
      <c r="L22" s="253">
        <v>1.4999999999999999E-2</v>
      </c>
      <c r="M22" s="253">
        <v>1.4999999999999999E-2</v>
      </c>
      <c r="N22" s="253">
        <v>1.4999999999999999E-2</v>
      </c>
      <c r="O22" s="253">
        <v>1.4999999999999999E-2</v>
      </c>
      <c r="P22" s="92">
        <f>B22*'Population Figures'!G22*'Scenario 3 - Nut. Analysis'!F21</f>
        <v>31402.062720000005</v>
      </c>
      <c r="Q22" s="353" t="str">
        <f>IF('Population Figures'!H22&lt;&gt;"", B22*ABS('Population Figures'!H22-'Population Figures'!K22)*'Scenario 3 - Nut. Analysis'!F21, "N/A")</f>
        <v>N/A</v>
      </c>
      <c r="R22" s="353" t="str">
        <f>IF('Population Figures'!I22&lt;&gt;"",B22*ABS('Population Figures'!I22-'Population Figures'!L22)*'Scenario 3 - Nut. Analysis'!F21,"N/A")</f>
        <v>N/A</v>
      </c>
      <c r="S22" s="92">
        <f>B22*'Population Figures'!T22*'Scenario 3 - Nut. Analysis'!G21</f>
        <v>5887.8867600000012</v>
      </c>
      <c r="T22" s="92">
        <f>B22*ABS('Population Figures'!G22-'Population Figures'!J22)*(1-C22)</f>
        <v>189113.31522000002</v>
      </c>
      <c r="U22" s="353" t="str">
        <f>IF('Population Figures'!H22&lt;&gt;"",B22*(ABS('Population Figures'!H22-'Population Figures'!K22))*(1-C22),"N/A")</f>
        <v>N/A</v>
      </c>
      <c r="V22" s="353" t="str">
        <f>IF('Population Figures'!I22&lt;&gt;"",B22*(ABS('Population Figures'!I22-'Population Figures'!L22)*0.9)*(1-C22),"N/A")</f>
        <v>N/A</v>
      </c>
      <c r="W22" s="92">
        <f>B22*('Population Figures'!T22)*(1-D22)</f>
        <v>41635.770660000002</v>
      </c>
      <c r="X22" s="92">
        <f>B22*('Population Figures'!T22)*(1-E22)</f>
        <v>41215.207320000001</v>
      </c>
      <c r="Y22" s="92">
        <f>B22*('Population Figures'!T22)*(1-F22)</f>
        <v>41215.207320000001</v>
      </c>
      <c r="Z22" s="92">
        <f>B22*'Population Figures'!S22*(1-G22)</f>
        <v>68692.012199999997</v>
      </c>
      <c r="AA22" s="92">
        <f>B22*ABS('Population Figures'!G22-'Population Figures'!J22)*H22</f>
        <v>3981.3329520000007</v>
      </c>
      <c r="AB22" s="353" t="str">
        <f>IF('Population Figures'!H22&lt;&gt;"",B22*(ABS('Population Figures'!H22-'Population Figures'!K22))*H22,"N/A")</f>
        <v>N/A</v>
      </c>
      <c r="AC22" s="353" t="str">
        <f>IF('Population Figures'!I22&lt;&gt;"",B22*(ABS('Population Figures'!I22-'Population Figures'!L22))*H22,"N/A")</f>
        <v>N/A</v>
      </c>
      <c r="AD22" s="92">
        <f>B22*ABS('Population Figures'!G22-'Population Figures'!J22)*(1-I22)</f>
        <v>195085.31464800003</v>
      </c>
      <c r="AE22" s="353" t="str">
        <f>IF('Population Figures'!H22&lt;&gt;"",B22*(ABS('Population Figures'!H22-'Population Figures'!K22))*(1-I22),"N/A")</f>
        <v>N/A</v>
      </c>
      <c r="AF22" s="353" t="str">
        <f>IF('Population Figures'!I22&lt;&gt;"",B22*(ABS('Population Figures'!I22-'Population Figures'!L22))*(1-I22),"N/A")</f>
        <v>N/A</v>
      </c>
      <c r="AG22" s="92">
        <f>B22*('Population Figures'!P22)*J22</f>
        <v>1135.5210180000001</v>
      </c>
      <c r="AH22" s="353" t="str">
        <f>IF('Population Figures'!Q22&lt;&gt;"",B22*('Population Figures'!Q22)*J22,"N/A")</f>
        <v>N/A</v>
      </c>
      <c r="AI22" s="353" t="str">
        <f>IF('Population Figures'!R22&lt;&gt;"",B22*('Population Figures'!R22)*J22,"N/A")</f>
        <v>N/A</v>
      </c>
      <c r="AJ22" s="92">
        <f>B22*'Population Figures'!S22*K22</f>
        <v>1051.4083499999999</v>
      </c>
      <c r="AK22" s="92">
        <f>(C22-D22)*(B22*'Population Figures'!G22)*'Population Figures'!$C$6</f>
        <v>0</v>
      </c>
      <c r="AL22" s="353" t="str">
        <f>IF('Population Figures'!V22&lt;&gt;"",B22*'Population Figures'!V22*L22,"N/A")</f>
        <v>N/A</v>
      </c>
      <c r="AM22" s="353" t="str">
        <f>IF('Population Figures'!W22&lt;&gt;"",B22*'Population Figures'!W22*L22,"N/A")</f>
        <v>N/A</v>
      </c>
      <c r="AN22" s="92">
        <f>B22*ABS('Population Figures'!G22-'Population Figures'!J22)*(1-M22)</f>
        <v>196080.64788600002</v>
      </c>
      <c r="AO22" s="353" t="str">
        <f>IF('Population Figures'!H22&lt;&gt;"",B22*(ABS('Population Figures'!H22-'Population Figures'!K22))*(1-M22),"N/A")</f>
        <v>N/A</v>
      </c>
      <c r="AP22" s="353" t="str">
        <f>IF('Population Figures'!I22&lt;&gt;"",B22*(ABS('Population Figures'!I22-'Population Figures'!L22))*(1-M22),"N/A")</f>
        <v>N/A</v>
      </c>
      <c r="AQ22" s="92">
        <f>B22*ABS('Population Figures'!G22-'Population Figures'!J22)*(1-N22)</f>
        <v>196080.64788600002</v>
      </c>
      <c r="AR22" s="353" t="str">
        <f>IF('Population Figures'!H22&lt;&gt;"",B22*(ABS('Population Figures'!H22-'Population Figures'!K22))*(1-N22),"N/A")</f>
        <v>N/A</v>
      </c>
      <c r="AS22" s="353" t="str">
        <f>IF('Population Figures'!I22&lt;&gt;"",B22*(ABS('Population Figures'!I22-'Population Figures'!L22))*(1-N22),"N/A")</f>
        <v>N/A</v>
      </c>
      <c r="AT22" s="92"/>
      <c r="AU22" s="8"/>
      <c r="AV22" s="8"/>
      <c r="AW22" s="8"/>
      <c r="AX22" s="8"/>
      <c r="AY22" s="8"/>
      <c r="AZ22" s="8"/>
      <c r="BA22" s="8"/>
      <c r="BB22" s="8"/>
      <c r="BC22" s="8"/>
      <c r="BD22" s="8"/>
      <c r="BE22" s="8"/>
      <c r="BF22" s="8"/>
      <c r="BG22" s="8"/>
      <c r="BH22" s="8"/>
      <c r="BI22" s="8"/>
      <c r="BJ22" s="8"/>
      <c r="BK22" s="8"/>
      <c r="BL22" s="8"/>
      <c r="BM22" s="8"/>
      <c r="BN22" s="8"/>
      <c r="BO22" s="8"/>
      <c r="BP22" s="8"/>
    </row>
    <row r="23" spans="1:68" s="9" customFormat="1" ht="15" x14ac:dyDescent="0.2">
      <c r="A23" s="89" t="str">
        <f>'Population Figures'!E23</f>
        <v>Kunduz</v>
      </c>
      <c r="B23" s="91">
        <f>'Population Figures'!F23</f>
        <v>3150187.38</v>
      </c>
      <c r="C23" s="253">
        <v>0.05</v>
      </c>
      <c r="D23" s="253">
        <v>0.01</v>
      </c>
      <c r="E23" s="253">
        <v>0.02</v>
      </c>
      <c r="F23" s="253">
        <v>0.02</v>
      </c>
      <c r="G23" s="253">
        <v>0.02</v>
      </c>
      <c r="H23" s="253">
        <v>0.02</v>
      </c>
      <c r="I23" s="253">
        <v>0.02</v>
      </c>
      <c r="J23" s="253">
        <v>1.4999999999999999E-2</v>
      </c>
      <c r="K23" s="253">
        <v>1.4999999999999999E-2</v>
      </c>
      <c r="L23" s="253">
        <v>1.4999999999999999E-2</v>
      </c>
      <c r="M23" s="253">
        <v>1.4999999999999999E-2</v>
      </c>
      <c r="N23" s="253">
        <v>1.4999999999999999E-2</v>
      </c>
      <c r="O23" s="253">
        <v>1.4999999999999999E-2</v>
      </c>
      <c r="P23" s="92">
        <f>B23*'Population Figures'!G23*'Scenario 3 - Nut. Analysis'!F22</f>
        <v>10080.599616000001</v>
      </c>
      <c r="Q23" s="353" t="str">
        <f>IF('Population Figures'!H23&lt;&gt;"", B23*ABS('Population Figures'!H23-'Population Figures'!K23)*'Scenario 3 - Nut. Analysis'!F22, "N/A")</f>
        <v>N/A</v>
      </c>
      <c r="R23" s="353" t="str">
        <f>IF('Population Figures'!I23&lt;&gt;"",B23*ABS('Population Figures'!I23-'Population Figures'!L23)*'Scenario 3 - Nut. Analysis'!F22,"N/A")</f>
        <v>N/A</v>
      </c>
      <c r="S23" s="92">
        <f>B23*'Population Figures'!T23*'Scenario 3 - Nut. Analysis'!G22</f>
        <v>1890.1124279999999</v>
      </c>
      <c r="T23" s="92">
        <f>B23*ABS('Population Figures'!G23-'Population Figures'!J23)*(1-C23)</f>
        <v>424960.27756200003</v>
      </c>
      <c r="U23" s="353" t="str">
        <f>IF('Population Figures'!H23&lt;&gt;"",B23*(ABS('Population Figures'!H23-'Population Figures'!K23))*(1-C23),"N/A")</f>
        <v>N/A</v>
      </c>
      <c r="V23" s="353" t="str">
        <f>IF('Population Figures'!I23&lt;&gt;"",B23*(ABS('Population Figures'!I23-'Population Figures'!L23)*0.9)*(1-C23),"N/A")</f>
        <v>N/A</v>
      </c>
      <c r="W23" s="92">
        <f>B23*('Population Figures'!T23)*(1-D23)</f>
        <v>93560.565185999993</v>
      </c>
      <c r="X23" s="92">
        <f>B23*('Population Figures'!T23)*(1-E23)</f>
        <v>92615.508971999981</v>
      </c>
      <c r="Y23" s="92">
        <f>B23*('Population Figures'!T23)*(1-F23)</f>
        <v>92615.508971999981</v>
      </c>
      <c r="Z23" s="92">
        <f>B23*'Population Figures'!S23*(1-G23)</f>
        <v>154359.18162000002</v>
      </c>
      <c r="AA23" s="92">
        <f>B23*ABS('Population Figures'!G23-'Population Figures'!J23)*H23</f>
        <v>8946.5321592000018</v>
      </c>
      <c r="AB23" s="353" t="str">
        <f>IF('Population Figures'!H23&lt;&gt;"",B23*(ABS('Population Figures'!H23-'Population Figures'!K23))*H23,"N/A")</f>
        <v>N/A</v>
      </c>
      <c r="AC23" s="353" t="str">
        <f>IF('Population Figures'!I23&lt;&gt;"",B23*(ABS('Population Figures'!I23-'Population Figures'!L23))*H23,"N/A")</f>
        <v>N/A</v>
      </c>
      <c r="AD23" s="92">
        <f>B23*ABS('Population Figures'!G23-'Population Figures'!J23)*(1-I23)</f>
        <v>438380.07580080006</v>
      </c>
      <c r="AE23" s="353" t="str">
        <f>IF('Population Figures'!H23&lt;&gt;"",B23*(ABS('Population Figures'!H23-'Population Figures'!K23))*(1-I23),"N/A")</f>
        <v>N/A</v>
      </c>
      <c r="AF23" s="353" t="str">
        <f>IF('Population Figures'!I23&lt;&gt;"",B23*(ABS('Population Figures'!I23-'Population Figures'!L23))*(1-I23),"N/A")</f>
        <v>N/A</v>
      </c>
      <c r="AG23" s="92">
        <f>B23*('Population Figures'!P23)*J23</f>
        <v>2551.6517777999998</v>
      </c>
      <c r="AH23" s="353" t="str">
        <f>IF('Population Figures'!Q23&lt;&gt;"",B23*('Population Figures'!Q23)*J23,"N/A")</f>
        <v>N/A</v>
      </c>
      <c r="AI23" s="353" t="str">
        <f>IF('Population Figures'!R23&lt;&gt;"",B23*('Population Figures'!R23)*J23,"N/A")</f>
        <v>N/A</v>
      </c>
      <c r="AJ23" s="92">
        <f>B23*'Population Figures'!S23*K23</f>
        <v>2362.640535</v>
      </c>
      <c r="AK23" s="92">
        <f>(C23-D23)*(B23*'Population Figures'!G23)*'Population Figures'!$C$6</f>
        <v>0</v>
      </c>
      <c r="AL23" s="353" t="str">
        <f>IF('Population Figures'!V23&lt;&gt;"",B23*'Population Figures'!V23*L23,"N/A")</f>
        <v>N/A</v>
      </c>
      <c r="AM23" s="353" t="str">
        <f>IF('Population Figures'!W23&lt;&gt;"",B23*'Population Figures'!W23*L23,"N/A")</f>
        <v>N/A</v>
      </c>
      <c r="AN23" s="92">
        <f>B23*ABS('Population Figures'!G23-'Population Figures'!J23)*(1-M23)</f>
        <v>440616.70884060004</v>
      </c>
      <c r="AO23" s="353" t="str">
        <f>IF('Population Figures'!H23&lt;&gt;"",B23*(ABS('Population Figures'!H23-'Population Figures'!K23))*(1-M23),"N/A")</f>
        <v>N/A</v>
      </c>
      <c r="AP23" s="353" t="str">
        <f>IF('Population Figures'!I23&lt;&gt;"",B23*(ABS('Population Figures'!I23-'Population Figures'!L23))*(1-M23),"N/A")</f>
        <v>N/A</v>
      </c>
      <c r="AQ23" s="92">
        <f>B23*ABS('Population Figures'!G23-'Population Figures'!J23)*(1-N23)</f>
        <v>440616.70884060004</v>
      </c>
      <c r="AR23" s="353" t="str">
        <f>IF('Population Figures'!H23&lt;&gt;"",B23*(ABS('Population Figures'!H23-'Population Figures'!K23))*(1-N23),"N/A")</f>
        <v>N/A</v>
      </c>
      <c r="AS23" s="353" t="str">
        <f>IF('Population Figures'!I23&lt;&gt;"",B23*(ABS('Population Figures'!I23-'Population Figures'!L23))*(1-N23),"N/A")</f>
        <v>N/A</v>
      </c>
      <c r="AT23" s="92"/>
      <c r="AU23" s="8"/>
      <c r="AV23" s="8"/>
      <c r="AW23" s="8"/>
      <c r="AX23" s="8"/>
      <c r="AY23" s="8"/>
      <c r="AZ23" s="8"/>
      <c r="BA23" s="8"/>
      <c r="BB23" s="8"/>
      <c r="BC23" s="8"/>
      <c r="BD23" s="8"/>
      <c r="BE23" s="8"/>
      <c r="BF23" s="8"/>
      <c r="BG23" s="8"/>
      <c r="BH23" s="8"/>
      <c r="BI23" s="8"/>
      <c r="BJ23" s="8"/>
      <c r="BK23" s="8"/>
      <c r="BL23" s="8"/>
      <c r="BM23" s="8"/>
      <c r="BN23" s="8"/>
      <c r="BO23" s="8"/>
      <c r="BP23" s="8"/>
    </row>
    <row r="24" spans="1:68" s="9" customFormat="1" ht="15" x14ac:dyDescent="0.2">
      <c r="A24" s="89" t="str">
        <f>'Population Figures'!E24</f>
        <v>Laghman</v>
      </c>
      <c r="B24" s="91">
        <f>'Population Figures'!F24</f>
        <v>1385941.32</v>
      </c>
      <c r="C24" s="253">
        <v>0.05</v>
      </c>
      <c r="D24" s="253">
        <v>0.01</v>
      </c>
      <c r="E24" s="253">
        <v>0.02</v>
      </c>
      <c r="F24" s="253">
        <v>0.02</v>
      </c>
      <c r="G24" s="253">
        <v>0.02</v>
      </c>
      <c r="H24" s="253">
        <v>0.02</v>
      </c>
      <c r="I24" s="253">
        <v>0.02</v>
      </c>
      <c r="J24" s="253">
        <v>1.4999999999999999E-2</v>
      </c>
      <c r="K24" s="253">
        <v>1.4999999999999999E-2</v>
      </c>
      <c r="L24" s="253">
        <v>1.4999999999999999E-2</v>
      </c>
      <c r="M24" s="253">
        <v>1.4999999999999999E-2</v>
      </c>
      <c r="N24" s="253">
        <v>1.4999999999999999E-2</v>
      </c>
      <c r="O24" s="253">
        <v>1.4999999999999999E-2</v>
      </c>
      <c r="P24" s="92">
        <f>B24*'Population Figures'!G24*'Scenario 3 - Nut. Analysis'!F23</f>
        <v>35480.097792</v>
      </c>
      <c r="Q24" s="353" t="str">
        <f>IF('Population Figures'!H24&lt;&gt;"", B24*ABS('Population Figures'!H24-'Population Figures'!K24)*'Scenario 3 - Nut. Analysis'!F23, "N/A")</f>
        <v>N/A</v>
      </c>
      <c r="R24" s="353" t="str">
        <f>IF('Population Figures'!I24&lt;&gt;"",B24*ABS('Population Figures'!I24-'Population Figures'!L24)*'Scenario 3 - Nut. Analysis'!F23,"N/A")</f>
        <v>N/A</v>
      </c>
      <c r="S24" s="92">
        <f>B24*'Population Figures'!T24*'Scenario 3 - Nut. Analysis'!G23</f>
        <v>6652.5183360000001</v>
      </c>
      <c r="T24" s="92">
        <f>B24*ABS('Population Figures'!G24-'Population Figures'!J24)*(1-C24)</f>
        <v>186963.48406800002</v>
      </c>
      <c r="U24" s="353" t="str">
        <f>IF('Population Figures'!H24&lt;&gt;"",B24*(ABS('Population Figures'!H24-'Population Figures'!K24))*(1-C24),"N/A")</f>
        <v>N/A</v>
      </c>
      <c r="V24" s="353" t="str">
        <f>IF('Population Figures'!I24&lt;&gt;"",B24*(ABS('Population Figures'!I24-'Population Figures'!L24)*0.9)*(1-C24),"N/A")</f>
        <v>N/A</v>
      </c>
      <c r="W24" s="92">
        <f>B24*('Population Figures'!T24)*(1-D24)</f>
        <v>41162.457203999998</v>
      </c>
      <c r="X24" s="92">
        <f>B24*('Population Figures'!T24)*(1-E24)</f>
        <v>40746.674808000003</v>
      </c>
      <c r="Y24" s="92">
        <f>B24*('Population Figures'!T24)*(1-F24)</f>
        <v>40746.674808000003</v>
      </c>
      <c r="Z24" s="92">
        <f>B24*'Population Figures'!S24*(1-G24)</f>
        <v>67911.124680000008</v>
      </c>
      <c r="AA24" s="92">
        <f>B24*ABS('Population Figures'!G24-'Population Figures'!J24)*H24</f>
        <v>3936.0733488000005</v>
      </c>
      <c r="AB24" s="353" t="str">
        <f>IF('Population Figures'!H24&lt;&gt;"",B24*(ABS('Population Figures'!H24-'Population Figures'!K24))*H24,"N/A")</f>
        <v>N/A</v>
      </c>
      <c r="AC24" s="353" t="str">
        <f>IF('Population Figures'!I24&lt;&gt;"",B24*(ABS('Population Figures'!I24-'Population Figures'!L24))*H24,"N/A")</f>
        <v>N/A</v>
      </c>
      <c r="AD24" s="92">
        <f>B24*ABS('Population Figures'!G24-'Population Figures'!J24)*(1-I24)</f>
        <v>192867.59409120001</v>
      </c>
      <c r="AE24" s="353" t="str">
        <f>IF('Population Figures'!H24&lt;&gt;"",B24*(ABS('Population Figures'!H24-'Population Figures'!K24))*(1-I24),"N/A")</f>
        <v>N/A</v>
      </c>
      <c r="AF24" s="353" t="str">
        <f>IF('Population Figures'!I24&lt;&gt;"",B24*(ABS('Population Figures'!I24-'Population Figures'!L24))*(1-I24),"N/A")</f>
        <v>N/A</v>
      </c>
      <c r="AG24" s="92">
        <f>B24*('Population Figures'!P24)*J24</f>
        <v>1122.6124691999999</v>
      </c>
      <c r="AH24" s="353" t="str">
        <f>IF('Population Figures'!Q24&lt;&gt;"",B24*('Population Figures'!Q24)*J24,"N/A")</f>
        <v>N/A</v>
      </c>
      <c r="AI24" s="353" t="str">
        <f>IF('Population Figures'!R24&lt;&gt;"",B24*('Population Figures'!R24)*J24,"N/A")</f>
        <v>N/A</v>
      </c>
      <c r="AJ24" s="92">
        <f>B24*'Population Figures'!S24*K24</f>
        <v>1039.4559900000002</v>
      </c>
      <c r="AK24" s="92">
        <f>(C24-D24)*(B24*'Population Figures'!G24)*'Population Figures'!$C$6</f>
        <v>0</v>
      </c>
      <c r="AL24" s="353" t="str">
        <f>IF('Population Figures'!V24&lt;&gt;"",B24*'Population Figures'!V24*L24,"N/A")</f>
        <v>N/A</v>
      </c>
      <c r="AM24" s="353" t="str">
        <f>IF('Population Figures'!W24&lt;&gt;"",B24*'Population Figures'!W24*L24,"N/A")</f>
        <v>N/A</v>
      </c>
      <c r="AN24" s="92">
        <f>B24*ABS('Population Figures'!G24-'Population Figures'!J24)*(1-M24)</f>
        <v>193851.61242840003</v>
      </c>
      <c r="AO24" s="353" t="str">
        <f>IF('Population Figures'!H24&lt;&gt;"",B24*(ABS('Population Figures'!H24-'Population Figures'!K24))*(1-M24),"N/A")</f>
        <v>N/A</v>
      </c>
      <c r="AP24" s="353" t="str">
        <f>IF('Population Figures'!I24&lt;&gt;"",B24*(ABS('Population Figures'!I24-'Population Figures'!L24))*(1-M24),"N/A")</f>
        <v>N/A</v>
      </c>
      <c r="AQ24" s="92">
        <f>B24*ABS('Population Figures'!G24-'Population Figures'!J24)*(1-N24)</f>
        <v>193851.61242840003</v>
      </c>
      <c r="AR24" s="353" t="str">
        <f>IF('Population Figures'!H24&lt;&gt;"",B24*(ABS('Population Figures'!H24-'Population Figures'!K24))*(1-N24),"N/A")</f>
        <v>N/A</v>
      </c>
      <c r="AS24" s="353" t="str">
        <f>IF('Population Figures'!I24&lt;&gt;"",B24*(ABS('Population Figures'!I24-'Population Figures'!L24))*(1-N24),"N/A")</f>
        <v>N/A</v>
      </c>
      <c r="AT24" s="92"/>
      <c r="AU24" s="8"/>
      <c r="AV24" s="8"/>
      <c r="AW24" s="8"/>
      <c r="AX24" s="8"/>
      <c r="AY24" s="8"/>
      <c r="AZ24" s="8"/>
      <c r="BA24" s="8"/>
      <c r="BB24" s="8"/>
      <c r="BC24" s="8"/>
      <c r="BD24" s="8"/>
      <c r="BE24" s="8"/>
      <c r="BF24" s="8"/>
      <c r="BG24" s="8"/>
      <c r="BH24" s="8"/>
      <c r="BI24" s="8"/>
      <c r="BJ24" s="8"/>
      <c r="BK24" s="8"/>
      <c r="BL24" s="8"/>
      <c r="BM24" s="8"/>
      <c r="BN24" s="8"/>
      <c r="BO24" s="8"/>
      <c r="BP24" s="8"/>
    </row>
    <row r="25" spans="1:68" s="9" customFormat="1" ht="15" x14ac:dyDescent="0.2">
      <c r="A25" s="89" t="str">
        <f>'Population Figures'!E25</f>
        <v>Logar</v>
      </c>
      <c r="B25" s="91">
        <f>'Population Figures'!F25</f>
        <v>1219517.1000000001</v>
      </c>
      <c r="C25" s="253">
        <v>0.05</v>
      </c>
      <c r="D25" s="253">
        <v>0.01</v>
      </c>
      <c r="E25" s="253">
        <v>0.02</v>
      </c>
      <c r="F25" s="253">
        <v>0.02</v>
      </c>
      <c r="G25" s="253">
        <v>0.02</v>
      </c>
      <c r="H25" s="253">
        <v>0.02</v>
      </c>
      <c r="I25" s="253">
        <v>0.02</v>
      </c>
      <c r="J25" s="253">
        <v>1.4999999999999999E-2</v>
      </c>
      <c r="K25" s="253">
        <v>1.4999999999999999E-2</v>
      </c>
      <c r="L25" s="253">
        <v>1.4999999999999999E-2</v>
      </c>
      <c r="M25" s="253">
        <v>1.4999999999999999E-2</v>
      </c>
      <c r="N25" s="253">
        <v>1.4999999999999999E-2</v>
      </c>
      <c r="O25" s="253">
        <v>1.4999999999999999E-2</v>
      </c>
      <c r="P25" s="92">
        <f>B25*'Population Figures'!G25*'Scenario 3 - Nut. Analysis'!F24</f>
        <v>23414.728319999998</v>
      </c>
      <c r="Q25" s="353" t="str">
        <f>IF('Population Figures'!H25&lt;&gt;"", B25*ABS('Population Figures'!H25-'Population Figures'!K25)*'Scenario 3 - Nut. Analysis'!F24, "N/A")</f>
        <v>N/A</v>
      </c>
      <c r="R25" s="353" t="str">
        <f>IF('Population Figures'!I25&lt;&gt;"",B25*ABS('Population Figures'!I25-'Population Figures'!L25)*'Scenario 3 - Nut. Analysis'!F24,"N/A")</f>
        <v>N/A</v>
      </c>
      <c r="S25" s="92">
        <f>B25*'Population Figures'!T25*'Scenario 3 - Nut. Analysis'!G24</f>
        <v>4390.2615599999999</v>
      </c>
      <c r="T25" s="92">
        <f>B25*ABS('Population Figures'!G25-'Population Figures'!J25)*(1-C25)</f>
        <v>164512.85679000002</v>
      </c>
      <c r="U25" s="353" t="str">
        <f>IF('Population Figures'!H25&lt;&gt;"",B25*(ABS('Population Figures'!H25-'Population Figures'!K25))*(1-C25),"N/A")</f>
        <v>N/A</v>
      </c>
      <c r="V25" s="353" t="str">
        <f>IF('Population Figures'!I25&lt;&gt;"",B25*(ABS('Population Figures'!I25-'Population Figures'!L25)*0.9)*(1-C25),"N/A")</f>
        <v>N/A</v>
      </c>
      <c r="W25" s="92">
        <f>B25*('Population Figures'!T25)*(1-D25)</f>
        <v>36219.657869999995</v>
      </c>
      <c r="X25" s="92">
        <f>B25*('Population Figures'!T25)*(1-E25)</f>
        <v>35853.802739999999</v>
      </c>
      <c r="Y25" s="92">
        <f>B25*('Population Figures'!T25)*(1-F25)</f>
        <v>35853.802739999999</v>
      </c>
      <c r="Z25" s="92">
        <f>B25*'Population Figures'!S25*(1-G25)</f>
        <v>59756.337900000006</v>
      </c>
      <c r="AA25" s="92">
        <f>B25*ABS('Population Figures'!G25-'Population Figures'!J25)*H25</f>
        <v>3463.4285640000007</v>
      </c>
      <c r="AB25" s="353" t="str">
        <f>IF('Population Figures'!H25&lt;&gt;"",B25*(ABS('Population Figures'!H25-'Population Figures'!K25))*H25,"N/A")</f>
        <v>N/A</v>
      </c>
      <c r="AC25" s="353" t="str">
        <f>IF('Population Figures'!I25&lt;&gt;"",B25*(ABS('Population Figures'!I25-'Population Figures'!L25))*H25,"N/A")</f>
        <v>N/A</v>
      </c>
      <c r="AD25" s="92">
        <f>B25*ABS('Population Figures'!G25-'Population Figures'!J25)*(1-I25)</f>
        <v>169707.99963600002</v>
      </c>
      <c r="AE25" s="353" t="str">
        <f>IF('Population Figures'!H25&lt;&gt;"",B25*(ABS('Population Figures'!H25-'Population Figures'!K25))*(1-I25),"N/A")</f>
        <v>N/A</v>
      </c>
      <c r="AF25" s="353" t="str">
        <f>IF('Population Figures'!I25&lt;&gt;"",B25*(ABS('Population Figures'!I25-'Population Figures'!L25))*(1-I25),"N/A")</f>
        <v>N/A</v>
      </c>
      <c r="AG25" s="92">
        <f>B25*('Population Figures'!P25)*J25</f>
        <v>987.808851</v>
      </c>
      <c r="AH25" s="353" t="str">
        <f>IF('Population Figures'!Q25&lt;&gt;"",B25*('Population Figures'!Q25)*J25,"N/A")</f>
        <v>N/A</v>
      </c>
      <c r="AI25" s="353" t="str">
        <f>IF('Population Figures'!R25&lt;&gt;"",B25*('Population Figures'!R25)*J25,"N/A")</f>
        <v>N/A</v>
      </c>
      <c r="AJ25" s="92">
        <f>B25*'Population Figures'!S25*K25</f>
        <v>914.63782500000013</v>
      </c>
      <c r="AK25" s="92">
        <f>(C25-D25)*(B25*'Population Figures'!G25)*'Population Figures'!$C$6</f>
        <v>0</v>
      </c>
      <c r="AL25" s="353" t="str">
        <f>IF('Population Figures'!V25&lt;&gt;"",B25*'Population Figures'!V25*L25,"N/A")</f>
        <v>N/A</v>
      </c>
      <c r="AM25" s="353" t="str">
        <f>IF('Population Figures'!W25&lt;&gt;"",B25*'Population Figures'!W25*L25,"N/A")</f>
        <v>N/A</v>
      </c>
      <c r="AN25" s="92">
        <f>B25*ABS('Population Figures'!G25-'Population Figures'!J25)*(1-M25)</f>
        <v>170573.85677700001</v>
      </c>
      <c r="AO25" s="353" t="str">
        <f>IF('Population Figures'!H25&lt;&gt;"",B25*(ABS('Population Figures'!H25-'Population Figures'!K25))*(1-M25),"N/A")</f>
        <v>N/A</v>
      </c>
      <c r="AP25" s="353" t="str">
        <f>IF('Population Figures'!I25&lt;&gt;"",B25*(ABS('Population Figures'!I25-'Population Figures'!L25))*(1-M25),"N/A")</f>
        <v>N/A</v>
      </c>
      <c r="AQ25" s="92">
        <f>B25*ABS('Population Figures'!G25-'Population Figures'!J25)*(1-N25)</f>
        <v>170573.85677700001</v>
      </c>
      <c r="AR25" s="353" t="str">
        <f>IF('Population Figures'!H25&lt;&gt;"",B25*(ABS('Population Figures'!H25-'Population Figures'!K25))*(1-N25),"N/A")</f>
        <v>N/A</v>
      </c>
      <c r="AS25" s="353" t="str">
        <f>IF('Population Figures'!I25&lt;&gt;"",B25*(ABS('Population Figures'!I25-'Population Figures'!L25))*(1-N25),"N/A")</f>
        <v>N/A</v>
      </c>
      <c r="AT25" s="92"/>
      <c r="AU25" s="8"/>
      <c r="AV25" s="8"/>
      <c r="AW25" s="8"/>
      <c r="AX25" s="8"/>
      <c r="AY25" s="8"/>
      <c r="AZ25" s="8"/>
      <c r="BA25" s="8"/>
      <c r="BB25" s="8"/>
      <c r="BC25" s="8"/>
      <c r="BD25" s="8"/>
      <c r="BE25" s="8"/>
      <c r="BF25" s="8"/>
      <c r="BG25" s="8"/>
      <c r="BH25" s="8"/>
      <c r="BI25" s="8"/>
      <c r="BJ25" s="8"/>
      <c r="BK25" s="8"/>
      <c r="BL25" s="8"/>
      <c r="BM25" s="8"/>
      <c r="BN25" s="8"/>
      <c r="BO25" s="8"/>
      <c r="BP25" s="8"/>
    </row>
    <row r="26" spans="1:68" s="9" customFormat="1" ht="15" x14ac:dyDescent="0.2">
      <c r="A26" s="89" t="str">
        <f>'Population Figures'!E26</f>
        <v>Nangarhar</v>
      </c>
      <c r="B26" s="91">
        <f>'Population Figures'!F26</f>
        <v>4729070.88</v>
      </c>
      <c r="C26" s="253">
        <v>0.05</v>
      </c>
      <c r="D26" s="253">
        <v>0.01</v>
      </c>
      <c r="E26" s="253">
        <v>0.02</v>
      </c>
      <c r="F26" s="253">
        <v>0.02</v>
      </c>
      <c r="G26" s="253">
        <v>0.02</v>
      </c>
      <c r="H26" s="253">
        <v>0.02</v>
      </c>
      <c r="I26" s="253">
        <v>0.02</v>
      </c>
      <c r="J26" s="253">
        <v>1.4999999999999999E-2</v>
      </c>
      <c r="K26" s="253">
        <v>1.4999999999999999E-2</v>
      </c>
      <c r="L26" s="253">
        <v>1.4999999999999999E-2</v>
      </c>
      <c r="M26" s="253">
        <v>1.4999999999999999E-2</v>
      </c>
      <c r="N26" s="253">
        <v>1.4999999999999999E-2</v>
      </c>
      <c r="O26" s="253">
        <v>1.4999999999999999E-2</v>
      </c>
      <c r="P26" s="92">
        <f>B26*'Population Figures'!G26*'Scenario 3 - Nut. Analysis'!F25</f>
        <v>68098.620672000005</v>
      </c>
      <c r="Q26" s="353" t="str">
        <f>IF('Population Figures'!H26&lt;&gt;"", B26*ABS('Population Figures'!H26-'Population Figures'!K26)*'Scenario 3 - Nut. Analysis'!F25, "N/A")</f>
        <v>N/A</v>
      </c>
      <c r="R26" s="353" t="str">
        <f>IF('Population Figures'!I26&lt;&gt;"",B26*ABS('Population Figures'!I26-'Population Figures'!L26)*'Scenario 3 - Nut. Analysis'!F25,"N/A")</f>
        <v>N/A</v>
      </c>
      <c r="S26" s="92">
        <f>B26*'Population Figures'!T26*'Scenario 3 - Nut. Analysis'!G25</f>
        <v>12768.491375999998</v>
      </c>
      <c r="T26" s="92">
        <f>B26*ABS('Population Figures'!G26-'Population Figures'!J26)*(1-C26)</f>
        <v>637951.66171200003</v>
      </c>
      <c r="U26" s="353" t="str">
        <f>IF('Population Figures'!H26&lt;&gt;"",B26*(ABS('Population Figures'!H26-'Population Figures'!K26))*(1-C26),"N/A")</f>
        <v>N/A</v>
      </c>
      <c r="V26" s="353" t="str">
        <f>IF('Population Figures'!I26&lt;&gt;"",B26*(ABS('Population Figures'!I26-'Population Figures'!L26)*0.9)*(1-C26),"N/A")</f>
        <v>N/A</v>
      </c>
      <c r="W26" s="92">
        <f>B26*('Population Figures'!T26)*(1-D26)</f>
        <v>140453.40513599999</v>
      </c>
      <c r="X26" s="92">
        <f>B26*('Population Figures'!T26)*(1-E26)</f>
        <v>139034.68387199997</v>
      </c>
      <c r="Y26" s="92">
        <f>B26*('Population Figures'!T26)*(1-F26)</f>
        <v>139034.68387199997</v>
      </c>
      <c r="Z26" s="92">
        <f>B26*'Population Figures'!S26*(1-G26)</f>
        <v>231724.47311999998</v>
      </c>
      <c r="AA26" s="92">
        <f>B26*ABS('Population Figures'!G26-'Population Figures'!J26)*H26</f>
        <v>13430.561299200002</v>
      </c>
      <c r="AB26" s="353" t="str">
        <f>IF('Population Figures'!H26&lt;&gt;"",B26*(ABS('Population Figures'!H26-'Population Figures'!K26))*H26,"N/A")</f>
        <v>N/A</v>
      </c>
      <c r="AC26" s="353" t="str">
        <f>IF('Population Figures'!I26&lt;&gt;"",B26*(ABS('Population Figures'!I26-'Population Figures'!L26))*H26,"N/A")</f>
        <v>N/A</v>
      </c>
      <c r="AD26" s="92">
        <f>B26*ABS('Population Figures'!G26-'Population Figures'!J26)*(1-I26)</f>
        <v>658097.50366080005</v>
      </c>
      <c r="AE26" s="353" t="str">
        <f>IF('Population Figures'!H26&lt;&gt;"",B26*(ABS('Population Figures'!H26-'Population Figures'!K26))*(1-I26),"N/A")</f>
        <v>N/A</v>
      </c>
      <c r="AF26" s="353" t="str">
        <f>IF('Population Figures'!I26&lt;&gt;"",B26*(ABS('Population Figures'!I26-'Population Figures'!L26))*(1-I26),"N/A")</f>
        <v>N/A</v>
      </c>
      <c r="AG26" s="92">
        <f>B26*('Population Figures'!P26)*J26</f>
        <v>3830.5474127999996</v>
      </c>
      <c r="AH26" s="353" t="str">
        <f>IF('Population Figures'!Q26&lt;&gt;"",B26*('Population Figures'!Q26)*J26,"N/A")</f>
        <v>N/A</v>
      </c>
      <c r="AI26" s="353" t="str">
        <f>IF('Population Figures'!R26&lt;&gt;"",B26*('Population Figures'!R26)*J26,"N/A")</f>
        <v>N/A</v>
      </c>
      <c r="AJ26" s="92">
        <f>B26*'Population Figures'!S26*K26</f>
        <v>3546.8031599999999</v>
      </c>
      <c r="AK26" s="92">
        <f>(C26-D26)*(B26*'Population Figures'!G26)*'Population Figures'!$C$6</f>
        <v>0</v>
      </c>
      <c r="AL26" s="353" t="str">
        <f>IF('Population Figures'!V26&lt;&gt;"",B26*'Population Figures'!V26*L26,"N/A")</f>
        <v>N/A</v>
      </c>
      <c r="AM26" s="353" t="str">
        <f>IF('Population Figures'!W26&lt;&gt;"",B26*'Population Figures'!W26*L26,"N/A")</f>
        <v>N/A</v>
      </c>
      <c r="AN26" s="92">
        <f>B26*ABS('Population Figures'!G26-'Population Figures'!J26)*(1-M26)</f>
        <v>661455.14398560009</v>
      </c>
      <c r="AO26" s="353" t="str">
        <f>IF('Population Figures'!H26&lt;&gt;"",B26*(ABS('Population Figures'!H26-'Population Figures'!K26))*(1-M26),"N/A")</f>
        <v>N/A</v>
      </c>
      <c r="AP26" s="353" t="str">
        <f>IF('Population Figures'!I26&lt;&gt;"",B26*(ABS('Population Figures'!I26-'Population Figures'!L26))*(1-M26),"N/A")</f>
        <v>N/A</v>
      </c>
      <c r="AQ26" s="92">
        <f>B26*ABS('Population Figures'!G26-'Population Figures'!J26)*(1-N26)</f>
        <v>661455.14398560009</v>
      </c>
      <c r="AR26" s="353" t="str">
        <f>IF('Population Figures'!H26&lt;&gt;"",B26*(ABS('Population Figures'!H26-'Population Figures'!K26))*(1-N26),"N/A")</f>
        <v>N/A</v>
      </c>
      <c r="AS26" s="353" t="str">
        <f>IF('Population Figures'!I26&lt;&gt;"",B26*(ABS('Population Figures'!I26-'Population Figures'!L26))*(1-N26),"N/A")</f>
        <v>N/A</v>
      </c>
      <c r="AT26" s="92"/>
      <c r="AU26" s="8"/>
      <c r="AV26" s="8"/>
      <c r="AW26" s="8"/>
      <c r="AX26" s="8"/>
      <c r="AY26" s="8"/>
      <c r="AZ26" s="8"/>
      <c r="BA26" s="8"/>
      <c r="BB26" s="8"/>
      <c r="BC26" s="8"/>
      <c r="BD26" s="8"/>
      <c r="BE26" s="8"/>
      <c r="BF26" s="8"/>
      <c r="BG26" s="8"/>
      <c r="BH26" s="8"/>
      <c r="BI26" s="8"/>
      <c r="BJ26" s="8"/>
      <c r="BK26" s="8"/>
      <c r="BL26" s="8"/>
      <c r="BM26" s="8"/>
      <c r="BN26" s="8"/>
      <c r="BO26" s="8"/>
      <c r="BP26" s="8"/>
    </row>
    <row r="27" spans="1:68" s="9" customFormat="1" ht="15" x14ac:dyDescent="0.2">
      <c r="A27" s="89" t="str">
        <f>'Population Figures'!E27</f>
        <v>Nimroz</v>
      </c>
      <c r="B27" s="91">
        <f>'Population Figures'!F27</f>
        <v>513660.78</v>
      </c>
      <c r="C27" s="253">
        <v>0.05</v>
      </c>
      <c r="D27" s="253">
        <v>0.01</v>
      </c>
      <c r="E27" s="253">
        <v>0.02</v>
      </c>
      <c r="F27" s="253">
        <v>0.02</v>
      </c>
      <c r="G27" s="253">
        <v>0.02</v>
      </c>
      <c r="H27" s="253">
        <v>0.02</v>
      </c>
      <c r="I27" s="253">
        <v>0.02</v>
      </c>
      <c r="J27" s="253">
        <v>1.4999999999999999E-2</v>
      </c>
      <c r="K27" s="253">
        <v>1.4999999999999999E-2</v>
      </c>
      <c r="L27" s="253">
        <v>1.4999999999999999E-2</v>
      </c>
      <c r="M27" s="253">
        <v>1.4999999999999999E-2</v>
      </c>
      <c r="N27" s="253">
        <v>1.4999999999999999E-2</v>
      </c>
      <c r="O27" s="253">
        <v>1.4999999999999999E-2</v>
      </c>
      <c r="P27" s="92">
        <f>B27*'Population Figures'!G27*'Scenario 3 - Nut. Analysis'!F26</f>
        <v>7396.7152320000005</v>
      </c>
      <c r="Q27" s="353" t="str">
        <f>IF('Population Figures'!H27&lt;&gt;"", B27*ABS('Population Figures'!H27-'Population Figures'!K27)*'Scenario 3 - Nut. Analysis'!F26, "N/A")</f>
        <v>N/A</v>
      </c>
      <c r="R27" s="353" t="str">
        <f>IF('Population Figures'!I27&lt;&gt;"",B27*ABS('Population Figures'!I27-'Population Figures'!L27)*'Scenario 3 - Nut. Analysis'!F26,"N/A")</f>
        <v>N/A</v>
      </c>
      <c r="S27" s="92">
        <f>B27*'Population Figures'!T27*'Scenario 3 - Nut. Analysis'!G26</f>
        <v>1386.884106</v>
      </c>
      <c r="T27" s="92">
        <f>B27*ABS('Population Figures'!G27-'Population Figures'!J27)*(1-C27)</f>
        <v>69292.83922200001</v>
      </c>
      <c r="U27" s="353" t="str">
        <f>IF('Population Figures'!H27&lt;&gt;"",B27*(ABS('Population Figures'!H27-'Population Figures'!K27))*(1-C27),"N/A")</f>
        <v>N/A</v>
      </c>
      <c r="V27" s="353" t="str">
        <f>IF('Population Figures'!I27&lt;&gt;"",B27*(ABS('Population Figures'!I27-'Population Figures'!L27)*0.9)*(1-C27),"N/A")</f>
        <v>N/A</v>
      </c>
      <c r="W27" s="92">
        <f>B27*('Population Figures'!T27)*(1-D27)</f>
        <v>15255.725166</v>
      </c>
      <c r="X27" s="92">
        <f>B27*('Population Figures'!T27)*(1-E27)</f>
        <v>15101.626932000001</v>
      </c>
      <c r="Y27" s="92">
        <f>B27*('Population Figures'!T27)*(1-F27)</f>
        <v>15101.626932000001</v>
      </c>
      <c r="Z27" s="92">
        <f>B27*'Population Figures'!S27*(1-G27)</f>
        <v>25169.378220000002</v>
      </c>
      <c r="AA27" s="92">
        <f>B27*ABS('Population Figures'!G27-'Population Figures'!J27)*H27</f>
        <v>1458.7966152000004</v>
      </c>
      <c r="AB27" s="353" t="str">
        <f>IF('Population Figures'!H27&lt;&gt;"",B27*(ABS('Population Figures'!H27-'Population Figures'!K27))*H27,"N/A")</f>
        <v>N/A</v>
      </c>
      <c r="AC27" s="353" t="str">
        <f>IF('Population Figures'!I27&lt;&gt;"",B27*(ABS('Population Figures'!I27-'Population Figures'!L27))*H27,"N/A")</f>
        <v>N/A</v>
      </c>
      <c r="AD27" s="92">
        <f>B27*ABS('Population Figures'!G27-'Population Figures'!J27)*(1-I27)</f>
        <v>71481.034144800011</v>
      </c>
      <c r="AE27" s="353" t="str">
        <f>IF('Population Figures'!H27&lt;&gt;"",B27*(ABS('Population Figures'!H27-'Population Figures'!K27))*(1-I27),"N/A")</f>
        <v>N/A</v>
      </c>
      <c r="AF27" s="353" t="str">
        <f>IF('Population Figures'!I27&lt;&gt;"",B27*(ABS('Population Figures'!I27-'Population Figures'!L27))*(1-I27),"N/A")</f>
        <v>N/A</v>
      </c>
      <c r="AG27" s="92">
        <f>B27*('Population Figures'!P27)*J27</f>
        <v>416.06523179999999</v>
      </c>
      <c r="AH27" s="353" t="str">
        <f>IF('Population Figures'!Q27&lt;&gt;"",B27*('Population Figures'!Q27)*J27,"N/A")</f>
        <v>N/A</v>
      </c>
      <c r="AI27" s="353" t="str">
        <f>IF('Population Figures'!R27&lt;&gt;"",B27*('Population Figures'!R27)*J27,"N/A")</f>
        <v>N/A</v>
      </c>
      <c r="AJ27" s="92">
        <f>B27*'Population Figures'!S27*K27</f>
        <v>385.24558500000006</v>
      </c>
      <c r="AK27" s="92">
        <f>(C27-D27)*(B27*'Population Figures'!G27)*'Population Figures'!$C$6</f>
        <v>0</v>
      </c>
      <c r="AL27" s="353" t="str">
        <f>IF('Population Figures'!V27&lt;&gt;"",B27*'Population Figures'!V27*L27,"N/A")</f>
        <v>N/A</v>
      </c>
      <c r="AM27" s="353" t="str">
        <f>IF('Population Figures'!W27&lt;&gt;"",B27*'Population Figures'!W27*L27,"N/A")</f>
        <v>N/A</v>
      </c>
      <c r="AN27" s="92">
        <f>B27*ABS('Population Figures'!G27-'Population Figures'!J27)*(1-M27)</f>
        <v>71845.733298600011</v>
      </c>
      <c r="AO27" s="353" t="str">
        <f>IF('Population Figures'!H27&lt;&gt;"",B27*(ABS('Population Figures'!H27-'Population Figures'!K27))*(1-M27),"N/A")</f>
        <v>N/A</v>
      </c>
      <c r="AP27" s="353" t="str">
        <f>IF('Population Figures'!I27&lt;&gt;"",B27*(ABS('Population Figures'!I27-'Population Figures'!L27))*(1-M27),"N/A")</f>
        <v>N/A</v>
      </c>
      <c r="AQ27" s="92">
        <f>B27*ABS('Population Figures'!G27-'Population Figures'!J27)*(1-N27)</f>
        <v>71845.733298600011</v>
      </c>
      <c r="AR27" s="353" t="str">
        <f>IF('Population Figures'!H27&lt;&gt;"",B27*(ABS('Population Figures'!H27-'Population Figures'!K27))*(1-N27),"N/A")</f>
        <v>N/A</v>
      </c>
      <c r="AS27" s="353" t="str">
        <f>IF('Population Figures'!I27&lt;&gt;"",B27*(ABS('Population Figures'!I27-'Population Figures'!L27))*(1-N27),"N/A")</f>
        <v>N/A</v>
      </c>
      <c r="AT27" s="92"/>
      <c r="AU27" s="8"/>
      <c r="AV27" s="8"/>
      <c r="AW27" s="8"/>
      <c r="AX27" s="8"/>
      <c r="AY27" s="8"/>
      <c r="AZ27" s="8"/>
      <c r="BA27" s="8"/>
      <c r="BB27" s="8"/>
      <c r="BC27" s="8"/>
      <c r="BD27" s="8"/>
      <c r="BE27" s="8"/>
      <c r="BF27" s="8"/>
      <c r="BG27" s="8"/>
      <c r="BH27" s="8"/>
      <c r="BI27" s="8"/>
      <c r="BJ27" s="8"/>
      <c r="BK27" s="8"/>
      <c r="BL27" s="8"/>
      <c r="BM27" s="8"/>
      <c r="BN27" s="8"/>
      <c r="BO27" s="8"/>
      <c r="BP27" s="8"/>
    </row>
    <row r="28" spans="1:68" s="9" customFormat="1" ht="15" x14ac:dyDescent="0.2">
      <c r="A28" s="89" t="str">
        <f>'Population Figures'!E28</f>
        <v>Nuristan</v>
      </c>
      <c r="B28" s="91">
        <f>'Population Figures'!F28</f>
        <v>460196.46</v>
      </c>
      <c r="C28" s="253">
        <v>0.05</v>
      </c>
      <c r="D28" s="253">
        <v>0.01</v>
      </c>
      <c r="E28" s="253">
        <v>0.02</v>
      </c>
      <c r="F28" s="253">
        <v>0.02</v>
      </c>
      <c r="G28" s="253">
        <v>0.02</v>
      </c>
      <c r="H28" s="253">
        <v>0.02</v>
      </c>
      <c r="I28" s="253">
        <v>0.02</v>
      </c>
      <c r="J28" s="253">
        <v>1.4999999999999999E-2</v>
      </c>
      <c r="K28" s="253">
        <v>1.4999999999999999E-2</v>
      </c>
      <c r="L28" s="253">
        <v>1.4999999999999999E-2</v>
      </c>
      <c r="M28" s="253">
        <v>1.4999999999999999E-2</v>
      </c>
      <c r="N28" s="253">
        <v>1.4999999999999999E-2</v>
      </c>
      <c r="O28" s="253">
        <v>1.4999999999999999E-2</v>
      </c>
      <c r="P28" s="92">
        <f>B28*'Population Figures'!G28*'Scenario 3 - Nut. Analysis'!F27</f>
        <v>25034.687424000003</v>
      </c>
      <c r="Q28" s="353" t="str">
        <f>IF('Population Figures'!H28&lt;&gt;"", B28*ABS('Population Figures'!H28-'Population Figures'!K28)*'Scenario 3 - Nut. Analysis'!F27, "N/A")</f>
        <v>N/A</v>
      </c>
      <c r="R28" s="353" t="str">
        <f>IF('Population Figures'!I28&lt;&gt;"",B28*ABS('Population Figures'!I28-'Population Figures'!L28)*'Scenario 3 - Nut. Analysis'!F27,"N/A")</f>
        <v>N/A</v>
      </c>
      <c r="S28" s="92">
        <f>B28*'Population Figures'!T28*'Scenario 3 - Nut. Analysis'!G27</f>
        <v>4694.0038920000006</v>
      </c>
      <c r="T28" s="92">
        <f>B28*ABS('Population Figures'!G28-'Population Figures'!J28)*(1-C28)</f>
        <v>62080.502454000009</v>
      </c>
      <c r="U28" s="353" t="str">
        <f>IF('Population Figures'!H28&lt;&gt;"",B28*(ABS('Population Figures'!H28-'Population Figures'!K28))*(1-C28),"N/A")</f>
        <v>N/A</v>
      </c>
      <c r="V28" s="353" t="str">
        <f>IF('Population Figures'!I28&lt;&gt;"",B28*(ABS('Population Figures'!I28-'Population Figures'!L28)*0.9)*(1-C28),"N/A")</f>
        <v>N/A</v>
      </c>
      <c r="W28" s="92">
        <f>B28*('Population Figures'!T28)*(1-D28)</f>
        <v>13667.834862</v>
      </c>
      <c r="X28" s="92">
        <f>B28*('Population Figures'!T28)*(1-E28)</f>
        <v>13529.775924</v>
      </c>
      <c r="Y28" s="92">
        <f>B28*('Population Figures'!T28)*(1-F28)</f>
        <v>13529.775924</v>
      </c>
      <c r="Z28" s="92">
        <f>B28*'Population Figures'!S28*(1-G28)</f>
        <v>22549.626540000005</v>
      </c>
      <c r="AA28" s="92">
        <f>B28*ABS('Population Figures'!G28-'Population Figures'!J28)*H28</f>
        <v>1306.9579464000003</v>
      </c>
      <c r="AB28" s="353" t="str">
        <f>IF('Population Figures'!H28&lt;&gt;"",B28*(ABS('Population Figures'!H28-'Population Figures'!K28))*H28,"N/A")</f>
        <v>N/A</v>
      </c>
      <c r="AC28" s="353" t="str">
        <f>IF('Population Figures'!I28&lt;&gt;"",B28*(ABS('Population Figures'!I28-'Population Figures'!L28))*H28,"N/A")</f>
        <v>N/A</v>
      </c>
      <c r="AD28" s="92">
        <f>B28*ABS('Population Figures'!G28-'Population Figures'!J28)*(1-I28)</f>
        <v>64040.939373600013</v>
      </c>
      <c r="AE28" s="353" t="str">
        <f>IF('Population Figures'!H28&lt;&gt;"",B28*(ABS('Population Figures'!H28-'Population Figures'!K28))*(1-I28),"N/A")</f>
        <v>N/A</v>
      </c>
      <c r="AF28" s="353" t="str">
        <f>IF('Population Figures'!I28&lt;&gt;"",B28*(ABS('Population Figures'!I28-'Population Figures'!L28))*(1-I28),"N/A")</f>
        <v>N/A</v>
      </c>
      <c r="AG28" s="92">
        <f>B28*('Population Figures'!P28)*J28</f>
        <v>372.75913259999999</v>
      </c>
      <c r="AH28" s="353" t="str">
        <f>IF('Population Figures'!Q28&lt;&gt;"",B28*('Population Figures'!Q28)*J28,"N/A")</f>
        <v>N/A</v>
      </c>
      <c r="AI28" s="353" t="str">
        <f>IF('Population Figures'!R28&lt;&gt;"",B28*('Population Figures'!R28)*J28,"N/A")</f>
        <v>N/A</v>
      </c>
      <c r="AJ28" s="92">
        <f>B28*'Population Figures'!S28*K28</f>
        <v>345.14734500000003</v>
      </c>
      <c r="AK28" s="92">
        <f>(C28-D28)*(B28*'Population Figures'!G28)*'Population Figures'!$C$6</f>
        <v>0</v>
      </c>
      <c r="AL28" s="353" t="str">
        <f>IF('Population Figures'!V28&lt;&gt;"",B28*'Population Figures'!V28*L28,"N/A")</f>
        <v>N/A</v>
      </c>
      <c r="AM28" s="353" t="str">
        <f>IF('Population Figures'!W28&lt;&gt;"",B28*'Population Figures'!W28*L28,"N/A")</f>
        <v>N/A</v>
      </c>
      <c r="AN28" s="92">
        <f>B28*ABS('Population Figures'!G28-'Population Figures'!J28)*(1-M28)</f>
        <v>64367.678860200009</v>
      </c>
      <c r="AO28" s="353" t="str">
        <f>IF('Population Figures'!H28&lt;&gt;"",B28*(ABS('Population Figures'!H28-'Population Figures'!K28))*(1-M28),"N/A")</f>
        <v>N/A</v>
      </c>
      <c r="AP28" s="353" t="str">
        <f>IF('Population Figures'!I28&lt;&gt;"",B28*(ABS('Population Figures'!I28-'Population Figures'!L28))*(1-M28),"N/A")</f>
        <v>N/A</v>
      </c>
      <c r="AQ28" s="92">
        <f>B28*ABS('Population Figures'!G28-'Population Figures'!J28)*(1-N28)</f>
        <v>64367.678860200009</v>
      </c>
      <c r="AR28" s="353" t="str">
        <f>IF('Population Figures'!H28&lt;&gt;"",B28*(ABS('Population Figures'!H28-'Population Figures'!K28))*(1-N28),"N/A")</f>
        <v>N/A</v>
      </c>
      <c r="AS28" s="353" t="str">
        <f>IF('Population Figures'!I28&lt;&gt;"",B28*(ABS('Population Figures'!I28-'Population Figures'!L28))*(1-N28),"N/A")</f>
        <v>N/A</v>
      </c>
      <c r="AT28" s="92"/>
      <c r="AU28" s="8"/>
      <c r="AV28" s="8"/>
      <c r="AW28" s="8"/>
      <c r="AX28" s="8"/>
      <c r="AY28" s="8"/>
      <c r="AZ28" s="8"/>
      <c r="BA28" s="8"/>
      <c r="BB28" s="8"/>
      <c r="BC28" s="8"/>
      <c r="BD28" s="8"/>
      <c r="BE28" s="8"/>
      <c r="BF28" s="8"/>
      <c r="BG28" s="8"/>
      <c r="BH28" s="8"/>
      <c r="BI28" s="8"/>
      <c r="BJ28" s="8"/>
      <c r="BK28" s="8"/>
      <c r="BL28" s="8"/>
      <c r="BM28" s="8"/>
      <c r="BN28" s="8"/>
      <c r="BO28" s="8"/>
      <c r="BP28" s="8"/>
    </row>
    <row r="29" spans="1:68" s="9" customFormat="1" ht="15" x14ac:dyDescent="0.2">
      <c r="A29" s="89" t="str">
        <f>'Population Figures'!E29</f>
        <v>Paktika</v>
      </c>
      <c r="B29" s="91">
        <f>'Population Figures'!F29</f>
        <v>1352161.98</v>
      </c>
      <c r="C29" s="253">
        <v>0.05</v>
      </c>
      <c r="D29" s="253">
        <v>0.01</v>
      </c>
      <c r="E29" s="253">
        <v>0.02</v>
      </c>
      <c r="F29" s="253">
        <v>0.02</v>
      </c>
      <c r="G29" s="253">
        <v>0.02</v>
      </c>
      <c r="H29" s="253">
        <v>0.02</v>
      </c>
      <c r="I29" s="253">
        <v>0.02</v>
      </c>
      <c r="J29" s="253">
        <v>1.4999999999999999E-2</v>
      </c>
      <c r="K29" s="253">
        <v>1.4999999999999999E-2</v>
      </c>
      <c r="L29" s="253">
        <v>1.4999999999999999E-2</v>
      </c>
      <c r="M29" s="253">
        <v>1.4999999999999999E-2</v>
      </c>
      <c r="N29" s="253">
        <v>1.4999999999999999E-2</v>
      </c>
      <c r="O29" s="253">
        <v>1.4999999999999999E-2</v>
      </c>
      <c r="P29" s="92">
        <f>B29*'Population Figures'!G29*'Scenario 3 - Nut. Analysis'!F28</f>
        <v>25961.510016</v>
      </c>
      <c r="Q29" s="353" t="str">
        <f>IF('Population Figures'!H29&lt;&gt;"", B29*ABS('Population Figures'!H29-'Population Figures'!K29)*'Scenario 3 - Nut. Analysis'!F28, "N/A")</f>
        <v>N/A</v>
      </c>
      <c r="R29" s="353" t="str">
        <f>IF('Population Figures'!I29&lt;&gt;"",B29*ABS('Population Figures'!I29-'Population Figures'!L29)*'Scenario 3 - Nut. Analysis'!F28,"N/A")</f>
        <v>N/A</v>
      </c>
      <c r="S29" s="92">
        <f>B29*'Population Figures'!T29*'Scenario 3 - Nut. Analysis'!G28</f>
        <v>4867.783128</v>
      </c>
      <c r="T29" s="92">
        <f>B29*ABS('Population Figures'!G29-'Population Figures'!J29)*(1-C29)</f>
        <v>182406.651102</v>
      </c>
      <c r="U29" s="353" t="str">
        <f>IF('Population Figures'!H29&lt;&gt;"",B29*(ABS('Population Figures'!H29-'Population Figures'!K29))*(1-C29),"N/A")</f>
        <v>N/A</v>
      </c>
      <c r="V29" s="353" t="str">
        <f>IF('Population Figures'!I29&lt;&gt;"",B29*(ABS('Population Figures'!I29-'Population Figures'!L29)*0.9)*(1-C29),"N/A")</f>
        <v>N/A</v>
      </c>
      <c r="W29" s="92">
        <f>B29*('Population Figures'!T29)*(1-D29)</f>
        <v>40159.210806000003</v>
      </c>
      <c r="X29" s="92">
        <f>B29*('Population Figures'!T29)*(1-E29)</f>
        <v>39753.562211999997</v>
      </c>
      <c r="Y29" s="92">
        <f>B29*('Population Figures'!T29)*(1-F29)</f>
        <v>39753.562211999997</v>
      </c>
      <c r="Z29" s="92">
        <f>B29*'Population Figures'!S29*(1-G29)</f>
        <v>66255.937019999998</v>
      </c>
      <c r="AA29" s="92">
        <f>B29*ABS('Population Figures'!G29-'Population Figures'!J29)*H29</f>
        <v>3840.1400232000005</v>
      </c>
      <c r="AB29" s="353" t="str">
        <f>IF('Population Figures'!H29&lt;&gt;"",B29*(ABS('Population Figures'!H29-'Population Figures'!K29))*H29,"N/A")</f>
        <v>N/A</v>
      </c>
      <c r="AC29" s="353" t="str">
        <f>IF('Population Figures'!I29&lt;&gt;"",B29*(ABS('Population Figures'!I29-'Population Figures'!L29))*H29,"N/A")</f>
        <v>N/A</v>
      </c>
      <c r="AD29" s="92">
        <f>B29*ABS('Population Figures'!G29-'Population Figures'!J29)*(1-I29)</f>
        <v>188166.8611368</v>
      </c>
      <c r="AE29" s="353" t="str">
        <f>IF('Population Figures'!H29&lt;&gt;"",B29*(ABS('Population Figures'!H29-'Population Figures'!K29))*(1-I29),"N/A")</f>
        <v>N/A</v>
      </c>
      <c r="AF29" s="353" t="str">
        <f>IF('Population Figures'!I29&lt;&gt;"",B29*(ABS('Population Figures'!I29-'Population Figures'!L29))*(1-I29),"N/A")</f>
        <v>N/A</v>
      </c>
      <c r="AG29" s="92">
        <f>B29*('Population Figures'!P29)*J29</f>
        <v>1095.2512038</v>
      </c>
      <c r="AH29" s="353" t="str">
        <f>IF('Population Figures'!Q29&lt;&gt;"",B29*('Population Figures'!Q29)*J29,"N/A")</f>
        <v>N/A</v>
      </c>
      <c r="AI29" s="353" t="str">
        <f>IF('Population Figures'!R29&lt;&gt;"",B29*('Population Figures'!R29)*J29,"N/A")</f>
        <v>N/A</v>
      </c>
      <c r="AJ29" s="92">
        <f>B29*'Population Figures'!S29*K29</f>
        <v>1014.121485</v>
      </c>
      <c r="AK29" s="92">
        <f>(C29-D29)*(B29*'Population Figures'!G29)*'Population Figures'!$C$6</f>
        <v>0</v>
      </c>
      <c r="AL29" s="353" t="str">
        <f>IF('Population Figures'!V29&lt;&gt;"",B29*'Population Figures'!V29*L29,"N/A")</f>
        <v>N/A</v>
      </c>
      <c r="AM29" s="353" t="str">
        <f>IF('Population Figures'!W29&lt;&gt;"",B29*'Population Figures'!W29*L29,"N/A")</f>
        <v>N/A</v>
      </c>
      <c r="AN29" s="92">
        <f>B29*ABS('Population Figures'!G29-'Population Figures'!J29)*(1-M29)</f>
        <v>189126.89614260002</v>
      </c>
      <c r="AO29" s="353" t="str">
        <f>IF('Population Figures'!H29&lt;&gt;"",B29*(ABS('Population Figures'!H29-'Population Figures'!K29))*(1-M29),"N/A")</f>
        <v>N/A</v>
      </c>
      <c r="AP29" s="353" t="str">
        <f>IF('Population Figures'!I29&lt;&gt;"",B29*(ABS('Population Figures'!I29-'Population Figures'!L29))*(1-M29),"N/A")</f>
        <v>N/A</v>
      </c>
      <c r="AQ29" s="92">
        <f>B29*ABS('Population Figures'!G29-'Population Figures'!J29)*(1-N29)</f>
        <v>189126.89614260002</v>
      </c>
      <c r="AR29" s="353" t="str">
        <f>IF('Population Figures'!H29&lt;&gt;"",B29*(ABS('Population Figures'!H29-'Population Figures'!K29))*(1-N29),"N/A")</f>
        <v>N/A</v>
      </c>
      <c r="AS29" s="353" t="str">
        <f>IF('Population Figures'!I29&lt;&gt;"",B29*(ABS('Population Figures'!I29-'Population Figures'!L29))*(1-N29),"N/A")</f>
        <v>N/A</v>
      </c>
      <c r="AT29" s="92"/>
      <c r="AU29" s="8"/>
      <c r="AV29" s="8"/>
      <c r="AW29" s="8"/>
      <c r="AX29" s="8"/>
      <c r="AY29" s="8"/>
      <c r="AZ29" s="8"/>
      <c r="BA29" s="8"/>
      <c r="BB29" s="8"/>
      <c r="BC29" s="8"/>
      <c r="BD29" s="8"/>
      <c r="BE29" s="8"/>
      <c r="BF29" s="8"/>
      <c r="BG29" s="8"/>
      <c r="BH29" s="8"/>
      <c r="BI29" s="8"/>
      <c r="BJ29" s="8"/>
      <c r="BK29" s="8"/>
      <c r="BL29" s="8"/>
      <c r="BM29" s="8"/>
      <c r="BN29" s="8"/>
      <c r="BO29" s="8"/>
      <c r="BP29" s="8"/>
    </row>
    <row r="30" spans="1:68" s="9" customFormat="1" ht="15" x14ac:dyDescent="0.2">
      <c r="A30" s="89" t="str">
        <f>'Population Figures'!E30</f>
        <v>Paktya</v>
      </c>
      <c r="B30" s="91">
        <f>'Population Figures'!F30</f>
        <v>1717272</v>
      </c>
      <c r="C30" s="253">
        <v>0.05</v>
      </c>
      <c r="D30" s="253">
        <v>0.01</v>
      </c>
      <c r="E30" s="253">
        <v>0.02</v>
      </c>
      <c r="F30" s="253">
        <v>0.02</v>
      </c>
      <c r="G30" s="253">
        <v>0.02</v>
      </c>
      <c r="H30" s="253">
        <v>0.02</v>
      </c>
      <c r="I30" s="253">
        <v>0.02</v>
      </c>
      <c r="J30" s="253">
        <v>1.4999999999999999E-2</v>
      </c>
      <c r="K30" s="253">
        <v>1.4999999999999999E-2</v>
      </c>
      <c r="L30" s="253">
        <v>1.4999999999999999E-2</v>
      </c>
      <c r="M30" s="253">
        <v>1.4999999999999999E-2</v>
      </c>
      <c r="N30" s="253">
        <v>1.4999999999999999E-2</v>
      </c>
      <c r="O30" s="253">
        <v>1.4999999999999999E-2</v>
      </c>
      <c r="P30" s="92">
        <f>B30*'Population Figures'!G30*'Scenario 3 - Nut. Analysis'!F29</f>
        <v>30223.987200000003</v>
      </c>
      <c r="Q30" s="353" t="str">
        <f>IF('Population Figures'!H30&lt;&gt;"", B30*ABS('Population Figures'!H30-'Population Figures'!K30)*'Scenario 3 - Nut. Analysis'!F29, "N/A")</f>
        <v>N/A</v>
      </c>
      <c r="R30" s="353" t="str">
        <f>IF('Population Figures'!I30&lt;&gt;"",B30*ABS('Population Figures'!I30-'Population Figures'!L30)*'Scenario 3 - Nut. Analysis'!F29,"N/A")</f>
        <v>N/A</v>
      </c>
      <c r="S30" s="92">
        <f>B30*'Population Figures'!T30*'Scenario 3 - Nut. Analysis'!G29</f>
        <v>5666.9975999999997</v>
      </c>
      <c r="T30" s="92">
        <f>B30*ABS('Population Figures'!G30-'Population Figures'!J30)*(1-C30)</f>
        <v>231659.99280000004</v>
      </c>
      <c r="U30" s="353" t="str">
        <f>IF('Population Figures'!H30&lt;&gt;"",B30*(ABS('Population Figures'!H30-'Population Figures'!K30))*(1-C30),"N/A")</f>
        <v>N/A</v>
      </c>
      <c r="V30" s="353" t="str">
        <f>IF('Population Figures'!I30&lt;&gt;"",B30*(ABS('Population Figures'!I30-'Population Figures'!L30)*0.9)*(1-C30),"N/A")</f>
        <v>N/A</v>
      </c>
      <c r="W30" s="92">
        <f>B30*('Population Figures'!T30)*(1-D30)</f>
        <v>51002.978399999993</v>
      </c>
      <c r="X30" s="92">
        <f>B30*('Population Figures'!T30)*(1-E30)</f>
        <v>50487.796799999996</v>
      </c>
      <c r="Y30" s="92">
        <f>B30*('Population Figures'!T30)*(1-F30)</f>
        <v>50487.796799999996</v>
      </c>
      <c r="Z30" s="92">
        <f>B30*'Population Figures'!S30*(1-G30)</f>
        <v>84146.328000000009</v>
      </c>
      <c r="AA30" s="92">
        <f>B30*ABS('Population Figures'!G30-'Population Figures'!J30)*H30</f>
        <v>4877.0524800000012</v>
      </c>
      <c r="AB30" s="353" t="str">
        <f>IF('Population Figures'!H30&lt;&gt;"",B30*(ABS('Population Figures'!H30-'Population Figures'!K30))*H30,"N/A")</f>
        <v>N/A</v>
      </c>
      <c r="AC30" s="353" t="str">
        <f>IF('Population Figures'!I30&lt;&gt;"",B30*(ABS('Population Figures'!I30-'Population Figures'!L30))*H30,"N/A")</f>
        <v>N/A</v>
      </c>
      <c r="AD30" s="92">
        <f>B30*ABS('Population Figures'!G30-'Population Figures'!J30)*(1-I30)</f>
        <v>238975.57152000003</v>
      </c>
      <c r="AE30" s="353" t="str">
        <f>IF('Population Figures'!H30&lt;&gt;"",B30*(ABS('Population Figures'!H30-'Population Figures'!K30))*(1-I30),"N/A")</f>
        <v>N/A</v>
      </c>
      <c r="AF30" s="353" t="str">
        <f>IF('Population Figures'!I30&lt;&gt;"",B30*(ABS('Population Figures'!I30-'Population Figures'!L30))*(1-I30),"N/A")</f>
        <v>N/A</v>
      </c>
      <c r="AG30" s="92">
        <f>B30*('Population Figures'!P30)*J30</f>
        <v>1390.9903199999999</v>
      </c>
      <c r="AH30" s="353" t="str">
        <f>IF('Population Figures'!Q30&lt;&gt;"",B30*('Population Figures'!Q30)*J30,"N/A")</f>
        <v>N/A</v>
      </c>
      <c r="AI30" s="353" t="str">
        <f>IF('Population Figures'!R30&lt;&gt;"",B30*('Population Figures'!R30)*J30,"N/A")</f>
        <v>N/A</v>
      </c>
      <c r="AJ30" s="92">
        <f>B30*'Population Figures'!S30*K30</f>
        <v>1287.954</v>
      </c>
      <c r="AK30" s="92">
        <f>(C30-D30)*(B30*'Population Figures'!G30)*'Population Figures'!$C$6</f>
        <v>0</v>
      </c>
      <c r="AL30" s="353" t="str">
        <f>IF('Population Figures'!V30&lt;&gt;"",B30*'Population Figures'!V30*L30,"N/A")</f>
        <v>N/A</v>
      </c>
      <c r="AM30" s="353" t="str">
        <f>IF('Population Figures'!W30&lt;&gt;"",B30*'Population Figures'!W30*L30,"N/A")</f>
        <v>N/A</v>
      </c>
      <c r="AN30" s="92">
        <f>B30*ABS('Population Figures'!G30-'Population Figures'!J30)*(1-M30)</f>
        <v>240194.83464000004</v>
      </c>
      <c r="AO30" s="353" t="str">
        <f>IF('Population Figures'!H30&lt;&gt;"",B30*(ABS('Population Figures'!H30-'Population Figures'!K30))*(1-M30),"N/A")</f>
        <v>N/A</v>
      </c>
      <c r="AP30" s="353" t="str">
        <f>IF('Population Figures'!I30&lt;&gt;"",B30*(ABS('Population Figures'!I30-'Population Figures'!L30))*(1-M30),"N/A")</f>
        <v>N/A</v>
      </c>
      <c r="AQ30" s="92">
        <f>B30*ABS('Population Figures'!G30-'Population Figures'!J30)*(1-N30)</f>
        <v>240194.83464000004</v>
      </c>
      <c r="AR30" s="353" t="str">
        <f>IF('Population Figures'!H30&lt;&gt;"",B30*(ABS('Population Figures'!H30-'Population Figures'!K30))*(1-N30),"N/A")</f>
        <v>N/A</v>
      </c>
      <c r="AS30" s="353" t="str">
        <f>IF('Population Figures'!I30&lt;&gt;"",B30*(ABS('Population Figures'!I30-'Population Figures'!L30))*(1-N30),"N/A")</f>
        <v>N/A</v>
      </c>
      <c r="AT30" s="92"/>
      <c r="AU30" s="8"/>
      <c r="AV30" s="8"/>
      <c r="AW30" s="8"/>
      <c r="AX30" s="8"/>
      <c r="AY30" s="8"/>
      <c r="AZ30" s="8"/>
      <c r="BA30" s="8"/>
      <c r="BB30" s="8"/>
      <c r="BC30" s="8"/>
      <c r="BD30" s="8"/>
      <c r="BE30" s="8"/>
      <c r="BF30" s="8"/>
      <c r="BG30" s="8"/>
      <c r="BH30" s="8"/>
      <c r="BI30" s="8"/>
      <c r="BJ30" s="8"/>
      <c r="BK30" s="8"/>
      <c r="BL30" s="8"/>
      <c r="BM30" s="8"/>
      <c r="BN30" s="8"/>
      <c r="BO30" s="8"/>
      <c r="BP30" s="8"/>
    </row>
    <row r="31" spans="1:68" s="9" customFormat="1" ht="15" x14ac:dyDescent="0.2">
      <c r="A31" s="89" t="str">
        <f>'Population Figures'!E31</f>
        <v>Panjsher</v>
      </c>
      <c r="B31" s="91">
        <f>'Population Figures'!F31</f>
        <v>477363.05999999994</v>
      </c>
      <c r="C31" s="253">
        <v>0.05</v>
      </c>
      <c r="D31" s="253">
        <v>0.01</v>
      </c>
      <c r="E31" s="253">
        <v>0.02</v>
      </c>
      <c r="F31" s="253">
        <v>0.02</v>
      </c>
      <c r="G31" s="253">
        <v>0.02</v>
      </c>
      <c r="H31" s="253">
        <v>0.02</v>
      </c>
      <c r="I31" s="253">
        <v>0.02</v>
      </c>
      <c r="J31" s="253">
        <v>1.4999999999999999E-2</v>
      </c>
      <c r="K31" s="253">
        <v>1.4999999999999999E-2</v>
      </c>
      <c r="L31" s="253">
        <v>1.4999999999999999E-2</v>
      </c>
      <c r="M31" s="253">
        <v>1.4999999999999999E-2</v>
      </c>
      <c r="N31" s="253">
        <v>1.4999999999999999E-2</v>
      </c>
      <c r="O31" s="253">
        <v>1.4999999999999999E-2</v>
      </c>
      <c r="P31" s="92">
        <f>B31*'Population Figures'!G31*'Scenario 3 - Nut. Analysis'!F30</f>
        <v>12984.275232</v>
      </c>
      <c r="Q31" s="353" t="str">
        <f>IF('Population Figures'!H31&lt;&gt;"", B31*ABS('Population Figures'!H31-'Population Figures'!K31)*'Scenario 3 - Nut. Analysis'!F30, "N/A")</f>
        <v>N/A</v>
      </c>
      <c r="R31" s="353" t="str">
        <f>IF('Population Figures'!I31&lt;&gt;"",B31*ABS('Population Figures'!I31-'Population Figures'!L31)*'Scenario 3 - Nut. Analysis'!F30,"N/A")</f>
        <v>N/A</v>
      </c>
      <c r="S31" s="92">
        <f>B31*'Population Figures'!T31*'Scenario 3 - Nut. Analysis'!G30</f>
        <v>2434.551606</v>
      </c>
      <c r="T31" s="92">
        <f>B31*ABS('Population Figures'!G31-'Population Figures'!J31)*(1-C31)</f>
        <v>64396.276794000005</v>
      </c>
      <c r="U31" s="353" t="str">
        <f>IF('Population Figures'!H31&lt;&gt;"",B31*(ABS('Population Figures'!H31-'Population Figures'!K31))*(1-C31),"N/A")</f>
        <v>N/A</v>
      </c>
      <c r="V31" s="353" t="str">
        <f>IF('Population Figures'!I31&lt;&gt;"",B31*(ABS('Population Figures'!I31-'Population Figures'!L31)*0.9)*(1-C31),"N/A")</f>
        <v>N/A</v>
      </c>
      <c r="W31" s="92">
        <f>B31*('Population Figures'!T31)*(1-D31)</f>
        <v>14177.682881999997</v>
      </c>
      <c r="X31" s="92">
        <f>B31*('Population Figures'!T31)*(1-E31)</f>
        <v>14034.473963999997</v>
      </c>
      <c r="Y31" s="92">
        <f>B31*('Population Figures'!T31)*(1-F31)</f>
        <v>14034.473963999997</v>
      </c>
      <c r="Z31" s="92">
        <f>B31*'Population Figures'!S31*(1-G31)</f>
        <v>23390.789939999999</v>
      </c>
      <c r="AA31" s="92">
        <f>B31*ABS('Population Figures'!G31-'Population Figures'!J31)*H31</f>
        <v>1355.7110904000001</v>
      </c>
      <c r="AB31" s="353" t="str">
        <f>IF('Population Figures'!H31&lt;&gt;"",B31*(ABS('Population Figures'!H31-'Population Figures'!K31))*H31,"N/A")</f>
        <v>N/A</v>
      </c>
      <c r="AC31" s="353" t="str">
        <f>IF('Population Figures'!I31&lt;&gt;"",B31*(ABS('Population Figures'!I31-'Population Figures'!L31))*H31,"N/A")</f>
        <v>N/A</v>
      </c>
      <c r="AD31" s="92">
        <f>B31*ABS('Population Figures'!G31-'Population Figures'!J31)*(1-I31)</f>
        <v>66429.843429600005</v>
      </c>
      <c r="AE31" s="353" t="str">
        <f>IF('Population Figures'!H31&lt;&gt;"",B31*(ABS('Population Figures'!H31-'Population Figures'!K31))*(1-I31),"N/A")</f>
        <v>N/A</v>
      </c>
      <c r="AF31" s="353" t="str">
        <f>IF('Population Figures'!I31&lt;&gt;"",B31*(ABS('Population Figures'!I31-'Population Figures'!L31))*(1-I31),"N/A")</f>
        <v>N/A</v>
      </c>
      <c r="AG31" s="92">
        <f>B31*('Population Figures'!P31)*J31</f>
        <v>386.66407859999993</v>
      </c>
      <c r="AH31" s="353" t="str">
        <f>IF('Population Figures'!Q31&lt;&gt;"",B31*('Population Figures'!Q31)*J31,"N/A")</f>
        <v>N/A</v>
      </c>
      <c r="AI31" s="353" t="str">
        <f>IF('Population Figures'!R31&lt;&gt;"",B31*('Population Figures'!R31)*J31,"N/A")</f>
        <v>N/A</v>
      </c>
      <c r="AJ31" s="92">
        <f>B31*'Population Figures'!S31*K31</f>
        <v>358.02229499999999</v>
      </c>
      <c r="AK31" s="92">
        <f>(C31-D31)*(B31*'Population Figures'!G31)*'Population Figures'!$C$6</f>
        <v>0</v>
      </c>
      <c r="AL31" s="353" t="str">
        <f>IF('Population Figures'!V31&lt;&gt;"",B31*'Population Figures'!V31*L31,"N/A")</f>
        <v>N/A</v>
      </c>
      <c r="AM31" s="353" t="str">
        <f>IF('Population Figures'!W31&lt;&gt;"",B31*'Population Figures'!W31*L31,"N/A")</f>
        <v>N/A</v>
      </c>
      <c r="AN31" s="92">
        <f>B31*ABS('Population Figures'!G31-'Population Figures'!J31)*(1-M31)</f>
        <v>66768.771202200005</v>
      </c>
      <c r="AO31" s="353" t="str">
        <f>IF('Population Figures'!H31&lt;&gt;"",B31*(ABS('Population Figures'!H31-'Population Figures'!K31))*(1-M31),"N/A")</f>
        <v>N/A</v>
      </c>
      <c r="AP31" s="353" t="str">
        <f>IF('Population Figures'!I31&lt;&gt;"",B31*(ABS('Population Figures'!I31-'Population Figures'!L31))*(1-M31),"N/A")</f>
        <v>N/A</v>
      </c>
      <c r="AQ31" s="92">
        <f>B31*ABS('Population Figures'!G31-'Population Figures'!J31)*(1-N31)</f>
        <v>66768.771202200005</v>
      </c>
      <c r="AR31" s="353" t="str">
        <f>IF('Population Figures'!H31&lt;&gt;"",B31*(ABS('Population Figures'!H31-'Population Figures'!K31))*(1-N31),"N/A")</f>
        <v>N/A</v>
      </c>
      <c r="AS31" s="353" t="str">
        <f>IF('Population Figures'!I31&lt;&gt;"",B31*(ABS('Population Figures'!I31-'Population Figures'!L31))*(1-N31),"N/A")</f>
        <v>N/A</v>
      </c>
      <c r="AT31" s="92"/>
      <c r="AU31" s="8"/>
      <c r="AV31" s="8"/>
      <c r="AW31" s="8"/>
      <c r="AX31" s="8"/>
      <c r="AY31" s="8"/>
      <c r="AZ31" s="8"/>
      <c r="BA31" s="8"/>
      <c r="BB31" s="8"/>
      <c r="BC31" s="8"/>
      <c r="BD31" s="8"/>
      <c r="BE31" s="8"/>
      <c r="BF31" s="8"/>
      <c r="BG31" s="8"/>
      <c r="BH31" s="8"/>
      <c r="BI31" s="8"/>
      <c r="BJ31" s="8"/>
      <c r="BK31" s="8"/>
      <c r="BL31" s="8"/>
      <c r="BM31" s="8"/>
      <c r="BN31" s="8"/>
      <c r="BO31" s="8"/>
      <c r="BP31" s="8"/>
    </row>
    <row r="32" spans="1:68" s="9" customFormat="1" ht="15" x14ac:dyDescent="0.2">
      <c r="A32" s="89" t="str">
        <f>'Population Figures'!E32</f>
        <v>Parwan</v>
      </c>
      <c r="B32" s="91">
        <f>'Population Figures'!F32</f>
        <v>2067932.7000000002</v>
      </c>
      <c r="C32" s="253">
        <v>0.05</v>
      </c>
      <c r="D32" s="253">
        <v>0.01</v>
      </c>
      <c r="E32" s="253">
        <v>0.02</v>
      </c>
      <c r="F32" s="253">
        <v>0.02</v>
      </c>
      <c r="G32" s="253">
        <v>0.02</v>
      </c>
      <c r="H32" s="253">
        <v>0.02</v>
      </c>
      <c r="I32" s="253">
        <v>0.02</v>
      </c>
      <c r="J32" s="253">
        <v>1.4999999999999999E-2</v>
      </c>
      <c r="K32" s="253">
        <v>1.4999999999999999E-2</v>
      </c>
      <c r="L32" s="253">
        <v>1.4999999999999999E-2</v>
      </c>
      <c r="M32" s="253">
        <v>1.4999999999999999E-2</v>
      </c>
      <c r="N32" s="253">
        <v>1.4999999999999999E-2</v>
      </c>
      <c r="O32" s="253">
        <v>1.4999999999999999E-2</v>
      </c>
      <c r="P32" s="92">
        <f>B32*'Population Figures'!G32*'Scenario 3 - Nut. Analysis'!F31</f>
        <v>19852.153920000001</v>
      </c>
      <c r="Q32" s="353" t="str">
        <f>IF('Population Figures'!H32&lt;&gt;"", B32*ABS('Population Figures'!H32-'Population Figures'!K32)*'Scenario 3 - Nut. Analysis'!F31, "N/A")</f>
        <v>N/A</v>
      </c>
      <c r="R32" s="353" t="str">
        <f>IF('Population Figures'!I32&lt;&gt;"",B32*ABS('Population Figures'!I32-'Population Figures'!L32)*'Scenario 3 - Nut. Analysis'!F31,"N/A")</f>
        <v>N/A</v>
      </c>
      <c r="S32" s="92">
        <f>B32*'Population Figures'!T32*'Scenario 3 - Nut. Analysis'!G31</f>
        <v>3722.2788599999999</v>
      </c>
      <c r="T32" s="92">
        <f>B32*ABS('Population Figures'!G32-'Population Figures'!J32)*(1-C32)</f>
        <v>278964.12123000005</v>
      </c>
      <c r="U32" s="353" t="str">
        <f>IF('Population Figures'!H32&lt;&gt;"",B32*(ABS('Population Figures'!H32-'Population Figures'!K32))*(1-C32),"N/A")</f>
        <v>N/A</v>
      </c>
      <c r="V32" s="353" t="str">
        <f>IF('Population Figures'!I32&lt;&gt;"",B32*(ABS('Population Figures'!I32-'Population Figures'!L32)*0.9)*(1-C32),"N/A")</f>
        <v>N/A</v>
      </c>
      <c r="W32" s="92">
        <f>B32*('Population Figures'!T32)*(1-D32)</f>
        <v>61417.601190000001</v>
      </c>
      <c r="X32" s="92">
        <f>B32*('Population Figures'!T32)*(1-E32)</f>
        <v>60797.221379999995</v>
      </c>
      <c r="Y32" s="92">
        <f>B32*('Population Figures'!T32)*(1-F32)</f>
        <v>60797.221379999995</v>
      </c>
      <c r="Z32" s="92">
        <f>B32*'Population Figures'!S32*(1-G32)</f>
        <v>101328.7023</v>
      </c>
      <c r="AA32" s="92">
        <f>B32*ABS('Population Figures'!G32-'Population Figures'!J32)*H32</f>
        <v>5872.9288680000009</v>
      </c>
      <c r="AB32" s="353" t="str">
        <f>IF('Population Figures'!H32&lt;&gt;"",B32*(ABS('Population Figures'!H32-'Population Figures'!K32))*H32,"N/A")</f>
        <v>N/A</v>
      </c>
      <c r="AC32" s="353" t="str">
        <f>IF('Population Figures'!I32&lt;&gt;"",B32*(ABS('Population Figures'!I32-'Population Figures'!L32))*H32,"N/A")</f>
        <v>N/A</v>
      </c>
      <c r="AD32" s="92">
        <f>B32*ABS('Population Figures'!G32-'Population Figures'!J32)*(1-I32)</f>
        <v>287773.51453200006</v>
      </c>
      <c r="AE32" s="353" t="str">
        <f>IF('Population Figures'!H32&lt;&gt;"",B32*(ABS('Population Figures'!H32-'Population Figures'!K32))*(1-I32),"N/A")</f>
        <v>N/A</v>
      </c>
      <c r="AF32" s="353" t="str">
        <f>IF('Population Figures'!I32&lt;&gt;"",B32*(ABS('Population Figures'!I32-'Population Figures'!L32))*(1-I32),"N/A")</f>
        <v>N/A</v>
      </c>
      <c r="AG32" s="92">
        <f>B32*('Population Figures'!P32)*J32</f>
        <v>1675.0254870000001</v>
      </c>
      <c r="AH32" s="353" t="str">
        <f>IF('Population Figures'!Q32&lt;&gt;"",B32*('Population Figures'!Q32)*J32,"N/A")</f>
        <v>N/A</v>
      </c>
      <c r="AI32" s="353" t="str">
        <f>IF('Population Figures'!R32&lt;&gt;"",B32*('Population Figures'!R32)*J32,"N/A")</f>
        <v>N/A</v>
      </c>
      <c r="AJ32" s="92">
        <f>B32*'Population Figures'!S32*K32</f>
        <v>1550.949525</v>
      </c>
      <c r="AK32" s="92">
        <f>(C32-D32)*(B32*'Population Figures'!G32)*'Population Figures'!$C$6</f>
        <v>0</v>
      </c>
      <c r="AL32" s="353" t="str">
        <f>IF('Population Figures'!V32&lt;&gt;"",B32*'Population Figures'!V32*L32,"N/A")</f>
        <v>N/A</v>
      </c>
      <c r="AM32" s="353" t="str">
        <f>IF('Population Figures'!W32&lt;&gt;"",B32*'Population Figures'!W32*L32,"N/A")</f>
        <v>N/A</v>
      </c>
      <c r="AN32" s="92">
        <f>B32*ABS('Population Figures'!G32-'Population Figures'!J32)*(1-M32)</f>
        <v>289241.74674900004</v>
      </c>
      <c r="AO32" s="353" t="str">
        <f>IF('Population Figures'!H32&lt;&gt;"",B32*(ABS('Population Figures'!H32-'Population Figures'!K32))*(1-M32),"N/A")</f>
        <v>N/A</v>
      </c>
      <c r="AP32" s="353" t="str">
        <f>IF('Population Figures'!I32&lt;&gt;"",B32*(ABS('Population Figures'!I32-'Population Figures'!L32))*(1-M32),"N/A")</f>
        <v>N/A</v>
      </c>
      <c r="AQ32" s="92">
        <f>B32*ABS('Population Figures'!G32-'Population Figures'!J32)*(1-N32)</f>
        <v>289241.74674900004</v>
      </c>
      <c r="AR32" s="353" t="str">
        <f>IF('Population Figures'!H32&lt;&gt;"",B32*(ABS('Population Figures'!H32-'Population Figures'!K32))*(1-N32),"N/A")</f>
        <v>N/A</v>
      </c>
      <c r="AS32" s="353" t="str">
        <f>IF('Population Figures'!I32&lt;&gt;"",B32*(ABS('Population Figures'!I32-'Population Figures'!L32))*(1-N32),"N/A")</f>
        <v>N/A</v>
      </c>
      <c r="AT32" s="92"/>
      <c r="AU32" s="8"/>
      <c r="AV32" s="8"/>
      <c r="AW32" s="8"/>
      <c r="AX32" s="8"/>
      <c r="AY32" s="8"/>
      <c r="AZ32" s="8"/>
      <c r="BA32" s="8"/>
      <c r="BB32" s="8"/>
      <c r="BC32" s="8"/>
      <c r="BD32" s="8"/>
      <c r="BE32" s="8"/>
      <c r="BF32" s="8"/>
      <c r="BG32" s="8"/>
      <c r="BH32" s="8"/>
      <c r="BI32" s="8"/>
      <c r="BJ32" s="8"/>
      <c r="BK32" s="8"/>
      <c r="BL32" s="8"/>
      <c r="BM32" s="8"/>
      <c r="BN32" s="8"/>
      <c r="BO32" s="8"/>
      <c r="BP32" s="8"/>
    </row>
    <row r="33" spans="1:68" s="9" customFormat="1" ht="15" x14ac:dyDescent="0.2">
      <c r="A33" s="89" t="str">
        <f>'Population Figures'!E33</f>
        <v>Samangan</v>
      </c>
      <c r="B33" s="91">
        <f>'Population Figures'!F33</f>
        <v>1207130.22</v>
      </c>
      <c r="C33" s="253">
        <v>0.05</v>
      </c>
      <c r="D33" s="253">
        <v>0.01</v>
      </c>
      <c r="E33" s="253">
        <v>0.02</v>
      </c>
      <c r="F33" s="253">
        <v>0.02</v>
      </c>
      <c r="G33" s="253">
        <v>0.02</v>
      </c>
      <c r="H33" s="253">
        <v>0.02</v>
      </c>
      <c r="I33" s="253">
        <v>0.02</v>
      </c>
      <c r="J33" s="253">
        <v>1.4999999999999999E-2</v>
      </c>
      <c r="K33" s="253">
        <v>1.4999999999999999E-2</v>
      </c>
      <c r="L33" s="253">
        <v>1.4999999999999999E-2</v>
      </c>
      <c r="M33" s="253">
        <v>1.4999999999999999E-2</v>
      </c>
      <c r="N33" s="253">
        <v>1.4999999999999999E-2</v>
      </c>
      <c r="O33" s="253">
        <v>1.4999999999999999E-2</v>
      </c>
      <c r="P33" s="92">
        <f>B33*'Population Figures'!G33*'Scenario 3 - Nut. Analysis'!F32</f>
        <v>13519.858464000001</v>
      </c>
      <c r="Q33" s="353" t="str">
        <f>IF('Population Figures'!H33&lt;&gt;"", B33*ABS('Population Figures'!H33-'Population Figures'!K33)*'Scenario 3 - Nut. Analysis'!F32, "N/A")</f>
        <v>N/A</v>
      </c>
      <c r="R33" s="353" t="str">
        <f>IF('Population Figures'!I33&lt;&gt;"",B33*ABS('Population Figures'!I33-'Population Figures'!L33)*'Scenario 3 - Nut. Analysis'!F32,"N/A")</f>
        <v>N/A</v>
      </c>
      <c r="S33" s="92">
        <f>B33*'Population Figures'!T33*'Scenario 3 - Nut. Analysis'!G32</f>
        <v>2534.9734619999999</v>
      </c>
      <c r="T33" s="92">
        <f>B33*ABS('Population Figures'!G33-'Population Figures'!J33)*(1-C33)</f>
        <v>162841.86667799999</v>
      </c>
      <c r="U33" s="353" t="str">
        <f>IF('Population Figures'!H33&lt;&gt;"",B33*(ABS('Population Figures'!H33-'Population Figures'!K33))*(1-C33),"N/A")</f>
        <v>N/A</v>
      </c>
      <c r="V33" s="353" t="str">
        <f>IF('Population Figures'!I33&lt;&gt;"",B33*(ABS('Population Figures'!I33-'Population Figures'!L33)*0.9)*(1-C33),"N/A")</f>
        <v>N/A</v>
      </c>
      <c r="W33" s="92">
        <f>B33*('Population Figures'!T33)*(1-D33)</f>
        <v>35851.767533999991</v>
      </c>
      <c r="X33" s="92">
        <f>B33*('Population Figures'!T33)*(1-E33)</f>
        <v>35489.628467999995</v>
      </c>
      <c r="Y33" s="92">
        <f>B33*('Population Figures'!T33)*(1-F33)</f>
        <v>35489.628467999995</v>
      </c>
      <c r="Z33" s="92">
        <f>B33*'Population Figures'!S33*(1-G33)</f>
        <v>59149.38078</v>
      </c>
      <c r="AA33" s="92">
        <f>B33*ABS('Population Figures'!G33-'Population Figures'!J33)*H33</f>
        <v>3428.2498248000002</v>
      </c>
      <c r="AB33" s="353" t="str">
        <f>IF('Population Figures'!H33&lt;&gt;"",B33*(ABS('Population Figures'!H33-'Population Figures'!K33))*H33,"N/A")</f>
        <v>N/A</v>
      </c>
      <c r="AC33" s="353" t="str">
        <f>IF('Population Figures'!I33&lt;&gt;"",B33*(ABS('Population Figures'!I33-'Population Figures'!L33))*H33,"N/A")</f>
        <v>N/A</v>
      </c>
      <c r="AD33" s="92">
        <f>B33*ABS('Population Figures'!G33-'Population Figures'!J33)*(1-I33)</f>
        <v>167984.2414152</v>
      </c>
      <c r="AE33" s="353" t="str">
        <f>IF('Population Figures'!H33&lt;&gt;"",B33*(ABS('Population Figures'!H33-'Population Figures'!K33))*(1-I33),"N/A")</f>
        <v>N/A</v>
      </c>
      <c r="AF33" s="353" t="str">
        <f>IF('Population Figures'!I33&lt;&gt;"",B33*(ABS('Population Figures'!I33-'Population Figures'!L33))*(1-I33),"N/A")</f>
        <v>N/A</v>
      </c>
      <c r="AG33" s="92">
        <f>B33*('Population Figures'!P33)*J33</f>
        <v>977.77547819999984</v>
      </c>
      <c r="AH33" s="353" t="str">
        <f>IF('Population Figures'!Q33&lt;&gt;"",B33*('Population Figures'!Q33)*J33,"N/A")</f>
        <v>N/A</v>
      </c>
      <c r="AI33" s="353" t="str">
        <f>IF('Population Figures'!R33&lt;&gt;"",B33*('Population Figures'!R33)*J33,"N/A")</f>
        <v>N/A</v>
      </c>
      <c r="AJ33" s="92">
        <f>B33*'Population Figures'!S33*K33</f>
        <v>905.34766499999989</v>
      </c>
      <c r="AK33" s="92">
        <f>(C33-D33)*(B33*'Population Figures'!G33)*'Population Figures'!$C$6</f>
        <v>0</v>
      </c>
      <c r="AL33" s="353" t="str">
        <f>IF('Population Figures'!V33&lt;&gt;"",B33*'Population Figures'!V33*L33,"N/A")</f>
        <v>N/A</v>
      </c>
      <c r="AM33" s="353" t="str">
        <f>IF('Population Figures'!W33&lt;&gt;"",B33*'Population Figures'!W33*L33,"N/A")</f>
        <v>N/A</v>
      </c>
      <c r="AN33" s="92">
        <f>B33*ABS('Population Figures'!G33-'Population Figures'!J33)*(1-M33)</f>
        <v>168841.30387140001</v>
      </c>
      <c r="AO33" s="353" t="str">
        <f>IF('Population Figures'!H33&lt;&gt;"",B33*(ABS('Population Figures'!H33-'Population Figures'!K33))*(1-M33),"N/A")</f>
        <v>N/A</v>
      </c>
      <c r="AP33" s="353" t="str">
        <f>IF('Population Figures'!I33&lt;&gt;"",B33*(ABS('Population Figures'!I33-'Population Figures'!L33))*(1-M33),"N/A")</f>
        <v>N/A</v>
      </c>
      <c r="AQ33" s="92">
        <f>B33*ABS('Population Figures'!G33-'Population Figures'!J33)*(1-N33)</f>
        <v>168841.30387140001</v>
      </c>
      <c r="AR33" s="353" t="str">
        <f>IF('Population Figures'!H33&lt;&gt;"",B33*(ABS('Population Figures'!H33-'Population Figures'!K33))*(1-N33),"N/A")</f>
        <v>N/A</v>
      </c>
      <c r="AS33" s="353" t="str">
        <f>IF('Population Figures'!I33&lt;&gt;"",B33*(ABS('Population Figures'!I33-'Population Figures'!L33))*(1-N33),"N/A")</f>
        <v>N/A</v>
      </c>
      <c r="AT33" s="92"/>
      <c r="AU33" s="8"/>
      <c r="AV33" s="8"/>
      <c r="AW33" s="8"/>
      <c r="AX33" s="8"/>
      <c r="AY33" s="8"/>
      <c r="AZ33" s="8"/>
      <c r="BA33" s="8"/>
      <c r="BB33" s="8"/>
      <c r="BC33" s="8"/>
      <c r="BD33" s="8"/>
      <c r="BE33" s="8"/>
      <c r="BF33" s="8"/>
      <c r="BG33" s="8"/>
      <c r="BH33" s="8"/>
      <c r="BI33" s="8"/>
      <c r="BJ33" s="8"/>
      <c r="BK33" s="8"/>
      <c r="BL33" s="8"/>
      <c r="BM33" s="8"/>
      <c r="BN33" s="8"/>
      <c r="BO33" s="8"/>
      <c r="BP33" s="8"/>
    </row>
    <row r="34" spans="1:68" s="9" customFormat="1" ht="15" x14ac:dyDescent="0.2">
      <c r="A34" s="89" t="str">
        <f>'Population Figures'!E34</f>
        <v>Sar-e-Pul</v>
      </c>
      <c r="B34" s="91">
        <f>'Population Figures'!F34</f>
        <v>1741271.58</v>
      </c>
      <c r="C34" s="253">
        <v>0.05</v>
      </c>
      <c r="D34" s="253">
        <v>0.01</v>
      </c>
      <c r="E34" s="253">
        <v>0.02</v>
      </c>
      <c r="F34" s="253">
        <v>0.02</v>
      </c>
      <c r="G34" s="253">
        <v>0.02</v>
      </c>
      <c r="H34" s="253">
        <v>0.02</v>
      </c>
      <c r="I34" s="253">
        <v>0.02</v>
      </c>
      <c r="J34" s="253">
        <v>1.4999999999999999E-2</v>
      </c>
      <c r="K34" s="253">
        <v>1.4999999999999999E-2</v>
      </c>
      <c r="L34" s="253">
        <v>1.4999999999999999E-2</v>
      </c>
      <c r="M34" s="253">
        <v>1.4999999999999999E-2</v>
      </c>
      <c r="N34" s="253">
        <v>1.4999999999999999E-2</v>
      </c>
      <c r="O34" s="253">
        <v>1.4999999999999999E-2</v>
      </c>
      <c r="P34" s="92">
        <f>B34*'Population Figures'!G34*'Scenario 3 - Nut. Analysis'!F33</f>
        <v>16716.207168000001</v>
      </c>
      <c r="Q34" s="353" t="str">
        <f>IF('Population Figures'!H34&lt;&gt;"", B34*ABS('Population Figures'!H34-'Population Figures'!K34)*'Scenario 3 - Nut. Analysis'!F33, "N/A")</f>
        <v>N/A</v>
      </c>
      <c r="R34" s="353" t="str">
        <f>IF('Population Figures'!I34&lt;&gt;"",B34*ABS('Population Figures'!I34-'Population Figures'!L34)*'Scenario 3 - Nut. Analysis'!F33,"N/A")</f>
        <v>N/A</v>
      </c>
      <c r="S34" s="92">
        <f>B34*'Population Figures'!T34*'Scenario 3 - Nut. Analysis'!G33</f>
        <v>3134.2888440000002</v>
      </c>
      <c r="T34" s="92">
        <f>B34*ABS('Population Figures'!G34-'Population Figures'!J34)*(1-C34)</f>
        <v>234897.53614200003</v>
      </c>
      <c r="U34" s="353" t="str">
        <f>IF('Population Figures'!H34&lt;&gt;"",B34*(ABS('Population Figures'!H34-'Population Figures'!K34))*(1-C34),"N/A")</f>
        <v>N/A</v>
      </c>
      <c r="V34" s="353" t="str">
        <f>IF('Population Figures'!I34&lt;&gt;"",B34*(ABS('Population Figures'!I34-'Population Figures'!L34)*0.9)*(1-C34),"N/A")</f>
        <v>N/A</v>
      </c>
      <c r="W34" s="92">
        <f>B34*('Population Figures'!T34)*(1-D34)</f>
        <v>51715.765926</v>
      </c>
      <c r="X34" s="92">
        <f>B34*('Population Figures'!T34)*(1-E34)</f>
        <v>51193.384451999998</v>
      </c>
      <c r="Y34" s="92">
        <f>B34*('Population Figures'!T34)*(1-F34)</f>
        <v>51193.384451999998</v>
      </c>
      <c r="Z34" s="92">
        <f>B34*'Population Figures'!S34*(1-G34)</f>
        <v>85322.307420000012</v>
      </c>
      <c r="AA34" s="92">
        <f>B34*ABS('Population Figures'!G34-'Population Figures'!J34)*H34</f>
        <v>4945.2112872000007</v>
      </c>
      <c r="AB34" s="353" t="str">
        <f>IF('Population Figures'!H34&lt;&gt;"",B34*(ABS('Population Figures'!H34-'Population Figures'!K34))*H34,"N/A")</f>
        <v>N/A</v>
      </c>
      <c r="AC34" s="353" t="str">
        <f>IF('Population Figures'!I34&lt;&gt;"",B34*(ABS('Population Figures'!I34-'Population Figures'!L34))*H34,"N/A")</f>
        <v>N/A</v>
      </c>
      <c r="AD34" s="92">
        <f>B34*ABS('Population Figures'!G34-'Population Figures'!J34)*(1-I34)</f>
        <v>242315.35307280003</v>
      </c>
      <c r="AE34" s="353" t="str">
        <f>IF('Population Figures'!H34&lt;&gt;"",B34*(ABS('Population Figures'!H34-'Population Figures'!K34))*(1-I34),"N/A")</f>
        <v>N/A</v>
      </c>
      <c r="AF34" s="353" t="str">
        <f>IF('Population Figures'!I34&lt;&gt;"",B34*(ABS('Population Figures'!I34-'Population Figures'!L34))*(1-I34),"N/A")</f>
        <v>N/A</v>
      </c>
      <c r="AG34" s="92">
        <f>B34*('Population Figures'!P34)*J34</f>
        <v>1410.4299798</v>
      </c>
      <c r="AH34" s="353" t="str">
        <f>IF('Population Figures'!Q34&lt;&gt;"",B34*('Population Figures'!Q34)*J34,"N/A")</f>
        <v>N/A</v>
      </c>
      <c r="AI34" s="353" t="str">
        <f>IF('Population Figures'!R34&lt;&gt;"",B34*('Population Figures'!R34)*J34,"N/A")</f>
        <v>N/A</v>
      </c>
      <c r="AJ34" s="92">
        <f>B34*'Population Figures'!S34*K34</f>
        <v>1305.9536850000002</v>
      </c>
      <c r="AK34" s="92">
        <f>(C34-D34)*(B34*'Population Figures'!G34)*'Population Figures'!$C$6</f>
        <v>0</v>
      </c>
      <c r="AL34" s="353" t="str">
        <f>IF('Population Figures'!V34&lt;&gt;"",B34*'Population Figures'!V34*L34,"N/A")</f>
        <v>N/A</v>
      </c>
      <c r="AM34" s="353" t="str">
        <f>IF('Population Figures'!W34&lt;&gt;"",B34*'Population Figures'!W34*L34,"N/A")</f>
        <v>N/A</v>
      </c>
      <c r="AN34" s="92">
        <f>B34*ABS('Population Figures'!G34-'Population Figures'!J34)*(1-M34)</f>
        <v>243551.65589460003</v>
      </c>
      <c r="AO34" s="353" t="str">
        <f>IF('Population Figures'!H34&lt;&gt;"",B34*(ABS('Population Figures'!H34-'Population Figures'!K34))*(1-M34),"N/A")</f>
        <v>N/A</v>
      </c>
      <c r="AP34" s="353" t="str">
        <f>IF('Population Figures'!I34&lt;&gt;"",B34*(ABS('Population Figures'!I34-'Population Figures'!L34))*(1-M34),"N/A")</f>
        <v>N/A</v>
      </c>
      <c r="AQ34" s="92">
        <f>B34*ABS('Population Figures'!G34-'Population Figures'!J34)*(1-N34)</f>
        <v>243551.65589460003</v>
      </c>
      <c r="AR34" s="353" t="str">
        <f>IF('Population Figures'!H34&lt;&gt;"",B34*(ABS('Population Figures'!H34-'Population Figures'!K34))*(1-N34),"N/A")</f>
        <v>N/A</v>
      </c>
      <c r="AS34" s="353" t="str">
        <f>IF('Population Figures'!I34&lt;&gt;"",B34*(ABS('Population Figures'!I34-'Population Figures'!L34))*(1-N34),"N/A")</f>
        <v>N/A</v>
      </c>
      <c r="AT34" s="92"/>
      <c r="AU34" s="8"/>
      <c r="AV34" s="8"/>
      <c r="AW34" s="8"/>
      <c r="AX34" s="8"/>
      <c r="AY34" s="8"/>
      <c r="AZ34" s="8"/>
      <c r="BA34" s="8"/>
      <c r="BB34" s="8"/>
      <c r="BC34" s="8"/>
      <c r="BD34" s="8"/>
      <c r="BE34" s="8"/>
      <c r="BF34" s="8"/>
      <c r="BG34" s="8"/>
      <c r="BH34" s="8"/>
      <c r="BI34" s="8"/>
      <c r="BJ34" s="8"/>
      <c r="BK34" s="8"/>
      <c r="BL34" s="8"/>
      <c r="BM34" s="8"/>
      <c r="BN34" s="8"/>
      <c r="BO34" s="8"/>
      <c r="BP34" s="8"/>
    </row>
    <row r="35" spans="1:68" s="9" customFormat="1" ht="15" x14ac:dyDescent="0.2">
      <c r="A35" s="89">
        <f>'Population Figures'!E35</f>
        <v>0</v>
      </c>
      <c r="B35" s="91">
        <f>'Population Figures'!F35</f>
        <v>0</v>
      </c>
      <c r="C35" s="253"/>
      <c r="D35" s="253"/>
      <c r="E35" s="253"/>
      <c r="F35" s="253"/>
      <c r="G35" s="253"/>
      <c r="H35" s="253"/>
      <c r="I35" s="253"/>
      <c r="J35" s="253"/>
      <c r="K35" s="253"/>
      <c r="L35" s="253"/>
      <c r="M35" s="253"/>
      <c r="N35" s="253"/>
      <c r="O35" s="253"/>
      <c r="P35" s="92">
        <f>B35*'Population Figures'!G35*'Scenario 3 - Nut. Analysis'!F34</f>
        <v>0</v>
      </c>
      <c r="Q35" s="353" t="str">
        <f>IF('Population Figures'!H35&lt;&gt;"", B35*ABS('Population Figures'!H35-'Population Figures'!K35)*'Scenario 3 - Nut. Analysis'!F34, "N/A")</f>
        <v>N/A</v>
      </c>
      <c r="R35" s="353" t="str">
        <f>IF('Population Figures'!I35&lt;&gt;"",B35*ABS('Population Figures'!I35-'Population Figures'!L35)*'Scenario 3 - Nut. Analysis'!F34,"N/A")</f>
        <v>N/A</v>
      </c>
      <c r="S35" s="92">
        <f>B35*'Population Figures'!T35*'Scenario 3 - Nut. Analysis'!G34</f>
        <v>0</v>
      </c>
      <c r="T35" s="92">
        <f>B35*ABS('Population Figures'!G35-'Population Figures'!J35)*(1-C35)</f>
        <v>0</v>
      </c>
      <c r="U35" s="353" t="str">
        <f>IF('Population Figures'!H35&lt;&gt;"",B35*(ABS('Population Figures'!H35-'Population Figures'!K35))*(1-C35),"N/A")</f>
        <v>N/A</v>
      </c>
      <c r="V35" s="353" t="str">
        <f>IF('Population Figures'!I35&lt;&gt;"",B35*(ABS('Population Figures'!I35-'Population Figures'!L35)*0.9)*(1-C35),"N/A")</f>
        <v>N/A</v>
      </c>
      <c r="W35" s="92">
        <f>B35*('Population Figures'!T35)*(1-D35)</f>
        <v>0</v>
      </c>
      <c r="X35" s="92">
        <f>B35*('Population Figures'!T35)*(1-E35)</f>
        <v>0</v>
      </c>
      <c r="Y35" s="92">
        <f>B35*('Population Figures'!T35)*(1-F35)</f>
        <v>0</v>
      </c>
      <c r="Z35" s="92">
        <f>B35*'Population Figures'!S35*(1-G35)</f>
        <v>0</v>
      </c>
      <c r="AA35" s="92">
        <f>B35*ABS('Population Figures'!G35-'Population Figures'!J35)*H35</f>
        <v>0</v>
      </c>
      <c r="AB35" s="353" t="str">
        <f>IF('Population Figures'!H35&lt;&gt;"",B35*(ABS('Population Figures'!H35-'Population Figures'!K35))*H35,"N/A")</f>
        <v>N/A</v>
      </c>
      <c r="AC35" s="353" t="str">
        <f>IF('Population Figures'!I35&lt;&gt;"",B35*(ABS('Population Figures'!I35-'Population Figures'!L35))*H35,"N/A")</f>
        <v>N/A</v>
      </c>
      <c r="AD35" s="92">
        <f>B35*ABS('Population Figures'!G35-'Population Figures'!J35)*(1-I35)</f>
        <v>0</v>
      </c>
      <c r="AE35" s="353" t="str">
        <f>IF('Population Figures'!H35&lt;&gt;"",B35*(ABS('Population Figures'!H35-'Population Figures'!K35))*(1-I35),"N/A")</f>
        <v>N/A</v>
      </c>
      <c r="AF35" s="353" t="str">
        <f>IF('Population Figures'!I35&lt;&gt;"",B35*(ABS('Population Figures'!I35-'Population Figures'!L35))*(1-I35),"N/A")</f>
        <v>N/A</v>
      </c>
      <c r="AG35" s="92">
        <f>B35*('Population Figures'!P35)*J35</f>
        <v>0</v>
      </c>
      <c r="AH35" s="353" t="str">
        <f>IF('Population Figures'!Q35&lt;&gt;"",B35*('Population Figures'!Q35)*J35,"N/A")</f>
        <v>N/A</v>
      </c>
      <c r="AI35" s="353" t="str">
        <f>IF('Population Figures'!R35&lt;&gt;"",B35*('Population Figures'!R35)*J35,"N/A")</f>
        <v>N/A</v>
      </c>
      <c r="AJ35" s="92">
        <f>B35*'Population Figures'!S35*K35</f>
        <v>0</v>
      </c>
      <c r="AK35" s="92">
        <f>(C35-D35)*(B35*'Population Figures'!G35)*'Population Figures'!$C$6</f>
        <v>0</v>
      </c>
      <c r="AL35" s="353" t="str">
        <f>IF('Population Figures'!V35&lt;&gt;"",B35*'Population Figures'!V35*L35,"N/A")</f>
        <v>N/A</v>
      </c>
      <c r="AM35" s="353" t="str">
        <f>IF('Population Figures'!W35&lt;&gt;"",B35*'Population Figures'!W35*L35,"N/A")</f>
        <v>N/A</v>
      </c>
      <c r="AN35" s="92">
        <f>B35*ABS('Population Figures'!G35-'Population Figures'!J35)*(1-M35)</f>
        <v>0</v>
      </c>
      <c r="AO35" s="353" t="str">
        <f>IF('Population Figures'!H35&lt;&gt;"",B35*(ABS('Population Figures'!H35-'Population Figures'!K35))*(1-M35),"N/A")</f>
        <v>N/A</v>
      </c>
      <c r="AP35" s="353" t="str">
        <f>IF('Population Figures'!I35&lt;&gt;"",B35*(ABS('Population Figures'!I35-'Population Figures'!L35))*(1-M35),"N/A")</f>
        <v>N/A</v>
      </c>
      <c r="AQ35" s="92">
        <f>B35*ABS('Population Figures'!G35-'Population Figures'!J35)*(1-N35)</f>
        <v>0</v>
      </c>
      <c r="AR35" s="353" t="str">
        <f>IF('Population Figures'!H35&lt;&gt;"",B35*(ABS('Population Figures'!H35-'Population Figures'!K35))*(1-N35),"N/A")</f>
        <v>N/A</v>
      </c>
      <c r="AS35" s="353" t="str">
        <f>IF('Population Figures'!I35&lt;&gt;"",B35*(ABS('Population Figures'!I35-'Population Figures'!L35))*(1-N35),"N/A")</f>
        <v>N/A</v>
      </c>
      <c r="AT35" s="92"/>
      <c r="AU35" s="8"/>
      <c r="AV35" s="8"/>
      <c r="AW35" s="8"/>
      <c r="AX35" s="8"/>
      <c r="AY35" s="8"/>
      <c r="AZ35" s="8"/>
      <c r="BA35" s="8"/>
      <c r="BB35" s="8"/>
      <c r="BC35" s="8"/>
      <c r="BD35" s="8"/>
      <c r="BE35" s="8"/>
      <c r="BF35" s="8"/>
      <c r="BG35" s="8"/>
      <c r="BH35" s="8"/>
      <c r="BI35" s="8"/>
      <c r="BJ35" s="8"/>
      <c r="BK35" s="8"/>
      <c r="BL35" s="8"/>
      <c r="BM35" s="8"/>
      <c r="BN35" s="8"/>
      <c r="BO35" s="8"/>
      <c r="BP35" s="8"/>
    </row>
    <row r="36" spans="1:68" s="9" customFormat="1" ht="15" x14ac:dyDescent="0.2">
      <c r="A36" s="89">
        <f>'Population Figures'!E36</f>
        <v>0</v>
      </c>
      <c r="B36" s="91">
        <f>'Population Figures'!F36</f>
        <v>0</v>
      </c>
      <c r="C36" s="253"/>
      <c r="D36" s="253"/>
      <c r="E36" s="253"/>
      <c r="F36" s="253"/>
      <c r="G36" s="253"/>
      <c r="H36" s="253"/>
      <c r="I36" s="253"/>
      <c r="J36" s="253"/>
      <c r="K36" s="253"/>
      <c r="L36" s="253"/>
      <c r="M36" s="253"/>
      <c r="N36" s="253"/>
      <c r="O36" s="253"/>
      <c r="P36" s="92">
        <f>B36*'Population Figures'!G36*'Scenario 3 - Nut. Analysis'!F35</f>
        <v>0</v>
      </c>
      <c r="Q36" s="353" t="str">
        <f>IF('Population Figures'!H36&lt;&gt;"", B36*ABS('Population Figures'!H36-'Population Figures'!K36)*'Scenario 3 - Nut. Analysis'!F35, "N/A")</f>
        <v>N/A</v>
      </c>
      <c r="R36" s="353" t="str">
        <f>IF('Population Figures'!I36&lt;&gt;"",B36*ABS('Population Figures'!I36-'Population Figures'!L36)*'Scenario 3 - Nut. Analysis'!F35,"N/A")</f>
        <v>N/A</v>
      </c>
      <c r="S36" s="92">
        <f>B36*'Population Figures'!T36*'Scenario 3 - Nut. Analysis'!G35</f>
        <v>0</v>
      </c>
      <c r="T36" s="92">
        <f>B36*ABS('Population Figures'!G36-'Population Figures'!J36)*(1-C36)</f>
        <v>0</v>
      </c>
      <c r="U36" s="353" t="str">
        <f>IF('Population Figures'!H36&lt;&gt;"",B36*(ABS('Population Figures'!H36-'Population Figures'!K36))*(1-C36),"N/A")</f>
        <v>N/A</v>
      </c>
      <c r="V36" s="353" t="str">
        <f>IF('Population Figures'!I36&lt;&gt;"",B36*(ABS('Population Figures'!I36-'Population Figures'!L36)*0.9)*(1-C36),"N/A")</f>
        <v>N/A</v>
      </c>
      <c r="W36" s="92">
        <f>B36*('Population Figures'!T36)*(1-D36)</f>
        <v>0</v>
      </c>
      <c r="X36" s="92">
        <f>B36*('Population Figures'!T36)*(1-E36)</f>
        <v>0</v>
      </c>
      <c r="Y36" s="92">
        <f>B36*('Population Figures'!T36)*(1-F36)</f>
        <v>0</v>
      </c>
      <c r="Z36" s="92">
        <f>B36*'Population Figures'!S36*(1-G36)</f>
        <v>0</v>
      </c>
      <c r="AA36" s="92">
        <f>B36*ABS('Population Figures'!G36-'Population Figures'!J36)*H36</f>
        <v>0</v>
      </c>
      <c r="AB36" s="353" t="str">
        <f>IF('Population Figures'!H36&lt;&gt;"",B36*(ABS('Population Figures'!H36-'Population Figures'!K36))*H36,"N/A")</f>
        <v>N/A</v>
      </c>
      <c r="AC36" s="353" t="str">
        <f>IF('Population Figures'!I36&lt;&gt;"",B36*(ABS('Population Figures'!I36-'Population Figures'!L36))*H36,"N/A")</f>
        <v>N/A</v>
      </c>
      <c r="AD36" s="92">
        <f>B36*ABS('Population Figures'!G36-'Population Figures'!J36)*(1-I36)</f>
        <v>0</v>
      </c>
      <c r="AE36" s="353" t="str">
        <f>IF('Population Figures'!H36&lt;&gt;"",B36*(ABS('Population Figures'!H36-'Population Figures'!K36))*(1-I36),"N/A")</f>
        <v>N/A</v>
      </c>
      <c r="AF36" s="353" t="str">
        <f>IF('Population Figures'!I36&lt;&gt;"",B36*(ABS('Population Figures'!I36-'Population Figures'!L36))*(1-I36),"N/A")</f>
        <v>N/A</v>
      </c>
      <c r="AG36" s="92">
        <f>B36*('Population Figures'!P36)*J36</f>
        <v>0</v>
      </c>
      <c r="AH36" s="353" t="str">
        <f>IF('Population Figures'!Q36&lt;&gt;"",B36*('Population Figures'!Q36)*J36,"N/A")</f>
        <v>N/A</v>
      </c>
      <c r="AI36" s="353" t="str">
        <f>IF('Population Figures'!R36&lt;&gt;"",B36*('Population Figures'!R36)*J36,"N/A")</f>
        <v>N/A</v>
      </c>
      <c r="AJ36" s="92">
        <f>B36*'Population Figures'!S36*K36</f>
        <v>0</v>
      </c>
      <c r="AK36" s="92">
        <f>(C36-D36)*(B36*'Population Figures'!G36)*'Population Figures'!$C$6</f>
        <v>0</v>
      </c>
      <c r="AL36" s="353" t="str">
        <f>IF('Population Figures'!V36&lt;&gt;"",B36*'Population Figures'!V36*L36,"N/A")</f>
        <v>N/A</v>
      </c>
      <c r="AM36" s="353" t="str">
        <f>IF('Population Figures'!W36&lt;&gt;"",B36*'Population Figures'!W36*L36,"N/A")</f>
        <v>N/A</v>
      </c>
      <c r="AN36" s="92">
        <f>B36*ABS('Population Figures'!G36-'Population Figures'!J36)*(1-M36)</f>
        <v>0</v>
      </c>
      <c r="AO36" s="353" t="str">
        <f>IF('Population Figures'!H36&lt;&gt;"",B36*(ABS('Population Figures'!H36-'Population Figures'!K36))*(1-M36),"N/A")</f>
        <v>N/A</v>
      </c>
      <c r="AP36" s="353" t="str">
        <f>IF('Population Figures'!I36&lt;&gt;"",B36*(ABS('Population Figures'!I36-'Population Figures'!L36))*(1-M36),"N/A")</f>
        <v>N/A</v>
      </c>
      <c r="AQ36" s="92">
        <f>B36*ABS('Population Figures'!G36-'Population Figures'!J36)*(1-N36)</f>
        <v>0</v>
      </c>
      <c r="AR36" s="353" t="str">
        <f>IF('Population Figures'!H36&lt;&gt;"",B36*(ABS('Population Figures'!H36-'Population Figures'!K36))*(1-N36),"N/A")</f>
        <v>N/A</v>
      </c>
      <c r="AS36" s="353" t="str">
        <f>IF('Population Figures'!I36&lt;&gt;"",B36*(ABS('Population Figures'!I36-'Population Figures'!L36))*(1-N36),"N/A")</f>
        <v>N/A</v>
      </c>
      <c r="AT36" s="92"/>
      <c r="AU36" s="8"/>
      <c r="AV36" s="8"/>
      <c r="AW36" s="8"/>
      <c r="AX36" s="8"/>
      <c r="AY36" s="8"/>
      <c r="AZ36" s="8"/>
      <c r="BA36" s="8"/>
      <c r="BB36" s="8"/>
      <c r="BC36" s="8"/>
      <c r="BD36" s="8"/>
      <c r="BE36" s="8"/>
      <c r="BF36" s="8"/>
      <c r="BG36" s="8"/>
      <c r="BH36" s="8"/>
      <c r="BI36" s="8"/>
      <c r="BJ36" s="8"/>
      <c r="BK36" s="8"/>
      <c r="BL36" s="8"/>
      <c r="BM36" s="8"/>
      <c r="BN36" s="8"/>
      <c r="BO36" s="8"/>
      <c r="BP36" s="8"/>
    </row>
    <row r="37" spans="1:68" s="9" customFormat="1" ht="15" x14ac:dyDescent="0.2">
      <c r="A37" s="89">
        <f>'Population Figures'!E37</f>
        <v>0</v>
      </c>
      <c r="B37" s="91">
        <f>'Population Figures'!F37</f>
        <v>0</v>
      </c>
      <c r="C37" s="253"/>
      <c r="D37" s="253"/>
      <c r="E37" s="253"/>
      <c r="F37" s="253"/>
      <c r="G37" s="253"/>
      <c r="H37" s="253"/>
      <c r="I37" s="253"/>
      <c r="J37" s="253"/>
      <c r="K37" s="253"/>
      <c r="L37" s="253"/>
      <c r="M37" s="253"/>
      <c r="N37" s="253"/>
      <c r="O37" s="253"/>
      <c r="P37" s="92">
        <f>B37*'Population Figures'!G37*'Scenario 3 - Nut. Analysis'!F36</f>
        <v>0</v>
      </c>
      <c r="Q37" s="353" t="str">
        <f>IF('Population Figures'!H37&lt;&gt;"", B37*ABS('Population Figures'!H37-'Population Figures'!K37)*'Scenario 3 - Nut. Analysis'!F36, "N/A")</f>
        <v>N/A</v>
      </c>
      <c r="R37" s="353" t="str">
        <f>IF('Population Figures'!I37&lt;&gt;"",B37*ABS('Population Figures'!I37-'Population Figures'!L37)*'Scenario 3 - Nut. Analysis'!F36,"N/A")</f>
        <v>N/A</v>
      </c>
      <c r="S37" s="92">
        <f>B37*'Population Figures'!T37*'Scenario 3 - Nut. Analysis'!G36</f>
        <v>0</v>
      </c>
      <c r="T37" s="92">
        <f>B37*ABS('Population Figures'!G37-'Population Figures'!J37)*(1-C37)</f>
        <v>0</v>
      </c>
      <c r="U37" s="353" t="str">
        <f>IF('Population Figures'!H37&lt;&gt;"",B37*(ABS('Population Figures'!H37-'Population Figures'!K37))*(1-C37),"N/A")</f>
        <v>N/A</v>
      </c>
      <c r="V37" s="353" t="str">
        <f>IF('Population Figures'!I37&lt;&gt;"",B37*(ABS('Population Figures'!I37-'Population Figures'!L37)*0.9)*(1-C37),"N/A")</f>
        <v>N/A</v>
      </c>
      <c r="W37" s="92">
        <f>B37*('Population Figures'!T37)*(1-D37)</f>
        <v>0</v>
      </c>
      <c r="X37" s="92">
        <f>B37*('Population Figures'!T37)*(1-E37)</f>
        <v>0</v>
      </c>
      <c r="Y37" s="92">
        <f>B37*('Population Figures'!T37)*(1-F37)</f>
        <v>0</v>
      </c>
      <c r="Z37" s="92">
        <f>B37*'Population Figures'!S37*(1-G37)</f>
        <v>0</v>
      </c>
      <c r="AA37" s="92">
        <f>B37*ABS('Population Figures'!G37-'Population Figures'!J37)*H37</f>
        <v>0</v>
      </c>
      <c r="AB37" s="353" t="str">
        <f>IF('Population Figures'!H37&lt;&gt;"",B37*(ABS('Population Figures'!H37-'Population Figures'!K37))*H37,"N/A")</f>
        <v>N/A</v>
      </c>
      <c r="AC37" s="353" t="str">
        <f>IF('Population Figures'!I37&lt;&gt;"",B37*(ABS('Population Figures'!I37-'Population Figures'!L37))*H37,"N/A")</f>
        <v>N/A</v>
      </c>
      <c r="AD37" s="92">
        <f>B37*ABS('Population Figures'!G37-'Population Figures'!J37)*(1-I37)</f>
        <v>0</v>
      </c>
      <c r="AE37" s="353" t="str">
        <f>IF('Population Figures'!H37&lt;&gt;"",B37*(ABS('Population Figures'!H37-'Population Figures'!K37))*(1-I37),"N/A")</f>
        <v>N/A</v>
      </c>
      <c r="AF37" s="353" t="str">
        <f>IF('Population Figures'!I37&lt;&gt;"",B37*(ABS('Population Figures'!I37-'Population Figures'!L37))*(1-I37),"N/A")</f>
        <v>N/A</v>
      </c>
      <c r="AG37" s="92">
        <f>B37*('Population Figures'!P37)*J37</f>
        <v>0</v>
      </c>
      <c r="AH37" s="353" t="str">
        <f>IF('Population Figures'!Q37&lt;&gt;"",B37*('Population Figures'!Q37)*J37,"N/A")</f>
        <v>N/A</v>
      </c>
      <c r="AI37" s="353" t="str">
        <f>IF('Population Figures'!R37&lt;&gt;"",B37*('Population Figures'!R37)*J37,"N/A")</f>
        <v>N/A</v>
      </c>
      <c r="AJ37" s="92">
        <f>B37*'Population Figures'!S37*K37</f>
        <v>0</v>
      </c>
      <c r="AK37" s="92">
        <f>(C37-D37)*(B37*'Population Figures'!G37)*'Population Figures'!$C$6</f>
        <v>0</v>
      </c>
      <c r="AL37" s="353" t="str">
        <f>IF('Population Figures'!V37&lt;&gt;"",B37*'Population Figures'!V37*L37,"N/A")</f>
        <v>N/A</v>
      </c>
      <c r="AM37" s="353" t="str">
        <f>IF('Population Figures'!W37&lt;&gt;"",B37*'Population Figures'!W37*L37,"N/A")</f>
        <v>N/A</v>
      </c>
      <c r="AN37" s="92">
        <f>B37*ABS('Population Figures'!G37-'Population Figures'!J37)*(1-M37)</f>
        <v>0</v>
      </c>
      <c r="AO37" s="353" t="str">
        <f>IF('Population Figures'!H37&lt;&gt;"",B37*(ABS('Population Figures'!H37-'Population Figures'!K37))*(1-M37),"N/A")</f>
        <v>N/A</v>
      </c>
      <c r="AP37" s="353" t="str">
        <f>IF('Population Figures'!I37&lt;&gt;"",B37*(ABS('Population Figures'!I37-'Population Figures'!L37))*(1-M37),"N/A")</f>
        <v>N/A</v>
      </c>
      <c r="AQ37" s="92">
        <f>B37*ABS('Population Figures'!G37-'Population Figures'!J37)*(1-N37)</f>
        <v>0</v>
      </c>
      <c r="AR37" s="353" t="str">
        <f>IF('Population Figures'!H37&lt;&gt;"",B37*(ABS('Population Figures'!H37-'Population Figures'!K37))*(1-N37),"N/A")</f>
        <v>N/A</v>
      </c>
      <c r="AS37" s="353" t="str">
        <f>IF('Population Figures'!I37&lt;&gt;"",B37*(ABS('Population Figures'!I37-'Population Figures'!L37))*(1-N37),"N/A")</f>
        <v>N/A</v>
      </c>
      <c r="AT37" s="92"/>
      <c r="AU37" s="8"/>
      <c r="AV37" s="8"/>
      <c r="AW37" s="8"/>
      <c r="AX37" s="8"/>
      <c r="AY37" s="8"/>
      <c r="AZ37" s="8"/>
      <c r="BA37" s="8"/>
      <c r="BB37" s="8"/>
      <c r="BC37" s="8"/>
      <c r="BD37" s="8"/>
      <c r="BE37" s="8"/>
      <c r="BF37" s="8"/>
      <c r="BG37" s="8"/>
      <c r="BH37" s="8"/>
      <c r="BI37" s="8"/>
      <c r="BJ37" s="8"/>
      <c r="BK37" s="8"/>
      <c r="BL37" s="8"/>
      <c r="BM37" s="8"/>
      <c r="BN37" s="8"/>
      <c r="BO37" s="8"/>
      <c r="BP37" s="8"/>
    </row>
    <row r="38" spans="1:68" s="9" customFormat="1" ht="15" x14ac:dyDescent="0.2">
      <c r="A38" s="89">
        <f>'Population Figures'!E38</f>
        <v>0</v>
      </c>
      <c r="B38" s="91">
        <f>'Population Figures'!F38</f>
        <v>0</v>
      </c>
      <c r="C38" s="253"/>
      <c r="D38" s="253"/>
      <c r="E38" s="253"/>
      <c r="F38" s="253"/>
      <c r="G38" s="253"/>
      <c r="H38" s="253"/>
      <c r="I38" s="253"/>
      <c r="J38" s="253"/>
      <c r="K38" s="253"/>
      <c r="L38" s="253"/>
      <c r="M38" s="253"/>
      <c r="N38" s="253"/>
      <c r="O38" s="253"/>
      <c r="P38" s="92">
        <f>B38*'Population Figures'!G38*'Scenario 3 - Nut. Analysis'!F37</f>
        <v>0</v>
      </c>
      <c r="Q38" s="353" t="str">
        <f>IF('Population Figures'!H38&lt;&gt;"", B38*ABS('Population Figures'!H38-'Population Figures'!K38)*'Scenario 3 - Nut. Analysis'!F37, "N/A")</f>
        <v>N/A</v>
      </c>
      <c r="R38" s="353" t="str">
        <f>IF('Population Figures'!I38&lt;&gt;"",B38*ABS('Population Figures'!I38-'Population Figures'!L38)*'Scenario 3 - Nut. Analysis'!F37,"N/A")</f>
        <v>N/A</v>
      </c>
      <c r="S38" s="92">
        <f>B38*'Population Figures'!T38*'Scenario 3 - Nut. Analysis'!G37</f>
        <v>0</v>
      </c>
      <c r="T38" s="92">
        <f>B38*ABS('Population Figures'!G38-'Population Figures'!J38)*(1-C38)</f>
        <v>0</v>
      </c>
      <c r="U38" s="353" t="str">
        <f>IF('Population Figures'!H38&lt;&gt;"",B38*(ABS('Population Figures'!H38-'Population Figures'!K38))*(1-C38),"N/A")</f>
        <v>N/A</v>
      </c>
      <c r="V38" s="353" t="str">
        <f>IF('Population Figures'!I38&lt;&gt;"",B38*(ABS('Population Figures'!I38-'Population Figures'!L38)*0.9)*(1-C38),"N/A")</f>
        <v>N/A</v>
      </c>
      <c r="W38" s="92">
        <f>B38*('Population Figures'!T38)*(1-D38)</f>
        <v>0</v>
      </c>
      <c r="X38" s="92">
        <f>B38*('Population Figures'!T38)*(1-E38)</f>
        <v>0</v>
      </c>
      <c r="Y38" s="92">
        <f>B38*('Population Figures'!T38)*(1-F38)</f>
        <v>0</v>
      </c>
      <c r="Z38" s="92">
        <f>B38*'Population Figures'!S38*(1-G38)</f>
        <v>0</v>
      </c>
      <c r="AA38" s="92">
        <f>B38*ABS('Population Figures'!G38-'Population Figures'!J38)*H38</f>
        <v>0</v>
      </c>
      <c r="AB38" s="353" t="str">
        <f>IF('Population Figures'!H38&lt;&gt;"",B38*(ABS('Population Figures'!H38-'Population Figures'!K38))*H38,"N/A")</f>
        <v>N/A</v>
      </c>
      <c r="AC38" s="353" t="str">
        <f>IF('Population Figures'!I38&lt;&gt;"",B38*(ABS('Population Figures'!I38-'Population Figures'!L38))*H38,"N/A")</f>
        <v>N/A</v>
      </c>
      <c r="AD38" s="92">
        <f>B38*ABS('Population Figures'!G38-'Population Figures'!J38)*(1-I38)</f>
        <v>0</v>
      </c>
      <c r="AE38" s="353" t="str">
        <f>IF('Population Figures'!H38&lt;&gt;"",B38*(ABS('Population Figures'!H38-'Population Figures'!K38))*(1-I38),"N/A")</f>
        <v>N/A</v>
      </c>
      <c r="AF38" s="353" t="str">
        <f>IF('Population Figures'!I38&lt;&gt;"",B38*(ABS('Population Figures'!I38-'Population Figures'!L38))*(1-I38),"N/A")</f>
        <v>N/A</v>
      </c>
      <c r="AG38" s="92">
        <f>B38*('Population Figures'!P38)*J38</f>
        <v>0</v>
      </c>
      <c r="AH38" s="353" t="str">
        <f>IF('Population Figures'!Q38&lt;&gt;"",B38*('Population Figures'!Q38)*J38,"N/A")</f>
        <v>N/A</v>
      </c>
      <c r="AI38" s="353" t="str">
        <f>IF('Population Figures'!R38&lt;&gt;"",B38*('Population Figures'!R38)*J38,"N/A")</f>
        <v>N/A</v>
      </c>
      <c r="AJ38" s="92">
        <f>B38*'Population Figures'!S38*K38</f>
        <v>0</v>
      </c>
      <c r="AK38" s="92">
        <f>(C38-D38)*(B38*'Population Figures'!G38)*'Population Figures'!$C$6</f>
        <v>0</v>
      </c>
      <c r="AL38" s="353" t="str">
        <f>IF('Population Figures'!V38&lt;&gt;"",B38*'Population Figures'!V38*L38,"N/A")</f>
        <v>N/A</v>
      </c>
      <c r="AM38" s="353" t="str">
        <f>IF('Population Figures'!W38&lt;&gt;"",B38*'Population Figures'!W38*L38,"N/A")</f>
        <v>N/A</v>
      </c>
      <c r="AN38" s="92">
        <f>B38*ABS('Population Figures'!G38-'Population Figures'!J38)*(1-M38)</f>
        <v>0</v>
      </c>
      <c r="AO38" s="353" t="str">
        <f>IF('Population Figures'!H38&lt;&gt;"",B38*(ABS('Population Figures'!H38-'Population Figures'!K38))*(1-M38),"N/A")</f>
        <v>N/A</v>
      </c>
      <c r="AP38" s="353" t="str">
        <f>IF('Population Figures'!I38&lt;&gt;"",B38*(ABS('Population Figures'!I38-'Population Figures'!L38))*(1-M38),"N/A")</f>
        <v>N/A</v>
      </c>
      <c r="AQ38" s="92">
        <f>B38*ABS('Population Figures'!G38-'Population Figures'!J38)*(1-N38)</f>
        <v>0</v>
      </c>
      <c r="AR38" s="353" t="str">
        <f>IF('Population Figures'!H38&lt;&gt;"",B38*(ABS('Population Figures'!H38-'Population Figures'!K38))*(1-N38),"N/A")</f>
        <v>N/A</v>
      </c>
      <c r="AS38" s="353" t="str">
        <f>IF('Population Figures'!I38&lt;&gt;"",B38*(ABS('Population Figures'!I38-'Population Figures'!L38))*(1-N38),"N/A")</f>
        <v>N/A</v>
      </c>
      <c r="AT38" s="92"/>
      <c r="AU38" s="8"/>
      <c r="AV38" s="8"/>
      <c r="AW38" s="8"/>
      <c r="AX38" s="8"/>
      <c r="AY38" s="8"/>
      <c r="AZ38" s="8"/>
      <c r="BA38" s="8"/>
      <c r="BB38" s="8"/>
      <c r="BC38" s="8"/>
      <c r="BD38" s="8"/>
      <c r="BE38" s="8"/>
      <c r="BF38" s="8"/>
      <c r="BG38" s="8"/>
      <c r="BH38" s="8"/>
      <c r="BI38" s="8"/>
      <c r="BJ38" s="8"/>
      <c r="BK38" s="8"/>
      <c r="BL38" s="8"/>
      <c r="BM38" s="8"/>
      <c r="BN38" s="8"/>
      <c r="BO38" s="8"/>
      <c r="BP38" s="8"/>
    </row>
    <row r="39" spans="1:68" s="9" customFormat="1" ht="15" x14ac:dyDescent="0.2">
      <c r="A39" s="89">
        <f>'Population Figures'!E39</f>
        <v>0</v>
      </c>
      <c r="B39" s="91">
        <f>'Population Figures'!F39</f>
        <v>0</v>
      </c>
      <c r="C39" s="253"/>
      <c r="D39" s="253"/>
      <c r="E39" s="253"/>
      <c r="F39" s="253"/>
      <c r="G39" s="253"/>
      <c r="H39" s="253"/>
      <c r="I39" s="253"/>
      <c r="J39" s="253"/>
      <c r="K39" s="253"/>
      <c r="L39" s="253"/>
      <c r="M39" s="253"/>
      <c r="N39" s="253"/>
      <c r="O39" s="253"/>
      <c r="P39" s="92">
        <f>B39*'Population Figures'!G39*'Scenario 3 - Nut. Analysis'!F38</f>
        <v>0</v>
      </c>
      <c r="Q39" s="353" t="str">
        <f>IF('Population Figures'!H39&lt;&gt;"", B39*ABS('Population Figures'!H39-'Population Figures'!K39)*'Scenario 3 - Nut. Analysis'!F38, "N/A")</f>
        <v>N/A</v>
      </c>
      <c r="R39" s="353" t="str">
        <f>IF('Population Figures'!I39&lt;&gt;"",B39*ABS('Population Figures'!I39-'Population Figures'!L39)*'Scenario 3 - Nut. Analysis'!F38,"N/A")</f>
        <v>N/A</v>
      </c>
      <c r="S39" s="92">
        <f>B39*'Population Figures'!T39*'Scenario 3 - Nut. Analysis'!G38</f>
        <v>0</v>
      </c>
      <c r="T39" s="92">
        <f>B39*ABS('Population Figures'!G39-'Population Figures'!J39)*(1-C39)</f>
        <v>0</v>
      </c>
      <c r="U39" s="353" t="str">
        <f>IF('Population Figures'!H39&lt;&gt;"",B39*(ABS('Population Figures'!H39-'Population Figures'!K39))*(1-C39),"N/A")</f>
        <v>N/A</v>
      </c>
      <c r="V39" s="353" t="str">
        <f>IF('Population Figures'!I39&lt;&gt;"",B39*(ABS('Population Figures'!I39-'Population Figures'!L39)*0.9)*(1-C39),"N/A")</f>
        <v>N/A</v>
      </c>
      <c r="W39" s="92">
        <f>B39*('Population Figures'!T39)*(1-D39)</f>
        <v>0</v>
      </c>
      <c r="X39" s="92">
        <f>B39*('Population Figures'!T39)*(1-E39)</f>
        <v>0</v>
      </c>
      <c r="Y39" s="92">
        <f>B39*('Population Figures'!T39)*(1-F39)</f>
        <v>0</v>
      </c>
      <c r="Z39" s="92">
        <f>B39*'Population Figures'!S39*(1-G39)</f>
        <v>0</v>
      </c>
      <c r="AA39" s="92">
        <f>B39*ABS('Population Figures'!G39-'Population Figures'!J39)*H39</f>
        <v>0</v>
      </c>
      <c r="AB39" s="353" t="str">
        <f>IF('Population Figures'!H39&lt;&gt;"",B39*(ABS('Population Figures'!H39-'Population Figures'!K39))*H39,"N/A")</f>
        <v>N/A</v>
      </c>
      <c r="AC39" s="353" t="str">
        <f>IF('Population Figures'!I39&lt;&gt;"",B39*(ABS('Population Figures'!I39-'Population Figures'!L39))*H39,"N/A")</f>
        <v>N/A</v>
      </c>
      <c r="AD39" s="92">
        <f>B39*ABS('Population Figures'!G39-'Population Figures'!J39)*(1-I39)</f>
        <v>0</v>
      </c>
      <c r="AE39" s="353" t="str">
        <f>IF('Population Figures'!H39&lt;&gt;"",B39*(ABS('Population Figures'!H39-'Population Figures'!K39))*(1-I39),"N/A")</f>
        <v>N/A</v>
      </c>
      <c r="AF39" s="353" t="str">
        <f>IF('Population Figures'!I39&lt;&gt;"",B39*(ABS('Population Figures'!I39-'Population Figures'!L39))*(1-I39),"N/A")</f>
        <v>N/A</v>
      </c>
      <c r="AG39" s="92">
        <f>B39*('Population Figures'!P39)*J39</f>
        <v>0</v>
      </c>
      <c r="AH39" s="353" t="str">
        <f>IF('Population Figures'!Q39&lt;&gt;"",B39*('Population Figures'!Q39)*J39,"N/A")</f>
        <v>N/A</v>
      </c>
      <c r="AI39" s="353" t="str">
        <f>IF('Population Figures'!R39&lt;&gt;"",B39*('Population Figures'!R39)*J39,"N/A")</f>
        <v>N/A</v>
      </c>
      <c r="AJ39" s="92">
        <f>B39*'Population Figures'!S39*K39</f>
        <v>0</v>
      </c>
      <c r="AK39" s="92">
        <f>(C39-D39)*(B39*'Population Figures'!G39)*'Population Figures'!$C$6</f>
        <v>0</v>
      </c>
      <c r="AL39" s="353" t="str">
        <f>IF('Population Figures'!V39&lt;&gt;"",B39*'Population Figures'!V39*L39,"N/A")</f>
        <v>N/A</v>
      </c>
      <c r="AM39" s="353" t="str">
        <f>IF('Population Figures'!W39&lt;&gt;"",B39*'Population Figures'!W39*L39,"N/A")</f>
        <v>N/A</v>
      </c>
      <c r="AN39" s="92">
        <f>B39*ABS('Population Figures'!G39-'Population Figures'!J39)*(1-M39)</f>
        <v>0</v>
      </c>
      <c r="AO39" s="353" t="str">
        <f>IF('Population Figures'!H39&lt;&gt;"",B39*(ABS('Population Figures'!H39-'Population Figures'!K39))*(1-M39),"N/A")</f>
        <v>N/A</v>
      </c>
      <c r="AP39" s="353" t="str">
        <f>IF('Population Figures'!I39&lt;&gt;"",B39*(ABS('Population Figures'!I39-'Population Figures'!L39))*(1-M39),"N/A")</f>
        <v>N/A</v>
      </c>
      <c r="AQ39" s="92">
        <f>B39*ABS('Population Figures'!G39-'Population Figures'!J39)*(1-N39)</f>
        <v>0</v>
      </c>
      <c r="AR39" s="353" t="str">
        <f>IF('Population Figures'!H39&lt;&gt;"",B39*(ABS('Population Figures'!H39-'Population Figures'!K39))*(1-N39),"N/A")</f>
        <v>N/A</v>
      </c>
      <c r="AS39" s="353" t="str">
        <f>IF('Population Figures'!I39&lt;&gt;"",B39*(ABS('Population Figures'!I39-'Population Figures'!L39))*(1-N39),"N/A")</f>
        <v>N/A</v>
      </c>
      <c r="AT39" s="92"/>
      <c r="AU39" s="8"/>
      <c r="AV39" s="8"/>
      <c r="AW39" s="8"/>
      <c r="AX39" s="8"/>
      <c r="AY39" s="8"/>
      <c r="AZ39" s="8"/>
      <c r="BA39" s="8"/>
      <c r="BB39" s="8"/>
      <c r="BC39" s="8"/>
      <c r="BD39" s="8"/>
      <c r="BE39" s="8"/>
      <c r="BF39" s="8"/>
      <c r="BG39" s="8"/>
      <c r="BH39" s="8"/>
      <c r="BI39" s="8"/>
      <c r="BJ39" s="8"/>
      <c r="BK39" s="8"/>
      <c r="BL39" s="8"/>
      <c r="BM39" s="8"/>
      <c r="BN39" s="8"/>
      <c r="BO39" s="8"/>
      <c r="BP39" s="8"/>
    </row>
    <row r="40" spans="1:68" s="9" customFormat="1" ht="15" x14ac:dyDescent="0.2">
      <c r="A40" s="89">
        <f>'Population Figures'!E40</f>
        <v>0</v>
      </c>
      <c r="B40" s="91">
        <f>'Population Figures'!F40</f>
        <v>0</v>
      </c>
      <c r="C40" s="253"/>
      <c r="D40" s="253"/>
      <c r="E40" s="253"/>
      <c r="F40" s="253"/>
      <c r="G40" s="253"/>
      <c r="H40" s="253"/>
      <c r="I40" s="253"/>
      <c r="J40" s="253"/>
      <c r="K40" s="253"/>
      <c r="L40" s="253"/>
      <c r="M40" s="253"/>
      <c r="N40" s="253"/>
      <c r="O40" s="253"/>
      <c r="P40" s="92">
        <f>B40*'Population Figures'!G40*'Scenario 3 - Nut. Analysis'!F39</f>
        <v>0</v>
      </c>
      <c r="Q40" s="353" t="str">
        <f>IF('Population Figures'!H40&lt;&gt;"", B40*ABS('Population Figures'!H40-'Population Figures'!K40)*'Scenario 3 - Nut. Analysis'!F39, "N/A")</f>
        <v>N/A</v>
      </c>
      <c r="R40" s="353" t="str">
        <f>IF('Population Figures'!I40&lt;&gt;"",B40*ABS('Population Figures'!I40-'Population Figures'!L40)*'Scenario 3 - Nut. Analysis'!F39,"N/A")</f>
        <v>N/A</v>
      </c>
      <c r="S40" s="92">
        <f>B40*'Population Figures'!T40*'Scenario 3 - Nut. Analysis'!G39</f>
        <v>0</v>
      </c>
      <c r="T40" s="92">
        <f>B40*ABS('Population Figures'!G40-'Population Figures'!J40)*(1-C40)</f>
        <v>0</v>
      </c>
      <c r="U40" s="353" t="str">
        <f>IF('Population Figures'!H40&lt;&gt;"",B40*(ABS('Population Figures'!H40-'Population Figures'!K40))*(1-C40),"N/A")</f>
        <v>N/A</v>
      </c>
      <c r="V40" s="353" t="str">
        <f>IF('Population Figures'!I40&lt;&gt;"",B40*(ABS('Population Figures'!I40-'Population Figures'!L40)*0.9)*(1-C40),"N/A")</f>
        <v>N/A</v>
      </c>
      <c r="W40" s="92">
        <f>B40*('Population Figures'!T40)*(1-D40)</f>
        <v>0</v>
      </c>
      <c r="X40" s="92">
        <f>B40*('Population Figures'!T40)*(1-E40)</f>
        <v>0</v>
      </c>
      <c r="Y40" s="92">
        <f>B40*('Population Figures'!T40)*(1-F40)</f>
        <v>0</v>
      </c>
      <c r="Z40" s="92">
        <f>B40*'Population Figures'!S40*(1-G40)</f>
        <v>0</v>
      </c>
      <c r="AA40" s="92">
        <f>B40*ABS('Population Figures'!G40-'Population Figures'!J40)*H40</f>
        <v>0</v>
      </c>
      <c r="AB40" s="353" t="str">
        <f>IF('Population Figures'!H40&lt;&gt;"",B40*(ABS('Population Figures'!H40-'Population Figures'!K40))*H40,"N/A")</f>
        <v>N/A</v>
      </c>
      <c r="AC40" s="353" t="str">
        <f>IF('Population Figures'!I40&lt;&gt;"",B40*(ABS('Population Figures'!I40-'Population Figures'!L40))*H40,"N/A")</f>
        <v>N/A</v>
      </c>
      <c r="AD40" s="92">
        <f>B40*ABS('Population Figures'!G40-'Population Figures'!J40)*(1-I40)</f>
        <v>0</v>
      </c>
      <c r="AE40" s="353" t="str">
        <f>IF('Population Figures'!H40&lt;&gt;"",B40*(ABS('Population Figures'!H40-'Population Figures'!K40))*(1-I40),"N/A")</f>
        <v>N/A</v>
      </c>
      <c r="AF40" s="353" t="str">
        <f>IF('Population Figures'!I40&lt;&gt;"",B40*(ABS('Population Figures'!I40-'Population Figures'!L40))*(1-I40),"N/A")</f>
        <v>N/A</v>
      </c>
      <c r="AG40" s="92">
        <f>B40*('Population Figures'!P40)*J40</f>
        <v>0</v>
      </c>
      <c r="AH40" s="353" t="str">
        <f>IF('Population Figures'!Q40&lt;&gt;"",B40*('Population Figures'!Q40)*J40,"N/A")</f>
        <v>N/A</v>
      </c>
      <c r="AI40" s="353" t="str">
        <f>IF('Population Figures'!R40&lt;&gt;"",B40*('Population Figures'!R40)*J40,"N/A")</f>
        <v>N/A</v>
      </c>
      <c r="AJ40" s="92">
        <f>B40*'Population Figures'!S40*K40</f>
        <v>0</v>
      </c>
      <c r="AK40" s="92">
        <f>(C40-D40)*(B40*'Population Figures'!G40)*'Population Figures'!$C$6</f>
        <v>0</v>
      </c>
      <c r="AL40" s="353" t="str">
        <f>IF('Population Figures'!V40&lt;&gt;"",B40*'Population Figures'!V40*L40,"N/A")</f>
        <v>N/A</v>
      </c>
      <c r="AM40" s="353" t="str">
        <f>IF('Population Figures'!W40&lt;&gt;"",B40*'Population Figures'!W40*L40,"N/A")</f>
        <v>N/A</v>
      </c>
      <c r="AN40" s="92">
        <f>B40*ABS('Population Figures'!G40-'Population Figures'!J40)*(1-M40)</f>
        <v>0</v>
      </c>
      <c r="AO40" s="353" t="str">
        <f>IF('Population Figures'!H40&lt;&gt;"",B40*(ABS('Population Figures'!H40-'Population Figures'!K40))*(1-M40),"N/A")</f>
        <v>N/A</v>
      </c>
      <c r="AP40" s="353" t="str">
        <f>IF('Population Figures'!I40&lt;&gt;"",B40*(ABS('Population Figures'!I40-'Population Figures'!L40))*(1-M40),"N/A")</f>
        <v>N/A</v>
      </c>
      <c r="AQ40" s="92">
        <f>B40*ABS('Population Figures'!G40-'Population Figures'!J40)*(1-N40)</f>
        <v>0</v>
      </c>
      <c r="AR40" s="353" t="str">
        <f>IF('Population Figures'!H40&lt;&gt;"",B40*(ABS('Population Figures'!H40-'Population Figures'!K40))*(1-N40),"N/A")</f>
        <v>N/A</v>
      </c>
      <c r="AS40" s="353" t="str">
        <f>IF('Population Figures'!I40&lt;&gt;"",B40*(ABS('Population Figures'!I40-'Population Figures'!L40))*(1-N40),"N/A")</f>
        <v>N/A</v>
      </c>
      <c r="AT40" s="92"/>
      <c r="AU40" s="8"/>
      <c r="AV40" s="8"/>
      <c r="AW40" s="8"/>
      <c r="AX40" s="8"/>
      <c r="AY40" s="8"/>
      <c r="AZ40" s="8"/>
      <c r="BA40" s="8"/>
      <c r="BB40" s="8"/>
      <c r="BC40" s="8"/>
      <c r="BD40" s="8"/>
      <c r="BE40" s="8"/>
      <c r="BF40" s="8"/>
      <c r="BG40" s="8"/>
      <c r="BH40" s="8"/>
      <c r="BI40" s="8"/>
      <c r="BJ40" s="8"/>
      <c r="BK40" s="8"/>
      <c r="BL40" s="8"/>
      <c r="BM40" s="8"/>
      <c r="BN40" s="8"/>
      <c r="BO40" s="8"/>
      <c r="BP40" s="8"/>
    </row>
    <row r="41" spans="1:68" s="9" customFormat="1" ht="15" x14ac:dyDescent="0.2">
      <c r="A41" s="89">
        <f>'Population Figures'!E41</f>
        <v>0</v>
      </c>
      <c r="B41" s="91">
        <f>'Population Figures'!F41</f>
        <v>0</v>
      </c>
      <c r="C41" s="253"/>
      <c r="D41" s="253"/>
      <c r="E41" s="253"/>
      <c r="F41" s="253"/>
      <c r="G41" s="253"/>
      <c r="H41" s="253"/>
      <c r="I41" s="253"/>
      <c r="J41" s="253"/>
      <c r="K41" s="253"/>
      <c r="L41" s="253"/>
      <c r="M41" s="253"/>
      <c r="N41" s="253"/>
      <c r="O41" s="253"/>
      <c r="P41" s="92">
        <f>B41*'Population Figures'!G41*'Scenario 3 - Nut. Analysis'!F40</f>
        <v>0</v>
      </c>
      <c r="Q41" s="353" t="str">
        <f>IF('Population Figures'!H41&lt;&gt;"", B41*ABS('Population Figures'!H41-'Population Figures'!K41)*'Scenario 3 - Nut. Analysis'!F40, "N/A")</f>
        <v>N/A</v>
      </c>
      <c r="R41" s="353" t="str">
        <f>IF('Population Figures'!I41&lt;&gt;"",B41*ABS('Population Figures'!I41-'Population Figures'!L41)*'Scenario 3 - Nut. Analysis'!F40,"N/A")</f>
        <v>N/A</v>
      </c>
      <c r="S41" s="92">
        <f>B41*'Population Figures'!T41*'Scenario 3 - Nut. Analysis'!G40</f>
        <v>0</v>
      </c>
      <c r="T41" s="92">
        <f>B41*ABS('Population Figures'!G41-'Population Figures'!J41)*(1-C41)</f>
        <v>0</v>
      </c>
      <c r="U41" s="353" t="str">
        <f>IF('Population Figures'!H41&lt;&gt;"",B41*(ABS('Population Figures'!H41-'Population Figures'!K41))*(1-C41),"N/A")</f>
        <v>N/A</v>
      </c>
      <c r="V41" s="353" t="str">
        <f>IF('Population Figures'!I41&lt;&gt;"",B41*(ABS('Population Figures'!I41-'Population Figures'!L41)*0.9)*(1-C41),"N/A")</f>
        <v>N/A</v>
      </c>
      <c r="W41" s="92">
        <f>B41*('Population Figures'!T41)*(1-D41)</f>
        <v>0</v>
      </c>
      <c r="X41" s="92">
        <f>B41*('Population Figures'!T41)*(1-E41)</f>
        <v>0</v>
      </c>
      <c r="Y41" s="92">
        <f>B41*('Population Figures'!T41)*(1-F41)</f>
        <v>0</v>
      </c>
      <c r="Z41" s="92">
        <f>B41*'Population Figures'!S41*(1-G41)</f>
        <v>0</v>
      </c>
      <c r="AA41" s="92">
        <f>B41*ABS('Population Figures'!G41-'Population Figures'!J41)*H41</f>
        <v>0</v>
      </c>
      <c r="AB41" s="353" t="str">
        <f>IF('Population Figures'!H41&lt;&gt;"",B41*(ABS('Population Figures'!H41-'Population Figures'!K41))*H41,"N/A")</f>
        <v>N/A</v>
      </c>
      <c r="AC41" s="353" t="str">
        <f>IF('Population Figures'!I41&lt;&gt;"",B41*(ABS('Population Figures'!I41-'Population Figures'!L41))*H41,"N/A")</f>
        <v>N/A</v>
      </c>
      <c r="AD41" s="92">
        <f>B41*ABS('Population Figures'!G41-'Population Figures'!J41)*(1-I41)</f>
        <v>0</v>
      </c>
      <c r="AE41" s="353" t="str">
        <f>IF('Population Figures'!H41&lt;&gt;"",B41*(ABS('Population Figures'!H41-'Population Figures'!K41))*(1-I41),"N/A")</f>
        <v>N/A</v>
      </c>
      <c r="AF41" s="353" t="str">
        <f>IF('Population Figures'!I41&lt;&gt;"",B41*(ABS('Population Figures'!I41-'Population Figures'!L41))*(1-I41),"N/A")</f>
        <v>N/A</v>
      </c>
      <c r="AG41" s="92">
        <f>B41*('Population Figures'!P41)*J41</f>
        <v>0</v>
      </c>
      <c r="AH41" s="353" t="str">
        <f>IF('Population Figures'!Q41&lt;&gt;"",B41*('Population Figures'!Q41)*J41,"N/A")</f>
        <v>N/A</v>
      </c>
      <c r="AI41" s="353" t="str">
        <f>IF('Population Figures'!R41&lt;&gt;"",B41*('Population Figures'!R41)*J41,"N/A")</f>
        <v>N/A</v>
      </c>
      <c r="AJ41" s="92">
        <f>B41*'Population Figures'!S41*K41</f>
        <v>0</v>
      </c>
      <c r="AK41" s="92">
        <f>(C41-D41)*(B41*'Population Figures'!G41)*'Population Figures'!$C$6</f>
        <v>0</v>
      </c>
      <c r="AL41" s="353" t="str">
        <f>IF('Population Figures'!V41&lt;&gt;"",B41*'Population Figures'!V41*L41,"N/A")</f>
        <v>N/A</v>
      </c>
      <c r="AM41" s="353" t="str">
        <f>IF('Population Figures'!W41&lt;&gt;"",B41*'Population Figures'!W41*L41,"N/A")</f>
        <v>N/A</v>
      </c>
      <c r="AN41" s="92">
        <f>B41*ABS('Population Figures'!G41-'Population Figures'!J41)*(1-M41)</f>
        <v>0</v>
      </c>
      <c r="AO41" s="353" t="str">
        <f>IF('Population Figures'!H41&lt;&gt;"",B41*(ABS('Population Figures'!H41-'Population Figures'!K41))*(1-M41),"N/A")</f>
        <v>N/A</v>
      </c>
      <c r="AP41" s="353" t="str">
        <f>IF('Population Figures'!I41&lt;&gt;"",B41*(ABS('Population Figures'!I41-'Population Figures'!L41))*(1-M41),"N/A")</f>
        <v>N/A</v>
      </c>
      <c r="AQ41" s="92">
        <f>B41*ABS('Population Figures'!G41-'Population Figures'!J41)*(1-N41)</f>
        <v>0</v>
      </c>
      <c r="AR41" s="353" t="str">
        <f>IF('Population Figures'!H41&lt;&gt;"",B41*(ABS('Population Figures'!H41-'Population Figures'!K41))*(1-N41),"N/A")</f>
        <v>N/A</v>
      </c>
      <c r="AS41" s="353" t="str">
        <f>IF('Population Figures'!I41&lt;&gt;"",B41*(ABS('Population Figures'!I41-'Population Figures'!L41))*(1-N41),"N/A")</f>
        <v>N/A</v>
      </c>
      <c r="AT41" s="92"/>
      <c r="AU41" s="8"/>
      <c r="AV41" s="8"/>
      <c r="AW41" s="8"/>
      <c r="AX41" s="8"/>
      <c r="AY41" s="8"/>
      <c r="AZ41" s="8"/>
      <c r="BA41" s="8"/>
      <c r="BB41" s="8"/>
      <c r="BC41" s="8"/>
      <c r="BD41" s="8"/>
      <c r="BE41" s="8"/>
      <c r="BF41" s="8"/>
      <c r="BG41" s="8"/>
      <c r="BH41" s="8"/>
      <c r="BI41" s="8"/>
      <c r="BJ41" s="8"/>
      <c r="BK41" s="8"/>
      <c r="BL41" s="8"/>
      <c r="BM41" s="8"/>
      <c r="BN41" s="8"/>
      <c r="BO41" s="8"/>
      <c r="BP41" s="8"/>
    </row>
    <row r="42" spans="1:68" s="9" customFormat="1" ht="15" x14ac:dyDescent="0.2">
      <c r="A42" s="89">
        <f>'Population Figures'!E42</f>
        <v>0</v>
      </c>
      <c r="B42" s="91">
        <f>'Population Figures'!F42</f>
        <v>0</v>
      </c>
      <c r="C42" s="253"/>
      <c r="D42" s="253"/>
      <c r="E42" s="253"/>
      <c r="F42" s="253"/>
      <c r="G42" s="253"/>
      <c r="H42" s="253"/>
      <c r="I42" s="253"/>
      <c r="J42" s="253"/>
      <c r="K42" s="253"/>
      <c r="L42" s="253"/>
      <c r="M42" s="253"/>
      <c r="N42" s="253"/>
      <c r="O42" s="253"/>
      <c r="P42" s="92">
        <f>B42*'Population Figures'!G42*'Scenario 3 - Nut. Analysis'!F41</f>
        <v>0</v>
      </c>
      <c r="Q42" s="353" t="str">
        <f>IF('Population Figures'!H42&lt;&gt;"", B42*ABS('Population Figures'!H42-'Population Figures'!K42)*'Scenario 3 - Nut. Analysis'!F41, "N/A")</f>
        <v>N/A</v>
      </c>
      <c r="R42" s="353" t="str">
        <f>IF('Population Figures'!I42&lt;&gt;"",B42*ABS('Population Figures'!I42-'Population Figures'!L42)*'Scenario 3 - Nut. Analysis'!F41,"N/A")</f>
        <v>N/A</v>
      </c>
      <c r="S42" s="92">
        <f>B42*'Population Figures'!T42*'Scenario 3 - Nut. Analysis'!G41</f>
        <v>0</v>
      </c>
      <c r="T42" s="92">
        <f>B42*ABS('Population Figures'!G42-'Population Figures'!J42)*(1-C42)</f>
        <v>0</v>
      </c>
      <c r="U42" s="353" t="str">
        <f>IF('Population Figures'!H42&lt;&gt;"",B42*(ABS('Population Figures'!H42-'Population Figures'!K42))*(1-C42),"N/A")</f>
        <v>N/A</v>
      </c>
      <c r="V42" s="353" t="str">
        <f>IF('Population Figures'!I42&lt;&gt;"",B42*(ABS('Population Figures'!I42-'Population Figures'!L42)*0.9)*(1-C42),"N/A")</f>
        <v>N/A</v>
      </c>
      <c r="W42" s="92">
        <f>B42*('Population Figures'!T42)*(1-D42)</f>
        <v>0</v>
      </c>
      <c r="X42" s="92">
        <f>B42*('Population Figures'!T42)*(1-E42)</f>
        <v>0</v>
      </c>
      <c r="Y42" s="92">
        <f>B42*('Population Figures'!T42)*(1-F42)</f>
        <v>0</v>
      </c>
      <c r="Z42" s="92">
        <f>B42*'Population Figures'!S42*(1-G42)</f>
        <v>0</v>
      </c>
      <c r="AA42" s="92">
        <f>B42*ABS('Population Figures'!G42-'Population Figures'!J42)*H42</f>
        <v>0</v>
      </c>
      <c r="AB42" s="353" t="str">
        <f>IF('Population Figures'!H42&lt;&gt;"",B42*(ABS('Population Figures'!H42-'Population Figures'!K42))*H42,"N/A")</f>
        <v>N/A</v>
      </c>
      <c r="AC42" s="353" t="str">
        <f>IF('Population Figures'!I42&lt;&gt;"",B42*(ABS('Population Figures'!I42-'Population Figures'!L42))*H42,"N/A")</f>
        <v>N/A</v>
      </c>
      <c r="AD42" s="92">
        <f>B42*ABS('Population Figures'!G42-'Population Figures'!J42)*(1-I42)</f>
        <v>0</v>
      </c>
      <c r="AE42" s="353" t="str">
        <f>IF('Population Figures'!H42&lt;&gt;"",B42*(ABS('Population Figures'!H42-'Population Figures'!K42))*(1-I42),"N/A")</f>
        <v>N/A</v>
      </c>
      <c r="AF42" s="353" t="str">
        <f>IF('Population Figures'!I42&lt;&gt;"",B42*(ABS('Population Figures'!I42-'Population Figures'!L42))*(1-I42),"N/A")</f>
        <v>N/A</v>
      </c>
      <c r="AG42" s="92">
        <f>B42*('Population Figures'!P42)*J42</f>
        <v>0</v>
      </c>
      <c r="AH42" s="353" t="str">
        <f>IF('Population Figures'!Q42&lt;&gt;"",B42*('Population Figures'!Q42)*J42,"N/A")</f>
        <v>N/A</v>
      </c>
      <c r="AI42" s="353" t="str">
        <f>IF('Population Figures'!R42&lt;&gt;"",B42*('Population Figures'!R42)*J42,"N/A")</f>
        <v>N/A</v>
      </c>
      <c r="AJ42" s="92">
        <f>B42*'Population Figures'!S42*K42</f>
        <v>0</v>
      </c>
      <c r="AK42" s="92">
        <f>(C42-D42)*(B42*'Population Figures'!G42)*'Population Figures'!$C$6</f>
        <v>0</v>
      </c>
      <c r="AL42" s="353" t="str">
        <f>IF('Population Figures'!V42&lt;&gt;"",B42*'Population Figures'!V42*L42,"N/A")</f>
        <v>N/A</v>
      </c>
      <c r="AM42" s="353" t="str">
        <f>IF('Population Figures'!W42&lt;&gt;"",B42*'Population Figures'!W42*L42,"N/A")</f>
        <v>N/A</v>
      </c>
      <c r="AN42" s="92">
        <f>B42*ABS('Population Figures'!G42-'Population Figures'!J42)*(1-M42)</f>
        <v>0</v>
      </c>
      <c r="AO42" s="353" t="str">
        <f>IF('Population Figures'!H42&lt;&gt;"",B42*(ABS('Population Figures'!H42-'Population Figures'!K42))*(1-M42),"N/A")</f>
        <v>N/A</v>
      </c>
      <c r="AP42" s="353" t="str">
        <f>IF('Population Figures'!I42&lt;&gt;"",B42*(ABS('Population Figures'!I42-'Population Figures'!L42))*(1-M42),"N/A")</f>
        <v>N/A</v>
      </c>
      <c r="AQ42" s="92">
        <f>B42*ABS('Population Figures'!G42-'Population Figures'!J42)*(1-N42)</f>
        <v>0</v>
      </c>
      <c r="AR42" s="353" t="str">
        <f>IF('Population Figures'!H42&lt;&gt;"",B42*(ABS('Population Figures'!H42-'Population Figures'!K42))*(1-N42),"N/A")</f>
        <v>N/A</v>
      </c>
      <c r="AS42" s="353" t="str">
        <f>IF('Population Figures'!I42&lt;&gt;"",B42*(ABS('Population Figures'!I42-'Population Figures'!L42))*(1-N42),"N/A")</f>
        <v>N/A</v>
      </c>
      <c r="AT42" s="92"/>
      <c r="AU42" s="8"/>
      <c r="AV42" s="8"/>
      <c r="AW42" s="8"/>
      <c r="AX42" s="8"/>
      <c r="AY42" s="8"/>
      <c r="AZ42" s="8"/>
      <c r="BA42" s="8"/>
      <c r="BB42" s="8"/>
      <c r="BC42" s="8"/>
      <c r="BD42" s="8"/>
      <c r="BE42" s="8"/>
      <c r="BF42" s="8"/>
      <c r="BG42" s="8"/>
      <c r="BH42" s="8"/>
      <c r="BI42" s="8"/>
      <c r="BJ42" s="8"/>
      <c r="BK42" s="8"/>
      <c r="BL42" s="8"/>
      <c r="BM42" s="8"/>
      <c r="BN42" s="8"/>
      <c r="BO42" s="8"/>
      <c r="BP42" s="8"/>
    </row>
    <row r="43" spans="1:68" x14ac:dyDescent="0.25">
      <c r="A43" s="2"/>
      <c r="B43" s="2"/>
      <c r="C43" s="2"/>
      <c r="D43" s="2"/>
      <c r="E43" s="2"/>
      <c r="F43" s="2"/>
      <c r="G43" s="2"/>
      <c r="H43" s="2"/>
      <c r="I43" s="2"/>
      <c r="J43" s="2"/>
      <c r="K43" s="2"/>
      <c r="L43" s="2"/>
      <c r="M43" s="2"/>
      <c r="N43" s="2"/>
      <c r="O43" s="2"/>
      <c r="AQ43" s="2"/>
      <c r="AR43" s="2"/>
      <c r="AS43" s="2"/>
    </row>
    <row r="44" spans="1:68" x14ac:dyDescent="0.25">
      <c r="A44" s="2"/>
      <c r="B44" s="2"/>
      <c r="C44" s="2"/>
      <c r="D44" s="2"/>
      <c r="E44" s="2"/>
      <c r="F44" s="2"/>
      <c r="G44" s="2"/>
      <c r="H44" s="2"/>
      <c r="I44" s="2"/>
      <c r="J44" s="2"/>
      <c r="K44" s="2"/>
      <c r="L44" s="2"/>
      <c r="M44" s="2"/>
      <c r="N44" s="2"/>
      <c r="O44" s="2"/>
      <c r="AQ44" s="2"/>
      <c r="AR44" s="2"/>
      <c r="AS44" s="2"/>
    </row>
    <row r="45" spans="1:68" x14ac:dyDescent="0.25">
      <c r="A45" s="2"/>
      <c r="B45" s="2"/>
      <c r="C45" s="2"/>
      <c r="D45" s="2"/>
      <c r="E45" s="2"/>
      <c r="F45" s="2"/>
      <c r="G45" s="2"/>
      <c r="H45" s="2"/>
      <c r="I45" s="2"/>
      <c r="J45" s="2"/>
      <c r="K45" s="2"/>
      <c r="L45" s="2"/>
      <c r="M45" s="2"/>
      <c r="N45" s="2"/>
      <c r="O45" s="2"/>
    </row>
  </sheetData>
  <mergeCells count="3">
    <mergeCell ref="C2:O2"/>
    <mergeCell ref="C1:AK1"/>
    <mergeCell ref="P2:AT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AM14"/>
  <sheetViews>
    <sheetView workbookViewId="0"/>
    <sheetView workbookViewId="1"/>
  </sheetViews>
  <sheetFormatPr defaultColWidth="9" defaultRowHeight="15.75" x14ac:dyDescent="0.25"/>
  <cols>
    <col min="1" max="1" width="45.75" style="12" customWidth="1"/>
    <col min="2" max="2" width="19.625" style="12" customWidth="1"/>
    <col min="3" max="3" width="41" style="12" customWidth="1"/>
    <col min="4" max="4" width="15.125" style="12" customWidth="1"/>
    <col min="5" max="5" width="20.5" style="12" customWidth="1"/>
    <col min="6" max="6" width="15.5" style="12" customWidth="1"/>
    <col min="7" max="9" width="19.625" style="12" customWidth="1"/>
    <col min="10" max="10" width="59.5" style="12" customWidth="1"/>
    <col min="11" max="12" width="19.625" style="12" customWidth="1"/>
    <col min="13" max="16384" width="9" style="12"/>
  </cols>
  <sheetData>
    <row r="1" spans="1:39" s="1" customFormat="1" ht="24.75" customHeight="1" x14ac:dyDescent="0.35">
      <c r="A1" s="10" t="s">
        <v>34</v>
      </c>
      <c r="D1" s="2"/>
      <c r="H1" s="2"/>
      <c r="I1" s="2"/>
      <c r="J1" s="2"/>
      <c r="K1" s="3"/>
      <c r="L1" s="3"/>
      <c r="M1" s="3"/>
      <c r="N1" s="3"/>
      <c r="O1" s="3"/>
      <c r="P1" s="3"/>
      <c r="Q1" s="3"/>
      <c r="R1" s="3"/>
      <c r="S1" s="3"/>
      <c r="T1" s="3"/>
      <c r="U1" s="3"/>
      <c r="V1" s="3"/>
      <c r="W1" s="3"/>
      <c r="X1" s="3"/>
      <c r="Y1" s="3"/>
      <c r="Z1" s="3"/>
      <c r="AA1" s="3"/>
      <c r="AB1" s="3"/>
      <c r="AC1" s="3"/>
      <c r="AD1" s="3"/>
      <c r="AE1" s="3"/>
      <c r="AF1" s="3"/>
      <c r="AG1" s="3"/>
      <c r="AH1" s="3"/>
      <c r="AI1" s="3"/>
      <c r="AJ1" s="3"/>
      <c r="AK1" s="3"/>
      <c r="AL1" s="3"/>
      <c r="AM1" s="3"/>
    </row>
    <row r="2" spans="1:39" s="13" customFormat="1" x14ac:dyDescent="0.25">
      <c r="A2" s="13" t="s">
        <v>25</v>
      </c>
    </row>
    <row r="3" spans="1:39" x14ac:dyDescent="0.25">
      <c r="A3" s="12" t="s">
        <v>33</v>
      </c>
    </row>
    <row r="4" spans="1:39" ht="16.5" thickBot="1" x14ac:dyDescent="0.3"/>
    <row r="5" spans="1:39" s="14" customFormat="1" ht="35.25" customHeight="1" thickBot="1" x14ac:dyDescent="0.3">
      <c r="A5" s="30" t="s">
        <v>4</v>
      </c>
      <c r="B5" s="31" t="s">
        <v>2</v>
      </c>
      <c r="C5" s="31" t="s">
        <v>5</v>
      </c>
      <c r="D5" s="31" t="s">
        <v>8</v>
      </c>
      <c r="E5" s="31" t="s">
        <v>3</v>
      </c>
      <c r="F5" s="32" t="s">
        <v>15</v>
      </c>
      <c r="G5" s="33" t="s">
        <v>9</v>
      </c>
      <c r="H5" s="34" t="s">
        <v>10</v>
      </c>
      <c r="I5" s="43" t="s">
        <v>14</v>
      </c>
      <c r="J5" s="45" t="s">
        <v>6</v>
      </c>
    </row>
    <row r="6" spans="1:39" ht="99" customHeight="1" x14ac:dyDescent="0.25">
      <c r="A6" s="27" t="s">
        <v>30</v>
      </c>
      <c r="B6" s="29" t="e">
        <f>SUM(#REF!)</f>
        <v>#REF!</v>
      </c>
      <c r="C6" s="27" t="s">
        <v>1</v>
      </c>
      <c r="D6" s="27">
        <v>150</v>
      </c>
      <c r="E6" s="27">
        <v>150</v>
      </c>
      <c r="F6" s="21">
        <v>13.8</v>
      </c>
      <c r="G6" s="35" t="e">
        <f>B6*E6</f>
        <v>#REF!</v>
      </c>
      <c r="H6" s="36" t="e">
        <f>B6*E6/D6</f>
        <v>#REF!</v>
      </c>
      <c r="I6" s="40" t="e">
        <f>H6*F6/1000</f>
        <v>#REF!</v>
      </c>
      <c r="J6" s="42" t="s">
        <v>11</v>
      </c>
    </row>
    <row r="7" spans="1:39" ht="63.75" customHeight="1" x14ac:dyDescent="0.25">
      <c r="A7" s="27" t="s">
        <v>31</v>
      </c>
      <c r="B7" s="29" t="e">
        <f>B6*0.2</f>
        <v>#REF!</v>
      </c>
      <c r="C7" s="27" t="s">
        <v>26</v>
      </c>
      <c r="D7" s="27">
        <v>120</v>
      </c>
      <c r="E7" s="46">
        <v>13</v>
      </c>
      <c r="F7" s="21">
        <f>0.1025*120</f>
        <v>12.299999999999999</v>
      </c>
      <c r="G7" s="37" t="e">
        <f t="shared" ref="G7:G8" si="0">B7*E7</f>
        <v>#REF!</v>
      </c>
      <c r="H7" s="36" t="e">
        <f t="shared" ref="H7:H14" si="1">B7*E7/D7</f>
        <v>#REF!</v>
      </c>
      <c r="I7" s="41" t="e">
        <f t="shared" ref="I7:I8" si="2">H7*F7/1000</f>
        <v>#REF!</v>
      </c>
      <c r="J7" s="42" t="s">
        <v>29</v>
      </c>
    </row>
    <row r="8" spans="1:39" ht="113.25" customHeight="1" x14ac:dyDescent="0.25">
      <c r="A8" s="27" t="s">
        <v>32</v>
      </c>
      <c r="B8" s="29" t="e">
        <f>B6*0.2</f>
        <v>#REF!</v>
      </c>
      <c r="C8" s="27" t="s">
        <v>27</v>
      </c>
      <c r="D8" s="27">
        <v>90</v>
      </c>
      <c r="E8" s="46">
        <v>4.5</v>
      </c>
      <c r="F8" s="39">
        <f>0.114*90</f>
        <v>10.26</v>
      </c>
      <c r="G8" s="37" t="e">
        <f t="shared" si="0"/>
        <v>#REF!</v>
      </c>
      <c r="H8" s="36" t="e">
        <f t="shared" si="1"/>
        <v>#REF!</v>
      </c>
      <c r="I8" s="41" t="e">
        <f t="shared" si="2"/>
        <v>#REF!</v>
      </c>
      <c r="J8" s="42" t="s">
        <v>28</v>
      </c>
    </row>
    <row r="9" spans="1:39" ht="63" x14ac:dyDescent="0.25">
      <c r="A9" s="15" t="s">
        <v>12</v>
      </c>
      <c r="B9" s="16" t="e">
        <f>SUM(#REF!)</f>
        <v>#REF!</v>
      </c>
      <c r="C9" s="15" t="s">
        <v>7</v>
      </c>
      <c r="D9" s="15">
        <v>150</v>
      </c>
      <c r="E9" s="15">
        <v>150</v>
      </c>
      <c r="F9" s="19">
        <v>13.8</v>
      </c>
      <c r="G9" s="37" t="e">
        <f>B9*E9</f>
        <v>#REF!</v>
      </c>
      <c r="H9" s="36" t="e">
        <f t="shared" si="1"/>
        <v>#REF!</v>
      </c>
      <c r="I9" s="41" t="e">
        <f>H9*F9/1000</f>
        <v>#REF!</v>
      </c>
      <c r="J9" s="47" t="s">
        <v>36</v>
      </c>
    </row>
    <row r="10" spans="1:39" ht="47.25" x14ac:dyDescent="0.25">
      <c r="A10" s="17" t="s">
        <v>13</v>
      </c>
      <c r="B10" s="18" t="e">
        <f>SUM(#REF!)</f>
        <v>#REF!</v>
      </c>
      <c r="C10" s="15" t="s">
        <v>38</v>
      </c>
      <c r="D10" s="15">
        <v>1</v>
      </c>
      <c r="E10" s="15">
        <v>0.6</v>
      </c>
      <c r="F10" s="19">
        <v>25</v>
      </c>
      <c r="G10" s="37" t="e">
        <f>B10*E10</f>
        <v>#REF!</v>
      </c>
      <c r="H10" s="36" t="e">
        <f t="shared" si="1"/>
        <v>#REF!</v>
      </c>
      <c r="I10" s="41" t="e">
        <f>H10*F10/1000</f>
        <v>#REF!</v>
      </c>
      <c r="J10" s="48" t="s">
        <v>40</v>
      </c>
    </row>
    <row r="11" spans="1:39" ht="48.75" customHeight="1" x14ac:dyDescent="0.25">
      <c r="A11" s="22" t="s">
        <v>19</v>
      </c>
      <c r="B11" s="26" t="e">
        <f>SUM(#REF!)</f>
        <v>#REF!</v>
      </c>
      <c r="C11" s="23" t="s">
        <v>37</v>
      </c>
      <c r="D11" s="15">
        <v>1</v>
      </c>
      <c r="E11" s="24" t="s">
        <v>23</v>
      </c>
      <c r="F11" s="19">
        <v>1.5</v>
      </c>
      <c r="G11" s="37" t="e">
        <f>$B$11*E11</f>
        <v>#REF!</v>
      </c>
      <c r="H11" s="36" t="e">
        <f t="shared" si="1"/>
        <v>#REF!</v>
      </c>
      <c r="I11" s="41" t="e">
        <f>H11*F11/1000</f>
        <v>#REF!</v>
      </c>
      <c r="J11" s="15"/>
    </row>
    <row r="12" spans="1:39" ht="48.75" customHeight="1" x14ac:dyDescent="0.25">
      <c r="A12" s="25"/>
      <c r="B12" s="28"/>
      <c r="C12" s="23" t="s">
        <v>18</v>
      </c>
      <c r="D12" s="17">
        <v>36</v>
      </c>
      <c r="E12" s="22">
        <v>50</v>
      </c>
      <c r="F12" s="22">
        <f>36*0.325</f>
        <v>11.700000000000001</v>
      </c>
      <c r="G12" s="37" t="e">
        <f>$B$11*E12</f>
        <v>#REF!</v>
      </c>
      <c r="H12" s="36">
        <f t="shared" si="1"/>
        <v>0</v>
      </c>
      <c r="I12" s="41">
        <f>H12*F12/1000</f>
        <v>0</v>
      </c>
      <c r="J12" s="48" t="s">
        <v>39</v>
      </c>
    </row>
    <row r="13" spans="1:39" ht="31.5" x14ac:dyDescent="0.25">
      <c r="A13" s="22" t="s">
        <v>21</v>
      </c>
      <c r="B13" s="20" t="s">
        <v>22</v>
      </c>
      <c r="C13" s="23" t="s">
        <v>16</v>
      </c>
      <c r="D13" s="15">
        <v>6</v>
      </c>
      <c r="E13" s="15">
        <v>675</v>
      </c>
      <c r="F13" s="19">
        <f>200*6</f>
        <v>1200</v>
      </c>
      <c r="G13" s="37" t="e">
        <f>$B$13*E13</f>
        <v>#VALUE!</v>
      </c>
      <c r="H13" s="36" t="e">
        <f t="shared" si="1"/>
        <v>#VALUE!</v>
      </c>
      <c r="I13" s="41" t="e">
        <f t="shared" ref="I13" si="3">H13*F13/1000</f>
        <v>#VALUE!</v>
      </c>
      <c r="J13" s="42" t="s">
        <v>20</v>
      </c>
    </row>
    <row r="14" spans="1:39" ht="32.25" thickBot="1" x14ac:dyDescent="0.3">
      <c r="A14" s="21"/>
      <c r="B14" s="27"/>
      <c r="C14" s="23" t="s">
        <v>17</v>
      </c>
      <c r="D14" s="15">
        <v>1</v>
      </c>
      <c r="E14" s="15">
        <v>50</v>
      </c>
      <c r="F14" s="19">
        <v>400</v>
      </c>
      <c r="G14" s="38" t="e">
        <f>$B$13*E14</f>
        <v>#VALUE!</v>
      </c>
      <c r="H14" s="36">
        <f t="shared" si="1"/>
        <v>0</v>
      </c>
      <c r="I14" s="44">
        <f t="shared" ref="I14" si="4">H14*F14/1000</f>
        <v>0</v>
      </c>
      <c r="J14" s="42" t="s">
        <v>24</v>
      </c>
    </row>
  </sheetData>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Instructions</vt:lpstr>
      <vt:lpstr>Indicator Registry</vt:lpstr>
      <vt:lpstr>Classification thresholds</vt:lpstr>
      <vt:lpstr>Evidence Repository,Reliability</vt:lpstr>
      <vt:lpstr>Analysis Team Composition</vt:lpstr>
      <vt:lpstr>Scenario 2 - Nut.Analysis</vt:lpstr>
      <vt:lpstr>Scenario 2 Contributing Fact</vt:lpstr>
      <vt:lpstr>Scenario 3 - Nut. Analysis</vt:lpstr>
      <vt:lpstr>Scenario 3 Contributing Fact</vt:lpstr>
      <vt:lpstr>Population Figures</vt:lpstr>
      <vt:lpstr>PiN Physical and Mental WB</vt:lpstr>
      <vt:lpstr>PiN Living Standards</vt:lpstr>
      <vt:lpstr>PiN Micronutrient Deficiency</vt:lpstr>
      <vt:lpstr>Selected supplies</vt:lpstr>
      <vt:lpstr>'Scenario 2 - Nut.Analysis'!SourceData</vt:lpstr>
      <vt:lpstr>'Scenario 2 - Nut.Analysis'!SourceMal</vt:lpstr>
    </vt:vector>
  </TitlesOfParts>
  <Company>UNICEF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UNICEF</dc:creator>
  <cp:lastModifiedBy>Aziz Goza</cp:lastModifiedBy>
  <dcterms:created xsi:type="dcterms:W3CDTF">2013-11-27T11:04:42Z</dcterms:created>
  <dcterms:modified xsi:type="dcterms:W3CDTF">2020-07-13T11:11:01Z</dcterms:modified>
</cp:coreProperties>
</file>